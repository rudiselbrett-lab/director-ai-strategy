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ory" sheetId="2" state="visible" r:id="rId4"/>
    <sheet name="Jira" sheetId="3" state="visible" r:id="rId5"/>
    <sheet name="Done" sheetId="4" state="visible" r:id="rId6"/>
    <sheet name="Answers" sheetId="5" state="visible" r:id="rId7"/>
    <sheet name="Reviews" sheetId="6" state="visible" r:id="rId8"/>
    <sheet name="Changes" sheetId="7" state="visible" r:id="rId9"/>
    <sheet name="Topics" sheetId="8" state="visible" r:id="rId10"/>
    <sheet name="People" sheetId="9" state="visible" r:id="rId11"/>
    <sheet name="Commands" sheetId="10" state="visible" r:id="rId12"/>
    <sheet name="Config" sheetId="11" state="visible" r:id="rId13"/>
    <sheet name="Read Me" sheetId="12" state="visible" r:id="rId14"/>
  </sheets>
  <definedNames>
    <definedName function="false" hidden="true" localSheetId="4" name="_xlnm._FilterDatabase" vbProcedure="false">Answers!$A$1:$I$1001</definedName>
    <definedName function="false" hidden="true" localSheetId="6" name="_xlnm._FilterDatabase" vbProcedure="false">Changes!$A$1:$F$1001</definedName>
    <definedName function="false" hidden="true" localSheetId="3" name="_xlnm._FilterDatabase" vbProcedure="false">Done!$A$1:$H$1001</definedName>
    <definedName function="false" hidden="true" localSheetId="1" name="_xlnm._FilterDatabase" vbProcedure="false">Inventory!$A$1:$O$1001</definedName>
    <definedName function="false" hidden="true" localSheetId="2" name="_xlnm._FilterDatabase" vbProcedure="false">Jira!$A$1:$T$501</definedName>
    <definedName function="false" hidden="true" localSheetId="8" name="_xlnm._FilterDatabase" vbProcedure="false">People!$A$1:$G$501</definedName>
    <definedName function="false" hidden="true" localSheetId="5" name="_xlnm._FilterDatabase" vbProcedure="false">Reviews!$A$1:$G$1001</definedName>
    <definedName function="false" hidden="true" localSheetId="7" name="_xlnm._FilterDatabase" vbProcedure="false">Topics!$A$1:$J$201</definedName>
    <definedName function="false" hidden="false" name="AsOf" vbProcedure="false">Config!$B$9</definedName>
    <definedName function="false" hidden="false" name="DecisionCritical" vbProcedure="false">Config!$B$12</definedName>
    <definedName function="false" hidden="false" name="DecisionWarn" vbProcedure="false">Config!$B$11</definedName>
    <definedName function="false" hidden="false" name="JiraProjects" vbProcedure="false">Config!$B$6</definedName>
    <definedName function="false" hidden="false" name="JiraScope" vbProcedure="false">Config!$B$7</definedName>
    <definedName function="false" hidden="false" name="JiraSite" vbProcedure="false">Config!$B$5</definedName>
    <definedName function="false" hidden="false" name="MapStage" vbProcedure="false">Config!$F$23:$F$62</definedName>
    <definedName function="false" hidden="false" name="MapStatus" vbProcedure="false">Config!$E$23:$E$62</definedName>
    <definedName function="false" hidden="false" name="OwnerName" vbProcedure="false">Config!$B$4</definedName>
    <definedName function="false" hidden="false" name="SampleAsOf" vbProcedure="false">Config!$B$8</definedName>
    <definedName function="false" hidden="false" name="SnapshotAge" vbProcedure="false">Config!$B$15</definedName>
    <definedName function="false" hidden="false" name="SnapshotAt" vbProcedure="false">Config!$B$17</definedName>
    <definedName function="false" hidden="false" name="SnapshotCount" vbProcedure="false">Config!$B$19</definedName>
    <definedName function="false" hidden="false" name="SnapshotMaxAge" vbProcedure="false">Config!$B$14</definedName>
    <definedName function="false" hidden="false" name="SnapshotSource" vbProcedure="false">Config!$B$18</definedName>
    <definedName function="false" hidden="false" name="StageName" vbProcedure="false">Config!$A$23:$A$30</definedName>
    <definedName function="false" hidden="false" name="StageStale" vbProcedure="false">Config!$B$23:$B$30</definedName>
    <definedName function="false" hidden="false" name="UnconfirmedWarn" vbProcedure="false">Config!$B$13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INV-0001, INV-0002 ... next number after the last row.</t>
        </r>
      </text>
    </comment>
    <comment ref="B1" authorId="0">
      <text>
        <r>
          <rPr>
            <sz val="10"/>
            <rFont val="Arial"/>
            <family val="2"/>
          </rPr>
          <t xml:space="preserve">Date the information arrived. YYYY-MM-DD.</t>
        </r>
      </text>
    </comment>
    <comment ref="C1" authorId="0">
      <text>
        <r>
          <rPr>
            <sz val="10"/>
            <rFont val="Arial"/>
            <family val="2"/>
          </rPr>
          <t xml:space="preserve">New = What's New. Know = What We Need to Know. Decision = Decision Needed. Conflict = disagrees with the inventory. Confirmed / Resolved close an earlier row named in Ref.</t>
        </r>
      </text>
    </comment>
    <comment ref="D1" authorId="0">
      <text>
        <r>
          <rPr>
            <sz val="10"/>
            <rFont val="Arial"/>
            <family val="2"/>
          </rPr>
          <t xml:space="preserve">Topic slug from the Topics sheet.</t>
        </r>
      </text>
    </comment>
    <comment ref="E1" authorId="0">
      <text>
        <r>
          <rPr>
            <sz val="10"/>
            <rFont val="Arial"/>
            <family val="2"/>
          </rPr>
          <t xml:space="preserve">One sentence. No customer data.</t>
        </r>
      </text>
    </comment>
    <comment ref="F1" authorId="0">
      <text>
        <r>
          <rPr>
            <sz val="10"/>
            <rFont val="Arial"/>
            <family val="2"/>
          </rPr>
          <t xml:space="preserve">Person it came from.</t>
        </r>
      </text>
    </comment>
    <comment ref="G1" authorId="0">
      <text>
        <r>
          <rPr>
            <sz val="10"/>
            <rFont val="Arial"/>
            <family val="2"/>
          </rPr>
          <t xml:space="preserve">Meeting, Email, Teams, Call, Document, Jira, Session.</t>
        </r>
      </text>
    </comment>
    <comment ref="H1" authorId="0">
      <text>
        <r>
          <rPr>
            <sz val="10"/>
            <rFont val="Arial"/>
            <family val="2"/>
          </rPr>
          <t xml:space="preserve">Confirmed if first-hand or verified; Unconfirmed if second-hand.</t>
        </r>
      </text>
    </comment>
    <comment ref="I1" authorId="0">
      <text>
        <r>
          <rPr>
            <sz val="10"/>
            <rFont val="Arial"/>
            <family val="2"/>
          </rPr>
          <t xml:space="preserve">For Confirmed, Resolved or Conflict: the INV ID it refers to.</t>
        </r>
      </text>
    </comment>
    <comment ref="J1" authorId="0">
      <text>
        <r>
          <rPr>
            <sz val="10"/>
            <rFont val="Arial"/>
            <family val="2"/>
          </rPr>
          <t xml:space="preserve">Related Jira key, if any.</t>
        </r>
      </text>
    </comment>
    <comment ref="K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L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M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N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O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Issue key, e.g. AIUC-104.</t>
        </r>
      </text>
    </comment>
    <comment ref="C1" authorId="0">
      <text>
        <r>
          <rPr>
            <sz val="10"/>
            <rFont val="Arial"/>
            <family val="2"/>
          </rPr>
          <t xml:space="preserve">Exactly as Jira shows it. Mapped to a stage on the Config sheet.</t>
        </r>
      </text>
    </comment>
    <comment ref="G1" authorId="0">
      <text>
        <r>
          <rPr>
            <sz val="10"/>
            <rFont val="Arial"/>
            <family val="2"/>
          </rPr>
          <t xml:space="preserve">YYYY-MM-DD</t>
        </r>
      </text>
    </comment>
    <comment ref="H1" authorId="0">
      <text>
        <r>
          <rPr>
            <sz val="10"/>
            <rFont val="Arial"/>
            <family val="2"/>
          </rPr>
          <t xml:space="preserve">YYYY-MM-DD. Drives staleness.</t>
        </r>
      </text>
    </comment>
    <comment ref="I1" authorId="0">
      <text>
        <r>
          <rPr>
            <sz val="10"/>
            <rFont val="Arial"/>
            <family val="2"/>
          </rPr>
          <t xml:space="preserve">YYYY-MM-DD or blank.</t>
        </r>
      </text>
    </comment>
    <comment ref="J1" authorId="0">
      <text>
        <r>
          <rPr>
            <sz val="10"/>
            <rFont val="Arial"/>
            <family val="2"/>
          </rPr>
          <t xml:space="preserve">Y if flagged / impediment / labelled blocked.</t>
        </r>
      </text>
    </comment>
    <comment ref="L1" authorId="0">
      <text>
        <r>
          <rPr>
            <sz val="10"/>
            <rFont val="Arial"/>
            <family val="2"/>
          </rPr>
          <t xml:space="preserve">Topic slug, if it maps to one.</t>
        </r>
      </text>
    </comment>
    <comment ref="M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N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O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P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Q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R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S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T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Day it was done.</t>
        </r>
      </text>
    </comment>
    <comment ref="B1" authorId="0">
      <text>
        <r>
          <rPr>
            <sz val="10"/>
            <rFont val="Arial"/>
            <family val="2"/>
          </rPr>
          <t xml:space="preserve">Outcome, not activity. 'Got MRM sign-off on X', not 'met with MRM'.</t>
        </r>
      </text>
    </comment>
    <comment ref="C1" authorId="0">
      <text>
        <r>
          <rPr>
            <sz val="10"/>
            <rFont val="Arial"/>
            <family val="2"/>
          </rPr>
          <t xml:space="preserve">Topic slug.</t>
        </r>
      </text>
    </comment>
    <comment ref="D1" authorId="0">
      <text>
        <r>
          <rPr>
            <sz val="10"/>
            <rFont val="Arial"/>
            <family val="2"/>
          </rPr>
          <t xml:space="preserve">Related key, if any.</t>
        </r>
      </text>
    </comment>
    <comment ref="E1" authorId="0">
      <text>
        <r>
          <rPr>
            <sz val="10"/>
            <rFont val="Arial"/>
            <family val="2"/>
          </rPr>
          <t xml:space="preserve">Session, Email, Teams, Calendar: where it was found.</t>
        </r>
      </text>
    </comment>
    <comment ref="F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G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H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Q-0001, Q-0002 ...</t>
        </r>
      </text>
    </comment>
    <comment ref="C1" authorId="0">
      <text>
        <r>
          <rPr>
            <sz val="10"/>
            <rFont val="Arial"/>
            <family val="2"/>
          </rPr>
          <t xml:space="preserve">As asked, minus anything personal.</t>
        </r>
      </text>
    </comment>
    <comment ref="D1" authorId="0">
      <text>
        <r>
          <rPr>
            <sz val="10"/>
            <rFont val="Arial"/>
            <family val="2"/>
          </rPr>
          <t xml:space="preserve">Answer = traced to a source. Routed = sent to a person or resource. Reuse = an earlier answer given again (put its ID in Ref).</t>
        </r>
      </text>
    </comment>
    <comment ref="F1" authorId="0">
      <text>
        <r>
          <rPr>
            <sz val="10"/>
            <rFont val="Arial"/>
            <family val="2"/>
          </rPr>
          <t xml:space="preserve">Link or document the answer traces to, or the person routed to.</t>
        </r>
      </text>
    </comment>
    <comment ref="H1" authorId="0">
      <text>
        <r>
          <rPr>
            <sz val="10"/>
            <rFont val="Arial"/>
            <family val="2"/>
          </rPr>
          <t xml:space="preserve">For Reuse: the Q ID reused.</t>
        </r>
      </text>
    </comment>
    <comment ref="I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File name or link.</t>
        </r>
      </text>
    </comment>
    <comment ref="D1" authorId="0">
      <text>
        <r>
          <rPr>
            <sz val="10"/>
            <rFont val="Arial"/>
            <family val="2"/>
          </rPr>
          <t xml:space="preserve">Checks passed (of 8).</t>
        </r>
      </text>
    </comment>
    <comment ref="E1" authorId="0">
      <text>
        <r>
          <rPr>
            <sz val="10"/>
            <rFont val="Arial"/>
            <family val="2"/>
          </rPr>
          <t xml:space="preserve">Checks failed.</t>
        </r>
      </text>
    </comment>
    <comment ref="F1" authorId="0">
      <text>
        <r>
          <rPr>
            <sz val="10"/>
            <rFont val="Arial"/>
            <family val="2"/>
          </rPr>
          <t xml:space="preserve">Ready, or Fix first.</t>
        </r>
      </text>
    </comment>
    <comment ref="G1" authorId="0">
      <text>
        <r>
          <rPr>
            <sz val="10"/>
            <rFont val="Arial"/>
            <family val="2"/>
          </rPr>
          <t xml:space="preserve">The single most important fix.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Where links were fixed.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Short slug, lowercase, hyphens. Used everywhere else.</t>
        </r>
      </text>
    </comment>
    <comment ref="D1" authorId="0">
      <text>
        <r>
          <rPr>
            <sz val="10"/>
            <rFont val="Arial"/>
            <family val="2"/>
          </rPr>
          <t xml:space="preserve">Front door, Standup or Council: where its decisions get made.</t>
        </r>
      </text>
    </comment>
    <comment ref="E1" authorId="0">
      <text>
        <r>
          <rPr>
            <sz val="10"/>
            <rFont val="Arial"/>
            <family val="2"/>
          </rPr>
          <t xml:space="preserve">Label or key prefix that ties issues to it.</t>
        </r>
      </text>
    </comment>
    <comment ref="F1" authorId="0">
      <text>
        <r>
          <rPr>
            <sz val="10"/>
            <rFont val="Arial"/>
            <family val="2"/>
          </rPr>
          <t xml:space="preserve">Active, Paused, Closed.</t>
        </r>
      </text>
    </comment>
    <comment ref="G1" authorId="0">
      <text>
        <r>
          <rPr>
            <sz val="10"/>
            <rFont val="Arial"/>
            <family val="2"/>
          </rPr>
          <t xml:space="preserve">OneDrive path to its running notes.</t>
        </r>
      </text>
    </comment>
    <comment ref="H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I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  <comment ref="J1" authorId="0">
      <text>
        <r>
          <rPr>
            <sz val="10"/>
            <rFont val="Arial"/>
            <family val="2"/>
          </rPr>
          <t xml:space="preserve">Computed. Cowork never writes here. 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Topics, comma-separated. Support Guide routes by this.</t>
        </r>
      </text>
    </comment>
    <comment ref="E1" authorId="0">
      <text>
        <r>
          <rPr>
            <sz val="10"/>
            <rFont val="Arial"/>
            <family val="2"/>
          </rPr>
          <t xml:space="preserve">Facts only: prefers Teams, wants a one-pager before Council. Nothing evaluative; that goes in Private.</t>
        </r>
      </text>
    </comment>
  </commentList>
</comments>
</file>

<file path=xl/sharedStrings.xml><?xml version="1.0" encoding="utf-8"?>
<sst xmlns="http://schemas.openxmlformats.org/spreadsheetml/2006/main" count="317" uniqueCount="220">
  <si>
    <t xml:space="preserve">AI Operating System</t>
  </si>
  <si>
    <t xml:space="preserve">OPEN DECISIONS</t>
  </si>
  <si>
    <t xml:space="preserve">UNCONFIRMED</t>
  </si>
  <si>
    <t xml:space="preserve">OPEN CONFLICTS</t>
  </si>
  <si>
    <t xml:space="preserve">JIRA NEEDING ATTENTION</t>
  </si>
  <si>
    <t xml:space="preserve">DONE THIS WEEK</t>
  </si>
  <si>
    <t xml:space="preserve">Needs you</t>
  </si>
  <si>
    <t xml:space="preserve">Open decisions, conflicts and unconfirmed items, worst first. Paste the last column into Cowork.</t>
  </si>
  <si>
    <t xml:space="preserve">#</t>
  </si>
  <si>
    <t xml:space="preserve">ID</t>
  </si>
  <si>
    <t xml:space="preserve">Type</t>
  </si>
  <si>
    <t xml:space="preserve">Topic</t>
  </si>
  <si>
    <t xml:space="preserve">Summary</t>
  </si>
  <si>
    <t xml:space="preserve">Age (d)</t>
  </si>
  <si>
    <t xml:space="preserve">Severity</t>
  </si>
  <si>
    <t xml:space="preserve">From</t>
  </si>
  <si>
    <t xml:space="preserve">Say this</t>
  </si>
  <si>
    <t xml:space="preserve">Jira needing attention</t>
  </si>
  <si>
    <t xml:space="preserve">Flagged, past due, unmapped, or idle past the stage limit on the Config sheet.</t>
  </si>
  <si>
    <t xml:space="preserve">Key</t>
  </si>
  <si>
    <t xml:space="preserve">Stage</t>
  </si>
  <si>
    <t xml:space="preserve">Assignee</t>
  </si>
  <si>
    <t xml:space="preserve">Idle (d)</t>
  </si>
  <si>
    <t xml:space="preserve">Health</t>
  </si>
  <si>
    <t xml:space="preserve">Why</t>
  </si>
  <si>
    <t xml:space="preserve">Pipeline by stage</t>
  </si>
  <si>
    <t xml:space="preserve">Open Jira issues per stage.</t>
  </si>
  <si>
    <t xml:space="preserve">Open</t>
  </si>
  <si>
    <t xml:space="preserve">Attention</t>
  </si>
  <si>
    <t xml:space="preserve">Stale after</t>
  </si>
  <si>
    <t xml:space="preserve">Intake</t>
  </si>
  <si>
    <t xml:space="preserve">Triage</t>
  </si>
  <si>
    <t xml:space="preserve">Discovery</t>
  </si>
  <si>
    <t xml:space="preserve">Design</t>
  </si>
  <si>
    <t xml:space="preserve">Approval</t>
  </si>
  <si>
    <t xml:space="preserve">Delivery</t>
  </si>
  <si>
    <t xml:space="preserve">Scale</t>
  </si>
  <si>
    <t xml:space="preserve">Value</t>
  </si>
  <si>
    <t xml:space="preserve">Unmapped</t>
  </si>
  <si>
    <t xml:space="preserve">add to Config map</t>
  </si>
  <si>
    <t xml:space="preserve">Done this week</t>
  </si>
  <si>
    <t xml:space="preserve">Feeds the weekly report. Say: done: &lt;what you finished&gt;</t>
  </si>
  <si>
    <t xml:space="preserve">Date</t>
  </si>
  <si>
    <t xml:space="preserve">Accomplishment</t>
  </si>
  <si>
    <t xml:space="preserve">Accomplishments per week</t>
  </si>
  <si>
    <t xml:space="preserve">Last eight weeks.</t>
  </si>
  <si>
    <t xml:space="preserve">Week of</t>
  </si>
  <si>
    <t xml:space="preserve">Done</t>
  </si>
  <si>
    <t xml:space="preserve">Channel</t>
  </si>
  <si>
    <t xml:space="preserve">Confidence</t>
  </si>
  <si>
    <t xml:space="preserve">Ref</t>
  </si>
  <si>
    <t xml:space="preserve">Jira</t>
  </si>
  <si>
    <t xml:space="preserve">State</t>
  </si>
  <si>
    <t xml:space="preserve">Age (days)</t>
  </si>
  <si>
    <t xml:space="preserve">Rank key</t>
  </si>
  <si>
    <t xml:space="preserve">Status</t>
  </si>
  <si>
    <t xml:space="preserve">Priority</t>
  </si>
  <si>
    <t xml:space="preserve">Created</t>
  </si>
  <si>
    <t xml:space="preserve">Updated</t>
  </si>
  <si>
    <t xml:space="preserve">Due</t>
  </si>
  <si>
    <t xml:space="preserve">Flagged</t>
  </si>
  <si>
    <t xml:space="preserve">Labels</t>
  </si>
  <si>
    <t xml:space="preserve">Days idle</t>
  </si>
  <si>
    <t xml:space="preserve">Link</t>
  </si>
  <si>
    <t xml:space="preserve">Source</t>
  </si>
  <si>
    <t xml:space="preserve">This week</t>
  </si>
  <si>
    <t xml:space="preserve">Question</t>
  </si>
  <si>
    <t xml:space="preserve">Kind</t>
  </si>
  <si>
    <t xml:space="preserve">Answer or route</t>
  </si>
  <si>
    <t xml:space="preserve">Asked by</t>
  </si>
  <si>
    <t xml:space="preserve">Times reused</t>
  </si>
  <si>
    <t xml:space="preserve">Artifact</t>
  </si>
  <si>
    <t xml:space="preserve">Author</t>
  </si>
  <si>
    <t xml:space="preserve">Passed</t>
  </si>
  <si>
    <t xml:space="preserve">Failed</t>
  </si>
  <si>
    <t xml:space="preserve">Verdict</t>
  </si>
  <si>
    <t xml:space="preserve">Top fix</t>
  </si>
  <si>
    <t xml:space="preserve">What changed</t>
  </si>
  <si>
    <t xml:space="preserve">To</t>
  </si>
  <si>
    <t xml:space="preserve">References updated</t>
  </si>
  <si>
    <t xml:space="preserve">Approved by</t>
  </si>
  <si>
    <t xml:space="preserve">Name</t>
  </si>
  <si>
    <t xml:space="preserve">Owner</t>
  </si>
  <si>
    <t xml:space="preserve">Forum</t>
  </si>
  <si>
    <t xml:space="preserve">Jira label</t>
  </si>
  <si>
    <t xml:space="preserve">Notes doc</t>
  </si>
  <si>
    <t xml:space="preserve">Open items</t>
  </si>
  <si>
    <t xml:space="preserve">Jira issues</t>
  </si>
  <si>
    <t xml:space="preserve">Jira attention</t>
  </si>
  <si>
    <t xml:space="preserve">Role</t>
  </si>
  <si>
    <t xml:space="preserve">Team</t>
  </si>
  <si>
    <t xml:space="preserve">Works with me on</t>
  </si>
  <si>
    <t xml:space="preserve">How they work</t>
  </si>
  <si>
    <t xml:space="preserve">Last updated</t>
  </si>
  <si>
    <t xml:space="preserve">Say this in Cowork</t>
  </si>
  <si>
    <t xml:space="preserve">What happens</t>
  </si>
  <si>
    <t xml:space="preserve">Group</t>
  </si>
  <si>
    <t xml:space="preserve">start my day</t>
  </si>
  <si>
    <t xml:space="preserve">Refresh Jira if the snapshot is stale, read the Dashboard, sweep yesterday's email, Teams and calendar, and give me the Needs You list plus anything worth logging.</t>
  </si>
  <si>
    <t xml:space="preserve">Daily</t>
  </si>
  <si>
    <t xml:space="preserve">refresh dashboard</t>
  </si>
  <si>
    <t xml:space="preserve">Pull Jira through the connector (or the newest CSV export), rewrite the Jira sheet, stamp the snapshot.</t>
  </si>
  <si>
    <t xml:space="preserve">log this: &lt;note&gt;</t>
  </si>
  <si>
    <t xml:space="preserve">Capture a note into the Inventory as New, Know or Decision, with source, channel and confidence.</t>
  </si>
  <si>
    <t xml:space="preserve">Inventory</t>
  </si>
  <si>
    <t xml:space="preserve">add note to &lt;topic&gt;: &lt;note&gt;</t>
  </si>
  <si>
    <t xml:space="preserve">Same as log this, filed against a named topic.</t>
  </si>
  <si>
    <t xml:space="preserve">confirm &lt;INV-id&gt;</t>
  </si>
  <si>
    <t xml:space="preserve">Append a Confirmed row for a second-hand item.</t>
  </si>
  <si>
    <t xml:space="preserve">decide &lt;INV-id&gt;: &lt;outcome&gt;</t>
  </si>
  <si>
    <t xml:space="preserve">Close an open decision or conflict by appending a Resolved row.</t>
  </si>
  <si>
    <t xml:space="preserve">what's open on &lt;topic&gt;</t>
  </si>
  <si>
    <t xml:space="preserve">Open decisions, unconfirmed items, conflicts and Jira issues for one topic.</t>
  </si>
  <si>
    <t xml:space="preserve">done: &lt;accomplishment&gt;</t>
  </si>
  <si>
    <t xml:space="preserve">Append to the Done log under today.</t>
  </si>
  <si>
    <t xml:space="preserve">Reporting</t>
  </si>
  <si>
    <t xml:space="preserve">draft weekly report</t>
  </si>
  <si>
    <t xml:space="preserve">Build this week's report from the logs, email, Teams and calendar. Word draft, never sent.</t>
  </si>
  <si>
    <t xml:space="preserve">prep for &lt;meeting&gt;</t>
  </si>
  <si>
    <t xml:space="preserve">Agenda from open items and Jira issues for the topics that forum owns. Word draft.</t>
  </si>
  <si>
    <t xml:space="preserve">review this</t>
  </si>
  <si>
    <t xml:space="preserve">Run the Review Gate. Report what passes, what fails and the fix. Never rewrite.</t>
  </si>
  <si>
    <t xml:space="preserve">Quality</t>
  </si>
  <si>
    <t xml:space="preserve">support: &lt;question&gt;</t>
  </si>
  <si>
    <t xml:space="preserve">Answer from the Answers log or a traceable source, or route to a named person. Log it.</t>
  </si>
  <si>
    <t xml:space="preserve">draft Jira update for &lt;KEY&gt;</t>
  </si>
  <si>
    <t xml:space="preserve">Write a status comment for that issue as a draft. Never posted.</t>
  </si>
  <si>
    <t xml:space="preserve">what's stale in Jira</t>
  </si>
  <si>
    <t xml:space="preserve">Issues past their stage's staleness limit, worst first, with owner.</t>
  </si>
  <si>
    <t xml:space="preserve">move &lt;file&gt; to &lt;folder&gt;</t>
  </si>
  <si>
    <t xml:space="preserve">Move it, fix every reference, log it on Changes.</t>
  </si>
  <si>
    <t xml:space="preserve">Upkeep</t>
  </si>
  <si>
    <t xml:space="preserve">check integrity</t>
  </si>
  <si>
    <t xml:space="preserve">Scan the workbook for broken refs, duplicate IDs, unmapped statuses, and anything that looks like customer data.</t>
  </si>
  <si>
    <t xml:space="preserve">Config</t>
  </si>
  <si>
    <t xml:space="preserve">Blue cells are yours to set once. Grey cells are written by Cowork or computed. Nothing here is a secret: no tokens or passwords, ever.</t>
  </si>
  <si>
    <t xml:space="preserve">Settings</t>
  </si>
  <si>
    <t xml:space="preserve">Your name (as Jira shows it)</t>
  </si>
  <si>
    <t xml:space="preserve">Used to pick out issues assigned to you.</t>
  </si>
  <si>
    <t xml:space="preserve">Jira site URL</t>
  </si>
  <si>
    <t xml:space="preserve">https://YOURCOMPANY.atlassian.net</t>
  </si>
  <si>
    <t xml:space="preserve">No trailing slash. Builds the issue links.</t>
  </si>
  <si>
    <t xml:space="preserve">Jira project key(s)</t>
  </si>
  <si>
    <t xml:space="preserve">AIUC</t>
  </si>
  <si>
    <t xml:space="preserve">Comma-separated, e.g. AIUC, GENAI</t>
  </si>
  <si>
    <t xml:space="preserve">Jira scope in plain words</t>
  </si>
  <si>
    <t xml:space="preserve">All issues in the project(s) above that are not Done, plus anything closed in the last 30 days</t>
  </si>
  <si>
    <t xml:space="preserve">What Cowork asks the connector for. Plain English, not JQL: the Copilot connector is search, not a query engine.</t>
  </si>
  <si>
    <t xml:space="preserve">Sample data as-of date</t>
  </si>
  <si>
    <t xml:space="preserve">Leave BLANK for real use. When set, every age is measured from this date so sample data stays coherent.</t>
  </si>
  <si>
    <t xml:space="preserve">Today (computed)</t>
  </si>
  <si>
    <t xml:space="preserve">Do not edit.</t>
  </si>
  <si>
    <t xml:space="preserve">Thresholds</t>
  </si>
  <si>
    <t xml:space="preserve">Open decision: warning after (days)</t>
  </si>
  <si>
    <t xml:space="preserve">Open decision: critical after (days)</t>
  </si>
  <si>
    <t xml:space="preserve">Unconfirmed item: warning after (days)</t>
  </si>
  <si>
    <t xml:space="preserve">Jira snapshot: stale after (days)</t>
  </si>
  <si>
    <t xml:space="preserve">Snapshot age (days)</t>
  </si>
  <si>
    <t xml:space="preserve">Jira snapshot (written by Cowork on every refresh)</t>
  </si>
  <si>
    <t xml:space="preserve">Snapshot pulled at</t>
  </si>
  <si>
    <t xml:space="preserve">Written by Cowork on every Jira refresh.</t>
  </si>
  <si>
    <t xml:space="preserve">Snapshot source</t>
  </si>
  <si>
    <t xml:space="preserve">Copilot connector, or CSV export + file name.</t>
  </si>
  <si>
    <t xml:space="preserve">Issues in snapshot</t>
  </si>
  <si>
    <t xml:space="preserve">Written by Cowork. Compared to the last refresh to catch a short pull.</t>
  </si>
  <si>
    <t xml:space="preserve">Stages (the operating model's eight)</t>
  </si>
  <si>
    <t xml:space="preserve">Jira status → stage map</t>
  </si>
  <si>
    <t xml:space="preserve">Stale after (days)</t>
  </si>
  <si>
    <t xml:space="preserve">Gate owner</t>
  </si>
  <si>
    <t xml:space="preserve">Jira status (exact)</t>
  </si>
  <si>
    <t xml:space="preserve">Portfolio Lead</t>
  </si>
  <si>
    <t xml:space="preserve">Backlog</t>
  </si>
  <si>
    <t xml:space="preserve">PM Owner</t>
  </si>
  <si>
    <t xml:space="preserve">To Do</t>
  </si>
  <si>
    <t xml:space="preserve">Model Risk &amp; Monitoring</t>
  </si>
  <si>
    <t xml:space="preserve">AI Council</t>
  </si>
  <si>
    <t xml:space="preserve">Delivery Lead</t>
  </si>
  <si>
    <t xml:space="preserve">Product Owner</t>
  </si>
  <si>
    <t xml:space="preserve">Finance Partner</t>
  </si>
  <si>
    <t xml:space="preserve">In Review</t>
  </si>
  <si>
    <t xml:space="preserve">Governance Review</t>
  </si>
  <si>
    <t xml:space="preserve">In Progress</t>
  </si>
  <si>
    <t xml:space="preserve">In Delivery</t>
  </si>
  <si>
    <t xml:space="preserve">Build</t>
  </si>
  <si>
    <t xml:space="preserve">Scaling</t>
  </si>
  <si>
    <t xml:space="preserve">Rollout</t>
  </si>
  <si>
    <t xml:space="preserve">Value Tracking</t>
  </si>
  <si>
    <t xml:space="preserve">Measuring</t>
  </si>
  <si>
    <t xml:space="preserve">Closed</t>
  </si>
  <si>
    <t xml:space="preserve">Declined</t>
  </si>
  <si>
    <t xml:space="preserve">Transferred</t>
  </si>
  <si>
    <t xml:space="preserve">Won't Do</t>
  </si>
  <si>
    <t xml:space="preserve">Add your workflow's statuses in the blank rows. Stage must be one of the eight, or Closed.</t>
  </si>
  <si>
    <t xml:space="preserve">What this is</t>
  </si>
  <si>
    <t xml:space="preserve">The system of record for your desk. Cowork appends rows to the log sheets; the Dashboard recomputes from them against today's date. Nothing on the Dashboard is typed by hand.</t>
  </si>
  <si>
    <t xml:space="preserve">Which cells</t>
  </si>
  <si>
    <t xml:space="preserve">Blue headers are inputs. Grey headers and grey cells are formulas: never type over them. Add a row by filling the first empty row's blue columns. Never insert, delete or edit rows on a log sheet: append a correction instead.</t>
  </si>
  <si>
    <t xml:space="preserve">Append-only</t>
  </si>
  <si>
    <t xml:space="preserve">Inventory, Done, Answers, Reviews and Changes are logs. A decision is closed by a new Resolved row pointing at it (Ref), a rumour by a Confirmed row. The old row stays. OneDrive version history covers the Jira sheet, the only sheet that is replaced wholesale.</t>
  </si>
  <si>
    <t xml:space="preserve">Privacy</t>
  </si>
  <si>
    <t xml:space="preserve">Nothing from 1:1s, performance or career conversations goes in this workbook. That lives in AI-OS/Private. No customer data anywhere: case or ticket IDs only.</t>
  </si>
  <si>
    <t xml:space="preserve">Sheets</t>
  </si>
  <si>
    <t xml:space="preserve">Dashboard</t>
  </si>
  <si>
    <t xml:space="preserve">Needs You, Jira attention, pipeline by stage, this week's accomplishments.</t>
  </si>
  <si>
    <t xml:space="preserve">Example row: INV-0019 | 2026-10-05 | Decision | fraud-alerts | Approve a second data engineer or slip Design a month | K. Ito | Meeting | Confirmed | | AIUC-103</t>
  </si>
  <si>
    <t xml:space="preserve">Snapshot of the issues in scope. Rewritten by 'refresh dashboard'. Example: AIUC-103 | Fraud alert prioritization | Design | Epic | Highest | K. Ito | 2026-06-29 | 2026-09-14 | 2026-09-28 | Y | fraud | fraud-alerts</t>
  </si>
  <si>
    <t xml:space="preserve">Example row: 2026-10-05 | Got MRM sign-off on the call summarization validation plan | call-summary | AIUC-101 | Email</t>
  </si>
  <si>
    <t xml:space="preserve">Answers</t>
  </si>
  <si>
    <t xml:space="preserve">Support Guide log. Example: Q-0009 | 2026-10-05 | Who signs off a vendor model? | Routed | Routed to Third-Party Risk | Third-Party Risk team | A. Silva |</t>
  </si>
  <si>
    <t xml:space="preserve">Reviews</t>
  </si>
  <si>
    <t xml:space="preserve">One row per Review Gate run.</t>
  </si>
  <si>
    <t xml:space="preserve">Changes</t>
  </si>
  <si>
    <t xml:space="preserve">One row per file move or rename, with the references fixed.</t>
  </si>
  <si>
    <t xml:space="preserve">Topics</t>
  </si>
  <si>
    <t xml:space="preserve">One row per workstream. The slug in column A is the key every other sheet uses.</t>
  </si>
  <si>
    <t xml:space="preserve">People</t>
  </si>
  <si>
    <t xml:space="preserve">Facts about how people work. Nothing evaluative.</t>
  </si>
  <si>
    <t xml:space="preserve">Commands</t>
  </si>
  <si>
    <t xml:space="preserve">The phrases Cowork recognises.</t>
  </si>
  <si>
    <t xml:space="preserve">Jira site and project, staleness limits, the status → stage map, the snapshot stamp.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</si>
</sst>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General"/>
    <numFmt numFmtId="167" formatCode="ddd\ d\ mmm"/>
    <numFmt numFmtId="168" formatCode="d\ mmm"/>
    <numFmt numFmtId="169" formatCode="yyyy\-mm\-dd"/>
    <numFmt numFmtId="170" formatCode="yyyy\-mm\-dd\ hh: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6B2C91"/>
      <name val="Arial"/>
      <family val="0"/>
      <charset val="1"/>
    </font>
    <font>
      <sz val="10"/>
      <color rgb="FF4A5160"/>
      <name val="Arial"/>
      <family val="0"/>
      <charset val="1"/>
    </font>
    <font>
      <b val="true"/>
      <sz val="10"/>
      <color rgb="FF7A5200"/>
      <name val="Arial"/>
      <family val="0"/>
      <charset val="1"/>
    </font>
    <font>
      <b val="true"/>
      <sz val="9"/>
      <color rgb="FF646C7A"/>
      <name val="Arial"/>
      <family val="0"/>
      <charset val="1"/>
    </font>
    <font>
      <b val="true"/>
      <sz val="22"/>
      <color rgb="FF16181D"/>
      <name val="Arial"/>
      <family val="0"/>
      <charset val="1"/>
    </font>
    <font>
      <sz val="9"/>
      <color rgb="FF4A5160"/>
      <name val="Arial"/>
      <family val="0"/>
      <charset val="1"/>
    </font>
    <font>
      <b val="true"/>
      <sz val="12"/>
      <color rgb="FF16181D"/>
      <name val="Arial"/>
      <family val="0"/>
      <charset val="1"/>
    </font>
    <font>
      <i val="true"/>
      <sz val="9"/>
      <color rgb="FF646C7A"/>
      <name val="Arial"/>
      <family val="0"/>
      <charset val="1"/>
    </font>
    <font>
      <sz val="9"/>
      <color rgb="FF646C7A"/>
      <name val="Arial"/>
      <family val="0"/>
      <charset val="1"/>
    </font>
    <font>
      <sz val="10"/>
      <color rgb="FF16181D"/>
      <name val="Arial"/>
      <family val="0"/>
      <charset val="1"/>
    </font>
    <font>
      <sz val="10"/>
      <color rgb="FF6B2C91"/>
      <name val="Arial"/>
      <family val="0"/>
      <charset val="1"/>
    </font>
    <font>
      <sz val="10"/>
      <color rgb="FF646C7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16181D"/>
      <name val="Arial"/>
      <family val="0"/>
      <charset val="1"/>
    </font>
    <font>
      <b val="true"/>
      <sz val="10"/>
      <color rgb="FF4A5160"/>
      <name val="Arial"/>
      <family val="0"/>
      <charset val="1"/>
    </font>
    <font>
      <sz val="10"/>
      <name val="Arial"/>
      <family val="2"/>
    </font>
    <font>
      <b val="true"/>
      <sz val="10"/>
      <color rgb="FF6B2C91"/>
      <name val="Arial"/>
      <family val="0"/>
      <charset val="1"/>
    </font>
    <font>
      <b val="true"/>
      <sz val="16"/>
      <color rgb="FF6B2C91"/>
      <name val="Arial"/>
      <family val="0"/>
      <charset val="1"/>
    </font>
    <font>
      <i val="true"/>
      <sz val="10"/>
      <color rgb="FF646C7A"/>
      <name val="Arial"/>
      <family val="0"/>
      <charset val="1"/>
    </font>
    <font>
      <b val="true"/>
      <sz val="11"/>
      <color rgb="FF16181D"/>
      <name val="Arial"/>
      <family val="0"/>
      <charset val="1"/>
    </font>
    <font>
      <sz val="10"/>
      <color rgb="FF1F3FB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6F7"/>
        <bgColor rgb="FFF7F7F7"/>
      </patternFill>
    </fill>
    <fill>
      <patternFill patternType="solid">
        <fgColor rgb="FFE8EEF8"/>
        <bgColor rgb="FFEDEDED"/>
      </patternFill>
    </fill>
    <fill>
      <patternFill patternType="solid">
        <fgColor rgb="FFEDEDED"/>
        <bgColor rgb="FFE8EEF8"/>
      </patternFill>
    </fill>
    <fill>
      <patternFill patternType="solid">
        <fgColor rgb="FFF7F7F7"/>
        <bgColor rgb="FFF5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F4D6"/>
        </patternFill>
      </fill>
    </dxf>
    <dxf>
      <font>
        <name val="Arial"/>
        <charset val="1"/>
        <family val="0"/>
        <b val="1"/>
        <color rgb="FF9B1C1C"/>
      </font>
      <fill>
        <patternFill>
          <bgColor rgb="FFFBE3E3"/>
        </patternFill>
      </fill>
    </dxf>
    <dxf>
      <font>
        <name val="Arial"/>
        <charset val="1"/>
        <family val="0"/>
        <b val="1"/>
        <color rgb="FF7A5200"/>
      </font>
      <fill>
        <patternFill>
          <bgColor rgb="FFFFF1D0"/>
        </patternFill>
      </fill>
    </dxf>
    <dxf>
      <font>
        <name val="Arial"/>
        <charset val="1"/>
        <family val="0"/>
        <b val="1"/>
        <color rgb="FF1D6B1D"/>
      </font>
      <fill>
        <patternFill>
          <bgColor rgb="FFE2F4E2"/>
        </patternFill>
      </fill>
    </dxf>
    <dxf>
      <fill>
        <patternFill patternType="solid">
          <fgColor rgb="FFE8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81D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4A5160"/>
          <bgColor rgb="FF000000"/>
        </patternFill>
      </fill>
    </dxf>
  </dxf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1D6B1D"/>
      <rgbColor rgb="FF000080"/>
      <rgbColor rgb="FF7A5200"/>
      <rgbColor rgb="FF800080"/>
      <rgbColor rgb="FF008080"/>
      <rgbColor rgb="FFE2E4E8"/>
      <rgbColor rgb="FF878787"/>
      <rgbColor rgb="FF9999FF"/>
      <rgbColor rgb="FF6B2C91"/>
      <rgbColor rgb="FFFFF4D6"/>
      <rgbColor rgb="FFE8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4E2"/>
      <rgbColor rgb="FFFFF1D0"/>
      <rgbColor rgb="FFF5F6F7"/>
      <rgbColor rgb="FFFF99CC"/>
      <rgbColor rgb="FFCC99FF"/>
      <rgbColor rgb="FFFBE3E3"/>
      <rgbColor rgb="FF2A78D6"/>
      <rgbColor rgb="FF33CCCC"/>
      <rgbColor rgb="FF99CC00"/>
      <rgbColor rgb="FFFFCC00"/>
      <rgbColor rgb="FFFF9900"/>
      <rgbColor rgb="FFFF6600"/>
      <rgbColor rgb="FF646C7A"/>
      <rgbColor rgb="FF8A91A0"/>
      <rgbColor rgb="FF003366"/>
      <rgbColor rgb="FF339966"/>
      <rgbColor rgb="FF16181D"/>
      <rgbColor rgb="FF333300"/>
      <rgbColor rgb="FF9B1C1C"/>
      <rgbColor rgb="FF993366"/>
      <rgbColor rgb="FF1F3FBF"/>
      <rgbColor rgb="FF4A51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Dashboard!D35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Dashboard!$C$36:$C$44</c:f>
              <c:strCache>
                <c:ptCount val="9"/>
                <c:pt idx="0">
                  <c:v>Intake</c:v>
                </c:pt>
                <c:pt idx="1">
                  <c:v>Triage</c:v>
                </c:pt>
                <c:pt idx="2">
                  <c:v>Discovery</c:v>
                </c:pt>
                <c:pt idx="3">
                  <c:v>Design</c:v>
                </c:pt>
                <c:pt idx="4">
                  <c:v>Approval</c:v>
                </c:pt>
                <c:pt idx="5">
                  <c:v>Delivery</c:v>
                </c:pt>
                <c:pt idx="6">
                  <c:v>Scale</c:v>
                </c:pt>
                <c:pt idx="7">
                  <c:v>Value</c:v>
                </c:pt>
                <c:pt idx="8">
                  <c:v>Unmapped</c:v>
                </c:pt>
              </c:strCache>
            </c:strRef>
          </c:cat>
          <c:val>
            <c:numRef>
              <c:f>Dashboard!$D$36:$D$44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60"/>
        <c:overlap val="0"/>
        <c:axId val="85587581"/>
        <c:axId val="55433214"/>
      </c:barChart>
      <c:catAx>
        <c:axId val="8558758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33214"/>
        <c:crosses val="autoZero"/>
        <c:auto val="1"/>
        <c:lblAlgn val="ctr"/>
        <c:lblOffset val="100"/>
        <c:noMultiLvlLbl val="0"/>
      </c:catAx>
      <c:valAx>
        <c:axId val="5543321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758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Dashboard!D59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Dashboard!$C$60:$C$67</c:f>
              <c:strCache>
                <c:ptCount val="8"/>
                <c:pt idx="0">
                  <c:v>17 Aug</c:v>
                </c:pt>
                <c:pt idx="1">
                  <c:v>24 Aug</c:v>
                </c:pt>
                <c:pt idx="2">
                  <c:v>31 Aug</c:v>
                </c:pt>
                <c:pt idx="3">
                  <c:v>7 Sep</c:v>
                </c:pt>
                <c:pt idx="4">
                  <c:v>14 Sep</c:v>
                </c:pt>
                <c:pt idx="5">
                  <c:v>21 Sep</c:v>
                </c:pt>
                <c:pt idx="6">
                  <c:v>28 Sep</c:v>
                </c:pt>
                <c:pt idx="7">
                  <c:v>5 Oct</c:v>
                </c:pt>
              </c:strCache>
            </c:strRef>
          </c:cat>
          <c:val>
            <c:numRef>
              <c:f>Dashboard!$D$60:$D$67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60"/>
        <c:overlap val="0"/>
        <c:axId val="31289279"/>
        <c:axId val="91922051"/>
      </c:barChart>
      <c:catAx>
        <c:axId val="31289279"/>
        <c:scaling>
          <c:orientation val="minMax"/>
        </c:scaling>
        <c:delete val="0"/>
        <c:axPos val="b"/>
        <c:numFmt formatCode="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2051"/>
        <c:crosses val="autoZero"/>
        <c:auto val="1"/>
        <c:lblAlgn val="ctr"/>
        <c:lblOffset val="100"/>
        <c:noMultiLvlLbl val="0"/>
      </c:catAx>
      <c:valAx>
        <c:axId val="919220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8927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35</xdr:row>
      <xdr:rowOff>0</xdr:rowOff>
    </xdr:from>
    <xdr:to>
      <xdr:col>9</xdr:col>
      <xdr:colOff>1026000</xdr:colOff>
      <xdr:row>46</xdr:row>
      <xdr:rowOff>136080</xdr:rowOff>
    </xdr:to>
    <xdr:graphicFrame>
      <xdr:nvGraphicFramePr>
        <xdr:cNvPr id="0" name="Chart 1"/>
        <xdr:cNvGraphicFramePr/>
      </xdr:nvGraphicFramePr>
      <xdr:xfrm>
        <a:off x="7734240" y="7067520"/>
        <a:ext cx="395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3959640</xdr:colOff>
      <xdr:row>68</xdr:row>
      <xdr:rowOff>74520</xdr:rowOff>
    </xdr:to>
    <xdr:graphicFrame>
      <xdr:nvGraphicFramePr>
        <xdr:cNvPr id="1" name="Chart 2"/>
        <xdr:cNvGraphicFramePr/>
      </xdr:nvGraphicFramePr>
      <xdr:xfrm>
        <a:off x="3645000" y="11449080"/>
        <a:ext cx="39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C91"/>
    <pageSetUpPr fitToPage="true"/>
  </sheetPr>
  <dimension ref="B1:K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32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tr">
        <f aca="false">"As of "&amp;TEXT(AsOf,"ddd d mmm yyyy")&amp;IF(OwnerName="","","  ·  "&amp;OwnerName)</f>
        <v>As of Mon 5 Oct 2026</v>
      </c>
      <c r="F2" s="3" t="str">
        <f aca="false">IF(SampleAsOf&lt;&gt;"","SAMPLE DATA. Open AI-OS.xlsx for the blank workbook.",IF(SnapshotAt="","No Jira snapshot yet. Say: refresh dashboard",IF(SnapshotAge&gt;SnapshotMaxAge,"Jira snapshot is "&amp;SnapshotAge&amp;" days old. Say: refresh dashboard","Jira snapshot "&amp;TEXT(SnapshotAt,"d mmm hh:mm")&amp;" from "&amp;SnapshotSource)))</f>
        <v>No Jira snapshot yet. Say: refresh dashboard</v>
      </c>
      <c r="G2" s="3"/>
      <c r="H2" s="3"/>
      <c r="I2" s="3"/>
      <c r="J2" s="3"/>
      <c r="K2" s="3"/>
    </row>
    <row r="4" customFormat="false" ht="15" hidden="false" customHeight="false" outlineLevel="0" collapsed="false">
      <c r="C4" s="4" t="s">
        <v>1</v>
      </c>
      <c r="D4" s="4"/>
      <c r="E4" s="4"/>
      <c r="F4" s="5" t="s">
        <v>2</v>
      </c>
      <c r="G4" s="4" t="s">
        <v>3</v>
      </c>
      <c r="H4" s="4"/>
      <c r="I4" s="4"/>
      <c r="J4" s="5" t="s">
        <v>4</v>
      </c>
      <c r="K4" s="5" t="s">
        <v>5</v>
      </c>
    </row>
    <row r="5" customFormat="false" ht="31.5" hidden="false" customHeight="true" outlineLevel="0" collapsed="false">
      <c r="C5" s="6" t="n">
        <f aca="false">COUNTIFS(Inventory!$K:$K,"Open",Inventory!$C:$C,"Decision")</f>
        <v>0</v>
      </c>
      <c r="D5" s="6"/>
      <c r="E5" s="6"/>
      <c r="F5" s="7" t="n">
        <f aca="false">COUNTIF(Inventory!$K:$K,"Unconfirmed")</f>
        <v>0</v>
      </c>
      <c r="G5" s="6" t="n">
        <f aca="false">COUNTIFS(Inventory!$K:$K,"Open",Inventory!$C:$C,"Conflict")</f>
        <v>0</v>
      </c>
      <c r="H5" s="6"/>
      <c r="I5" s="6"/>
      <c r="J5" s="7" t="n">
        <f aca="false">COUNTIF(Jira!$P:$P,"Critical")+COUNTIF(Jira!$P:$P,"Warning")</f>
        <v>0</v>
      </c>
      <c r="K5" s="7" t="n">
        <f aca="false">COUNTIF(Done!$G:$G,"Yes")</f>
        <v>0</v>
      </c>
    </row>
    <row r="6" customFormat="false" ht="15" hidden="false" customHeight="false" outlineLevel="0" collapsed="false">
      <c r="C6" s="8" t="str">
        <f aca="false">COUNTIFS(Inventory!$K:$K,"Open",Inventory!$C:$C,"Decision",Inventory!$M:$M,"Critical")&amp;" past "&amp;DecisionCritical&amp;" days"</f>
        <v>0 past 7 days</v>
      </c>
      <c r="D6" s="8"/>
      <c r="E6" s="8"/>
      <c r="F6" s="9" t="str">
        <f aca="false">COUNTIFS(Inventory!$K:$K,"Unconfirmed",Inventory!$M:$M,"Warning")&amp;" older than "&amp;UnconfirmedWarn&amp;" days"</f>
        <v>0 older than 5 days</v>
      </c>
      <c r="G6" s="8" t="str">
        <f aca="false">"inventory stands until settled"</f>
        <v>inventory stands until settled</v>
      </c>
      <c r="H6" s="8"/>
      <c r="I6" s="8"/>
      <c r="J6" s="9" t="str">
        <f aca="false">"of "&amp;(COUNTA(Jira!$A$2:$A$501)-COUNTIF(Jira!$P:$P,"Closed"))&amp;" in flight · "&amp;COUNTIF(Jira!$P:$P,"Critical")&amp;" critical"</f>
        <v>of 0 in flight · 0 critical</v>
      </c>
      <c r="K6" s="9" t="str">
        <f aca="false">COUNTIF(Done!$F:$F,AsOf-WEEKDAY(AsOf,3)-7)&amp;" last week · "&amp;COUNTIF(Answers!$D:$D,"Reuse")&amp;" answers reused"</f>
        <v>0 last week · 0 answers reused</v>
      </c>
    </row>
    <row r="8" customFormat="false" ht="15" hidden="false" customHeight="false" outlineLevel="0" collapsed="false">
      <c r="B8" s="10" t="s">
        <v>6</v>
      </c>
      <c r="E8" s="11" t="s">
        <v>7</v>
      </c>
    </row>
    <row r="9" customFormat="false" ht="15" hidden="false" customHeight="false" outlineLevel="0" collapsed="false"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</row>
    <row r="10" customFormat="false" ht="15" hidden="false" customHeight="false" outlineLevel="0" collapsed="false">
      <c r="B10" s="13" t="n">
        <v>1</v>
      </c>
      <c r="C10" s="14" t="str">
        <f aca="false">IFERROR(INDEX(Inventory!$A$2:$A$1001,MATCH(LARGE(Inventory!$N$2:$N$1001,$B10),Inventory!$N$2:$N$1001,0)),"")</f>
        <v/>
      </c>
      <c r="D10" s="14" t="str">
        <f aca="false">IF($C10="","",INDEX(Inventory!$C$2:$C$1001,MATCH($C10,Inventory!$A$2:$A$1001,0))&amp;"")</f>
        <v/>
      </c>
      <c r="E10" s="14" t="str">
        <f aca="false">IF($C10="","",INDEX(Inventory!$D$2:$D$1001,MATCH($C10,Inventory!$A$2:$A$1001,0))&amp;"")</f>
        <v/>
      </c>
      <c r="F10" s="15" t="str">
        <f aca="false">IF($C10="","",INDEX(Inventory!$E$2:$E$1001,MATCH($C10,Inventory!$A$2:$A$1001,0))&amp;"")</f>
        <v/>
      </c>
      <c r="G10" s="16" t="str">
        <f aca="false">IF($C10="","",INDEX(Inventory!$L$2:$L$1001,MATCH($C10,Inventory!$A$2:$A$1001,0)))</f>
        <v/>
      </c>
      <c r="H10" s="14" t="str">
        <f aca="false">IF($C10="","",INDEX(Inventory!$M$2:$M$1001,MATCH($C10,Inventory!$A$2:$A$1001,0))&amp;"")</f>
        <v/>
      </c>
      <c r="I10" s="14" t="str">
        <f aca="false">IF($C10="","",INDEX(Inventory!$F$2:$F$1001,MATCH($C10,Inventory!$A$2:$A$1001,0))&amp;"")</f>
        <v/>
      </c>
      <c r="J10" s="17" t="str">
        <f aca="false">IF($C10="","",INDEX(Inventory!$O$2:$O$1001,MATCH($C10,Inventory!$A$2:$A$1001,0))&amp;"")</f>
        <v/>
      </c>
      <c r="K10" s="11" t="str">
        <f aca="false">IF(COUNT(Inventory!$N$2:$N$1001)=0,"Nothing open. Inventory is clear.",IF(COUNT(Inventory!$N$2:$N$1001)&gt;10,"+"&amp;(COUNT(Inventory!$N$2:$N$1001)-10)&amp;" more on the Inventory sheet",""))</f>
        <v>Nothing open. Inventory is clear.</v>
      </c>
    </row>
    <row r="11" customFormat="false" ht="15" hidden="false" customHeight="false" outlineLevel="0" collapsed="false">
      <c r="B11" s="13" t="n">
        <v>2</v>
      </c>
      <c r="C11" s="14" t="str">
        <f aca="false">IFERROR(INDEX(Inventory!$A$2:$A$1001,MATCH(LARGE(Inventory!$N$2:$N$1001,$B11),Inventory!$N$2:$N$1001,0)),"")</f>
        <v/>
      </c>
      <c r="D11" s="14" t="str">
        <f aca="false">IF($C11="","",INDEX(Inventory!$C$2:$C$1001,MATCH($C11,Inventory!$A$2:$A$1001,0))&amp;"")</f>
        <v/>
      </c>
      <c r="E11" s="14" t="str">
        <f aca="false">IF($C11="","",INDEX(Inventory!$D$2:$D$1001,MATCH($C11,Inventory!$A$2:$A$1001,0))&amp;"")</f>
        <v/>
      </c>
      <c r="F11" s="15" t="str">
        <f aca="false">IF($C11="","",INDEX(Inventory!$E$2:$E$1001,MATCH($C11,Inventory!$A$2:$A$1001,0))&amp;"")</f>
        <v/>
      </c>
      <c r="G11" s="16" t="str">
        <f aca="false">IF($C11="","",INDEX(Inventory!$L$2:$L$1001,MATCH($C11,Inventory!$A$2:$A$1001,0)))</f>
        <v/>
      </c>
      <c r="H11" s="14" t="str">
        <f aca="false">IF($C11="","",INDEX(Inventory!$M$2:$M$1001,MATCH($C11,Inventory!$A$2:$A$1001,0))&amp;"")</f>
        <v/>
      </c>
      <c r="I11" s="14" t="str">
        <f aca="false">IF($C11="","",INDEX(Inventory!$F$2:$F$1001,MATCH($C11,Inventory!$A$2:$A$1001,0))&amp;"")</f>
        <v/>
      </c>
      <c r="J11" s="17" t="str">
        <f aca="false">IF($C11="","",INDEX(Inventory!$O$2:$O$1001,MATCH($C11,Inventory!$A$2:$A$1001,0))&amp;"")</f>
        <v/>
      </c>
    </row>
    <row r="12" customFormat="false" ht="15" hidden="false" customHeight="false" outlineLevel="0" collapsed="false">
      <c r="B12" s="13" t="n">
        <v>3</v>
      </c>
      <c r="C12" s="14" t="str">
        <f aca="false">IFERROR(INDEX(Inventory!$A$2:$A$1001,MATCH(LARGE(Inventory!$N$2:$N$1001,$B12),Inventory!$N$2:$N$1001,0)),"")</f>
        <v/>
      </c>
      <c r="D12" s="14" t="str">
        <f aca="false">IF($C12="","",INDEX(Inventory!$C$2:$C$1001,MATCH($C12,Inventory!$A$2:$A$1001,0))&amp;"")</f>
        <v/>
      </c>
      <c r="E12" s="14" t="str">
        <f aca="false">IF($C12="","",INDEX(Inventory!$D$2:$D$1001,MATCH($C12,Inventory!$A$2:$A$1001,0))&amp;"")</f>
        <v/>
      </c>
      <c r="F12" s="15" t="str">
        <f aca="false">IF($C12="","",INDEX(Inventory!$E$2:$E$1001,MATCH($C12,Inventory!$A$2:$A$1001,0))&amp;"")</f>
        <v/>
      </c>
      <c r="G12" s="16" t="str">
        <f aca="false">IF($C12="","",INDEX(Inventory!$L$2:$L$1001,MATCH($C12,Inventory!$A$2:$A$1001,0)))</f>
        <v/>
      </c>
      <c r="H12" s="14" t="str">
        <f aca="false">IF($C12="","",INDEX(Inventory!$M$2:$M$1001,MATCH($C12,Inventory!$A$2:$A$1001,0))&amp;"")</f>
        <v/>
      </c>
      <c r="I12" s="14" t="str">
        <f aca="false">IF($C12="","",INDEX(Inventory!$F$2:$F$1001,MATCH($C12,Inventory!$A$2:$A$1001,0))&amp;"")</f>
        <v/>
      </c>
      <c r="J12" s="17" t="str">
        <f aca="false">IF($C12="","",INDEX(Inventory!$O$2:$O$1001,MATCH($C12,Inventory!$A$2:$A$1001,0))&amp;"")</f>
        <v/>
      </c>
    </row>
    <row r="13" customFormat="false" ht="15" hidden="false" customHeight="false" outlineLevel="0" collapsed="false">
      <c r="B13" s="13" t="n">
        <v>4</v>
      </c>
      <c r="C13" s="14" t="str">
        <f aca="false">IFERROR(INDEX(Inventory!$A$2:$A$1001,MATCH(LARGE(Inventory!$N$2:$N$1001,$B13),Inventory!$N$2:$N$1001,0)),"")</f>
        <v/>
      </c>
      <c r="D13" s="14" t="str">
        <f aca="false">IF($C13="","",INDEX(Inventory!$C$2:$C$1001,MATCH($C13,Inventory!$A$2:$A$1001,0))&amp;"")</f>
        <v/>
      </c>
      <c r="E13" s="14" t="str">
        <f aca="false">IF($C13="","",INDEX(Inventory!$D$2:$D$1001,MATCH($C13,Inventory!$A$2:$A$1001,0))&amp;"")</f>
        <v/>
      </c>
      <c r="F13" s="15" t="str">
        <f aca="false">IF($C13="","",INDEX(Inventory!$E$2:$E$1001,MATCH($C13,Inventory!$A$2:$A$1001,0))&amp;"")</f>
        <v/>
      </c>
      <c r="G13" s="16" t="str">
        <f aca="false">IF($C13="","",INDEX(Inventory!$L$2:$L$1001,MATCH($C13,Inventory!$A$2:$A$1001,0)))</f>
        <v/>
      </c>
      <c r="H13" s="14" t="str">
        <f aca="false">IF($C13="","",INDEX(Inventory!$M$2:$M$1001,MATCH($C13,Inventory!$A$2:$A$1001,0))&amp;"")</f>
        <v/>
      </c>
      <c r="I13" s="14" t="str">
        <f aca="false">IF($C13="","",INDEX(Inventory!$F$2:$F$1001,MATCH($C13,Inventory!$A$2:$A$1001,0))&amp;"")</f>
        <v/>
      </c>
      <c r="J13" s="17" t="str">
        <f aca="false">IF($C13="","",INDEX(Inventory!$O$2:$O$1001,MATCH($C13,Inventory!$A$2:$A$1001,0))&amp;"")</f>
        <v/>
      </c>
    </row>
    <row r="14" customFormat="false" ht="15" hidden="false" customHeight="false" outlineLevel="0" collapsed="false">
      <c r="B14" s="13" t="n">
        <v>5</v>
      </c>
      <c r="C14" s="14" t="str">
        <f aca="false">IFERROR(INDEX(Inventory!$A$2:$A$1001,MATCH(LARGE(Inventory!$N$2:$N$1001,$B14),Inventory!$N$2:$N$1001,0)),"")</f>
        <v/>
      </c>
      <c r="D14" s="14" t="str">
        <f aca="false">IF($C14="","",INDEX(Inventory!$C$2:$C$1001,MATCH($C14,Inventory!$A$2:$A$1001,0))&amp;"")</f>
        <v/>
      </c>
      <c r="E14" s="14" t="str">
        <f aca="false">IF($C14="","",INDEX(Inventory!$D$2:$D$1001,MATCH($C14,Inventory!$A$2:$A$1001,0))&amp;"")</f>
        <v/>
      </c>
      <c r="F14" s="15" t="str">
        <f aca="false">IF($C14="","",INDEX(Inventory!$E$2:$E$1001,MATCH($C14,Inventory!$A$2:$A$1001,0))&amp;"")</f>
        <v/>
      </c>
      <c r="G14" s="16" t="str">
        <f aca="false">IF($C14="","",INDEX(Inventory!$L$2:$L$1001,MATCH($C14,Inventory!$A$2:$A$1001,0)))</f>
        <v/>
      </c>
      <c r="H14" s="14" t="str">
        <f aca="false">IF($C14="","",INDEX(Inventory!$M$2:$M$1001,MATCH($C14,Inventory!$A$2:$A$1001,0))&amp;"")</f>
        <v/>
      </c>
      <c r="I14" s="14" t="str">
        <f aca="false">IF($C14="","",INDEX(Inventory!$F$2:$F$1001,MATCH($C14,Inventory!$A$2:$A$1001,0))&amp;"")</f>
        <v/>
      </c>
      <c r="J14" s="17" t="str">
        <f aca="false">IF($C14="","",INDEX(Inventory!$O$2:$O$1001,MATCH($C14,Inventory!$A$2:$A$1001,0))&amp;"")</f>
        <v/>
      </c>
    </row>
    <row r="15" customFormat="false" ht="15" hidden="false" customHeight="false" outlineLevel="0" collapsed="false">
      <c r="B15" s="13" t="n">
        <v>6</v>
      </c>
      <c r="C15" s="14" t="str">
        <f aca="false">IFERROR(INDEX(Inventory!$A$2:$A$1001,MATCH(LARGE(Inventory!$N$2:$N$1001,$B15),Inventory!$N$2:$N$1001,0)),"")</f>
        <v/>
      </c>
      <c r="D15" s="14" t="str">
        <f aca="false">IF($C15="","",INDEX(Inventory!$C$2:$C$1001,MATCH($C15,Inventory!$A$2:$A$1001,0))&amp;"")</f>
        <v/>
      </c>
      <c r="E15" s="14" t="str">
        <f aca="false">IF($C15="","",INDEX(Inventory!$D$2:$D$1001,MATCH($C15,Inventory!$A$2:$A$1001,0))&amp;"")</f>
        <v/>
      </c>
      <c r="F15" s="15" t="str">
        <f aca="false">IF($C15="","",INDEX(Inventory!$E$2:$E$1001,MATCH($C15,Inventory!$A$2:$A$1001,0))&amp;"")</f>
        <v/>
      </c>
      <c r="G15" s="16" t="str">
        <f aca="false">IF($C15="","",INDEX(Inventory!$L$2:$L$1001,MATCH($C15,Inventory!$A$2:$A$1001,0)))</f>
        <v/>
      </c>
      <c r="H15" s="14" t="str">
        <f aca="false">IF($C15="","",INDEX(Inventory!$M$2:$M$1001,MATCH($C15,Inventory!$A$2:$A$1001,0))&amp;"")</f>
        <v/>
      </c>
      <c r="I15" s="14" t="str">
        <f aca="false">IF($C15="","",INDEX(Inventory!$F$2:$F$1001,MATCH($C15,Inventory!$A$2:$A$1001,0))&amp;"")</f>
        <v/>
      </c>
      <c r="J15" s="17" t="str">
        <f aca="false">IF($C15="","",INDEX(Inventory!$O$2:$O$1001,MATCH($C15,Inventory!$A$2:$A$1001,0))&amp;"")</f>
        <v/>
      </c>
    </row>
    <row r="16" customFormat="false" ht="15" hidden="false" customHeight="false" outlineLevel="0" collapsed="false">
      <c r="B16" s="13" t="n">
        <v>7</v>
      </c>
      <c r="C16" s="14" t="str">
        <f aca="false">IFERROR(INDEX(Inventory!$A$2:$A$1001,MATCH(LARGE(Inventory!$N$2:$N$1001,$B16),Inventory!$N$2:$N$1001,0)),"")</f>
        <v/>
      </c>
      <c r="D16" s="14" t="str">
        <f aca="false">IF($C16="","",INDEX(Inventory!$C$2:$C$1001,MATCH($C16,Inventory!$A$2:$A$1001,0))&amp;"")</f>
        <v/>
      </c>
      <c r="E16" s="14" t="str">
        <f aca="false">IF($C16="","",INDEX(Inventory!$D$2:$D$1001,MATCH($C16,Inventory!$A$2:$A$1001,0))&amp;"")</f>
        <v/>
      </c>
      <c r="F16" s="15" t="str">
        <f aca="false">IF($C16="","",INDEX(Inventory!$E$2:$E$1001,MATCH($C16,Inventory!$A$2:$A$1001,0))&amp;"")</f>
        <v/>
      </c>
      <c r="G16" s="16" t="str">
        <f aca="false">IF($C16="","",INDEX(Inventory!$L$2:$L$1001,MATCH($C16,Inventory!$A$2:$A$1001,0)))</f>
        <v/>
      </c>
      <c r="H16" s="14" t="str">
        <f aca="false">IF($C16="","",INDEX(Inventory!$M$2:$M$1001,MATCH($C16,Inventory!$A$2:$A$1001,0))&amp;"")</f>
        <v/>
      </c>
      <c r="I16" s="14" t="str">
        <f aca="false">IF($C16="","",INDEX(Inventory!$F$2:$F$1001,MATCH($C16,Inventory!$A$2:$A$1001,0))&amp;"")</f>
        <v/>
      </c>
      <c r="J16" s="17" t="str">
        <f aca="false">IF($C16="","",INDEX(Inventory!$O$2:$O$1001,MATCH($C16,Inventory!$A$2:$A$1001,0))&amp;"")</f>
        <v/>
      </c>
    </row>
    <row r="17" customFormat="false" ht="15" hidden="false" customHeight="false" outlineLevel="0" collapsed="false">
      <c r="B17" s="13" t="n">
        <v>8</v>
      </c>
      <c r="C17" s="14" t="str">
        <f aca="false">IFERROR(INDEX(Inventory!$A$2:$A$1001,MATCH(LARGE(Inventory!$N$2:$N$1001,$B17),Inventory!$N$2:$N$1001,0)),"")</f>
        <v/>
      </c>
      <c r="D17" s="14" t="str">
        <f aca="false">IF($C17="","",INDEX(Inventory!$C$2:$C$1001,MATCH($C17,Inventory!$A$2:$A$1001,0))&amp;"")</f>
        <v/>
      </c>
      <c r="E17" s="14" t="str">
        <f aca="false">IF($C17="","",INDEX(Inventory!$D$2:$D$1001,MATCH($C17,Inventory!$A$2:$A$1001,0))&amp;"")</f>
        <v/>
      </c>
      <c r="F17" s="15" t="str">
        <f aca="false">IF($C17="","",INDEX(Inventory!$E$2:$E$1001,MATCH($C17,Inventory!$A$2:$A$1001,0))&amp;"")</f>
        <v/>
      </c>
      <c r="G17" s="16" t="str">
        <f aca="false">IF($C17="","",INDEX(Inventory!$L$2:$L$1001,MATCH($C17,Inventory!$A$2:$A$1001,0)))</f>
        <v/>
      </c>
      <c r="H17" s="14" t="str">
        <f aca="false">IF($C17="","",INDEX(Inventory!$M$2:$M$1001,MATCH($C17,Inventory!$A$2:$A$1001,0))&amp;"")</f>
        <v/>
      </c>
      <c r="I17" s="14" t="str">
        <f aca="false">IF($C17="","",INDEX(Inventory!$F$2:$F$1001,MATCH($C17,Inventory!$A$2:$A$1001,0))&amp;"")</f>
        <v/>
      </c>
      <c r="J17" s="17" t="str">
        <f aca="false">IF($C17="","",INDEX(Inventory!$O$2:$O$1001,MATCH($C17,Inventory!$A$2:$A$1001,0))&amp;"")</f>
        <v/>
      </c>
    </row>
    <row r="18" customFormat="false" ht="15" hidden="false" customHeight="false" outlineLevel="0" collapsed="false">
      <c r="B18" s="13" t="n">
        <v>9</v>
      </c>
      <c r="C18" s="14" t="str">
        <f aca="false">IFERROR(INDEX(Inventory!$A$2:$A$1001,MATCH(LARGE(Inventory!$N$2:$N$1001,$B18),Inventory!$N$2:$N$1001,0)),"")</f>
        <v/>
      </c>
      <c r="D18" s="14" t="str">
        <f aca="false">IF($C18="","",INDEX(Inventory!$C$2:$C$1001,MATCH($C18,Inventory!$A$2:$A$1001,0))&amp;"")</f>
        <v/>
      </c>
      <c r="E18" s="14" t="str">
        <f aca="false">IF($C18="","",INDEX(Inventory!$D$2:$D$1001,MATCH($C18,Inventory!$A$2:$A$1001,0))&amp;"")</f>
        <v/>
      </c>
      <c r="F18" s="15" t="str">
        <f aca="false">IF($C18="","",INDEX(Inventory!$E$2:$E$1001,MATCH($C18,Inventory!$A$2:$A$1001,0))&amp;"")</f>
        <v/>
      </c>
      <c r="G18" s="16" t="str">
        <f aca="false">IF($C18="","",INDEX(Inventory!$L$2:$L$1001,MATCH($C18,Inventory!$A$2:$A$1001,0)))</f>
        <v/>
      </c>
      <c r="H18" s="14" t="str">
        <f aca="false">IF($C18="","",INDEX(Inventory!$M$2:$M$1001,MATCH($C18,Inventory!$A$2:$A$1001,0))&amp;"")</f>
        <v/>
      </c>
      <c r="I18" s="14" t="str">
        <f aca="false">IF($C18="","",INDEX(Inventory!$F$2:$F$1001,MATCH($C18,Inventory!$A$2:$A$1001,0))&amp;"")</f>
        <v/>
      </c>
      <c r="J18" s="17" t="str">
        <f aca="false">IF($C18="","",INDEX(Inventory!$O$2:$O$1001,MATCH($C18,Inventory!$A$2:$A$1001,0))&amp;"")</f>
        <v/>
      </c>
    </row>
    <row r="19" customFormat="false" ht="15" hidden="false" customHeight="false" outlineLevel="0" collapsed="false">
      <c r="B19" s="13" t="n">
        <v>10</v>
      </c>
      <c r="C19" s="14" t="str">
        <f aca="false">IFERROR(INDEX(Inventory!$A$2:$A$1001,MATCH(LARGE(Inventory!$N$2:$N$1001,$B19),Inventory!$N$2:$N$1001,0)),"")</f>
        <v/>
      </c>
      <c r="D19" s="14" t="str">
        <f aca="false">IF($C19="","",INDEX(Inventory!$C$2:$C$1001,MATCH($C19,Inventory!$A$2:$A$1001,0))&amp;"")</f>
        <v/>
      </c>
      <c r="E19" s="14" t="str">
        <f aca="false">IF($C19="","",INDEX(Inventory!$D$2:$D$1001,MATCH($C19,Inventory!$A$2:$A$1001,0))&amp;"")</f>
        <v/>
      </c>
      <c r="F19" s="15" t="str">
        <f aca="false">IF($C19="","",INDEX(Inventory!$E$2:$E$1001,MATCH($C19,Inventory!$A$2:$A$1001,0))&amp;"")</f>
        <v/>
      </c>
      <c r="G19" s="16" t="str">
        <f aca="false">IF($C19="","",INDEX(Inventory!$L$2:$L$1001,MATCH($C19,Inventory!$A$2:$A$1001,0)))</f>
        <v/>
      </c>
      <c r="H19" s="14" t="str">
        <f aca="false">IF($C19="","",INDEX(Inventory!$M$2:$M$1001,MATCH($C19,Inventory!$A$2:$A$1001,0))&amp;"")</f>
        <v/>
      </c>
      <c r="I19" s="14" t="str">
        <f aca="false">IF($C19="","",INDEX(Inventory!$F$2:$F$1001,MATCH($C19,Inventory!$A$2:$A$1001,0))&amp;"")</f>
        <v/>
      </c>
      <c r="J19" s="17" t="str">
        <f aca="false">IF($C19="","",INDEX(Inventory!$O$2:$O$1001,MATCH($C19,Inventory!$A$2:$A$1001,0))&amp;"")</f>
        <v/>
      </c>
    </row>
    <row r="21" customFormat="false" ht="15" hidden="false" customHeight="false" outlineLevel="0" collapsed="false">
      <c r="B21" s="10" t="s">
        <v>17</v>
      </c>
      <c r="E21" s="11" t="s">
        <v>18</v>
      </c>
    </row>
    <row r="22" customFormat="false" ht="15" hidden="false" customHeight="false" outlineLevel="0" collapsed="false">
      <c r="B22" s="12" t="s">
        <v>8</v>
      </c>
      <c r="C22" s="12" t="s">
        <v>19</v>
      </c>
      <c r="D22" s="12" t="s">
        <v>20</v>
      </c>
      <c r="E22" s="12" t="s">
        <v>21</v>
      </c>
      <c r="F22" s="12" t="s">
        <v>12</v>
      </c>
      <c r="G22" s="12" t="s">
        <v>22</v>
      </c>
      <c r="H22" s="12" t="s">
        <v>23</v>
      </c>
      <c r="I22" s="12"/>
      <c r="J22" s="12" t="s">
        <v>24</v>
      </c>
      <c r="K22" s="12" t="s">
        <v>16</v>
      </c>
    </row>
    <row r="23" customFormat="false" ht="15" hidden="false" customHeight="false" outlineLevel="0" collapsed="false">
      <c r="B23" s="13" t="n">
        <v>1</v>
      </c>
      <c r="C23" s="14" t="str">
        <f aca="false">IFERROR(INDEX(Jira!$A$2:$A$501,MATCH(LARGE(Jira!$R$2:$R$501,$B23),Jira!$R$2:$R$501,0)),"")</f>
        <v/>
      </c>
      <c r="D23" s="14" t="str">
        <f aca="false">IF($C23="","",INDEX(Jira!$M$2:$M$501,MATCH($C23,Jira!$A$2:$A$501,0))&amp;"")</f>
        <v/>
      </c>
      <c r="E23" s="14" t="str">
        <f aca="false">IF($C23="","",INDEX(Jira!$F$2:$F$501,MATCH($C23,Jira!$A$2:$A$501,0))&amp;"")</f>
        <v/>
      </c>
      <c r="F23" s="15" t="str">
        <f aca="false">IF($C23="","",INDEX(Jira!$B$2:$B$501,MATCH($C23,Jira!$A$2:$A$501,0))&amp;"")</f>
        <v/>
      </c>
      <c r="G23" s="16" t="str">
        <f aca="false">IF($C23="","",INDEX(Jira!$N$2:$N$501,MATCH($C23,Jira!$A$2:$A$501,0)))</f>
        <v/>
      </c>
      <c r="H23" s="14" t="str">
        <f aca="false">IF($C23="","",INDEX(Jira!$P$2:$P$501,MATCH($C23,Jira!$A$2:$A$501,0))&amp;"")</f>
        <v/>
      </c>
      <c r="I23" s="14"/>
      <c r="J23" s="15" t="str">
        <f aca="false">IF($C23="","",INDEX(Jira!$Q$2:$Q$501,MATCH($C23,Jira!$A$2:$A$501,0))&amp;"")</f>
        <v/>
      </c>
      <c r="K23" s="17" t="str">
        <f aca="false">IF($C23="","",INDEX(Jira!$S$2:$S$501,MATCH($C23,Jira!$A$2:$A$501,0))&amp;"")</f>
        <v/>
      </c>
    </row>
    <row r="24" customFormat="false" ht="15" hidden="false" customHeight="false" outlineLevel="0" collapsed="false">
      <c r="B24" s="13" t="n">
        <v>2</v>
      </c>
      <c r="C24" s="14" t="str">
        <f aca="false">IFERROR(INDEX(Jira!$A$2:$A$501,MATCH(LARGE(Jira!$R$2:$R$501,$B24),Jira!$R$2:$R$501,0)),"")</f>
        <v/>
      </c>
      <c r="D24" s="14" t="str">
        <f aca="false">IF($C24="","",INDEX(Jira!$M$2:$M$501,MATCH($C24,Jira!$A$2:$A$501,0))&amp;"")</f>
        <v/>
      </c>
      <c r="E24" s="14" t="str">
        <f aca="false">IF($C24="","",INDEX(Jira!$F$2:$F$501,MATCH($C24,Jira!$A$2:$A$501,0))&amp;"")</f>
        <v/>
      </c>
      <c r="F24" s="15" t="str">
        <f aca="false">IF($C24="","",INDEX(Jira!$B$2:$B$501,MATCH($C24,Jira!$A$2:$A$501,0))&amp;"")</f>
        <v/>
      </c>
      <c r="G24" s="16" t="str">
        <f aca="false">IF($C24="","",INDEX(Jira!$N$2:$N$501,MATCH($C24,Jira!$A$2:$A$501,0)))</f>
        <v/>
      </c>
      <c r="H24" s="14" t="str">
        <f aca="false">IF($C24="","",INDEX(Jira!$P$2:$P$501,MATCH($C24,Jira!$A$2:$A$501,0))&amp;"")</f>
        <v/>
      </c>
      <c r="I24" s="14"/>
      <c r="J24" s="15" t="str">
        <f aca="false">IF($C24="","",INDEX(Jira!$Q$2:$Q$501,MATCH($C24,Jira!$A$2:$A$501,0))&amp;"")</f>
        <v/>
      </c>
      <c r="K24" s="17" t="str">
        <f aca="false">IF($C24="","",INDEX(Jira!$S$2:$S$501,MATCH($C24,Jira!$A$2:$A$501,0))&amp;"")</f>
        <v/>
      </c>
    </row>
    <row r="25" customFormat="false" ht="15" hidden="false" customHeight="false" outlineLevel="0" collapsed="false">
      <c r="B25" s="13" t="n">
        <v>3</v>
      </c>
      <c r="C25" s="14" t="str">
        <f aca="false">IFERROR(INDEX(Jira!$A$2:$A$501,MATCH(LARGE(Jira!$R$2:$R$501,$B25),Jira!$R$2:$R$501,0)),"")</f>
        <v/>
      </c>
      <c r="D25" s="14" t="str">
        <f aca="false">IF($C25="","",INDEX(Jira!$M$2:$M$501,MATCH($C25,Jira!$A$2:$A$501,0))&amp;"")</f>
        <v/>
      </c>
      <c r="E25" s="14" t="str">
        <f aca="false">IF($C25="","",INDEX(Jira!$F$2:$F$501,MATCH($C25,Jira!$A$2:$A$501,0))&amp;"")</f>
        <v/>
      </c>
      <c r="F25" s="15" t="str">
        <f aca="false">IF($C25="","",INDEX(Jira!$B$2:$B$501,MATCH($C25,Jira!$A$2:$A$501,0))&amp;"")</f>
        <v/>
      </c>
      <c r="G25" s="16" t="str">
        <f aca="false">IF($C25="","",INDEX(Jira!$N$2:$N$501,MATCH($C25,Jira!$A$2:$A$501,0)))</f>
        <v/>
      </c>
      <c r="H25" s="14" t="str">
        <f aca="false">IF($C25="","",INDEX(Jira!$P$2:$P$501,MATCH($C25,Jira!$A$2:$A$501,0))&amp;"")</f>
        <v/>
      </c>
      <c r="I25" s="14"/>
      <c r="J25" s="15" t="str">
        <f aca="false">IF($C25="","",INDEX(Jira!$Q$2:$Q$501,MATCH($C25,Jira!$A$2:$A$501,0))&amp;"")</f>
        <v/>
      </c>
      <c r="K25" s="17" t="str">
        <f aca="false">IF($C25="","",INDEX(Jira!$S$2:$S$501,MATCH($C25,Jira!$A$2:$A$501,0))&amp;"")</f>
        <v/>
      </c>
    </row>
    <row r="26" customFormat="false" ht="15" hidden="false" customHeight="false" outlineLevel="0" collapsed="false">
      <c r="B26" s="13" t="n">
        <v>4</v>
      </c>
      <c r="C26" s="14" t="str">
        <f aca="false">IFERROR(INDEX(Jira!$A$2:$A$501,MATCH(LARGE(Jira!$R$2:$R$501,$B26),Jira!$R$2:$R$501,0)),"")</f>
        <v/>
      </c>
      <c r="D26" s="14" t="str">
        <f aca="false">IF($C26="","",INDEX(Jira!$M$2:$M$501,MATCH($C26,Jira!$A$2:$A$501,0))&amp;"")</f>
        <v/>
      </c>
      <c r="E26" s="14" t="str">
        <f aca="false">IF($C26="","",INDEX(Jira!$F$2:$F$501,MATCH($C26,Jira!$A$2:$A$501,0))&amp;"")</f>
        <v/>
      </c>
      <c r="F26" s="15" t="str">
        <f aca="false">IF($C26="","",INDEX(Jira!$B$2:$B$501,MATCH($C26,Jira!$A$2:$A$501,0))&amp;"")</f>
        <v/>
      </c>
      <c r="G26" s="16" t="str">
        <f aca="false">IF($C26="","",INDEX(Jira!$N$2:$N$501,MATCH($C26,Jira!$A$2:$A$501,0)))</f>
        <v/>
      </c>
      <c r="H26" s="14" t="str">
        <f aca="false">IF($C26="","",INDEX(Jira!$P$2:$P$501,MATCH($C26,Jira!$A$2:$A$501,0))&amp;"")</f>
        <v/>
      </c>
      <c r="I26" s="14"/>
      <c r="J26" s="15" t="str">
        <f aca="false">IF($C26="","",INDEX(Jira!$Q$2:$Q$501,MATCH($C26,Jira!$A$2:$A$501,0))&amp;"")</f>
        <v/>
      </c>
      <c r="K26" s="17" t="str">
        <f aca="false">IF($C26="","",INDEX(Jira!$S$2:$S$501,MATCH($C26,Jira!$A$2:$A$501,0))&amp;"")</f>
        <v/>
      </c>
    </row>
    <row r="27" customFormat="false" ht="15" hidden="false" customHeight="false" outlineLevel="0" collapsed="false">
      <c r="B27" s="13" t="n">
        <v>5</v>
      </c>
      <c r="C27" s="14" t="str">
        <f aca="false">IFERROR(INDEX(Jira!$A$2:$A$501,MATCH(LARGE(Jira!$R$2:$R$501,$B27),Jira!$R$2:$R$501,0)),"")</f>
        <v/>
      </c>
      <c r="D27" s="14" t="str">
        <f aca="false">IF($C27="","",INDEX(Jira!$M$2:$M$501,MATCH($C27,Jira!$A$2:$A$501,0))&amp;"")</f>
        <v/>
      </c>
      <c r="E27" s="14" t="str">
        <f aca="false">IF($C27="","",INDEX(Jira!$F$2:$F$501,MATCH($C27,Jira!$A$2:$A$501,0))&amp;"")</f>
        <v/>
      </c>
      <c r="F27" s="15" t="str">
        <f aca="false">IF($C27="","",INDEX(Jira!$B$2:$B$501,MATCH($C27,Jira!$A$2:$A$501,0))&amp;"")</f>
        <v/>
      </c>
      <c r="G27" s="16" t="str">
        <f aca="false">IF($C27="","",INDEX(Jira!$N$2:$N$501,MATCH($C27,Jira!$A$2:$A$501,0)))</f>
        <v/>
      </c>
      <c r="H27" s="14" t="str">
        <f aca="false">IF($C27="","",INDEX(Jira!$P$2:$P$501,MATCH($C27,Jira!$A$2:$A$501,0))&amp;"")</f>
        <v/>
      </c>
      <c r="I27" s="14"/>
      <c r="J27" s="15" t="str">
        <f aca="false">IF($C27="","",INDEX(Jira!$Q$2:$Q$501,MATCH($C27,Jira!$A$2:$A$501,0))&amp;"")</f>
        <v/>
      </c>
      <c r="K27" s="17" t="str">
        <f aca="false">IF($C27="","",INDEX(Jira!$S$2:$S$501,MATCH($C27,Jira!$A$2:$A$501,0))&amp;"")</f>
        <v/>
      </c>
    </row>
    <row r="28" customFormat="false" ht="15" hidden="false" customHeight="false" outlineLevel="0" collapsed="false">
      <c r="B28" s="13" t="n">
        <v>6</v>
      </c>
      <c r="C28" s="14" t="str">
        <f aca="false">IFERROR(INDEX(Jira!$A$2:$A$501,MATCH(LARGE(Jira!$R$2:$R$501,$B28),Jira!$R$2:$R$501,0)),"")</f>
        <v/>
      </c>
      <c r="D28" s="14" t="str">
        <f aca="false">IF($C28="","",INDEX(Jira!$M$2:$M$501,MATCH($C28,Jira!$A$2:$A$501,0))&amp;"")</f>
        <v/>
      </c>
      <c r="E28" s="14" t="str">
        <f aca="false">IF($C28="","",INDEX(Jira!$F$2:$F$501,MATCH($C28,Jira!$A$2:$A$501,0))&amp;"")</f>
        <v/>
      </c>
      <c r="F28" s="15" t="str">
        <f aca="false">IF($C28="","",INDEX(Jira!$B$2:$B$501,MATCH($C28,Jira!$A$2:$A$501,0))&amp;"")</f>
        <v/>
      </c>
      <c r="G28" s="16" t="str">
        <f aca="false">IF($C28="","",INDEX(Jira!$N$2:$N$501,MATCH($C28,Jira!$A$2:$A$501,0)))</f>
        <v/>
      </c>
      <c r="H28" s="14" t="str">
        <f aca="false">IF($C28="","",INDEX(Jira!$P$2:$P$501,MATCH($C28,Jira!$A$2:$A$501,0))&amp;"")</f>
        <v/>
      </c>
      <c r="I28" s="14"/>
      <c r="J28" s="15" t="str">
        <f aca="false">IF($C28="","",INDEX(Jira!$Q$2:$Q$501,MATCH($C28,Jira!$A$2:$A$501,0))&amp;"")</f>
        <v/>
      </c>
      <c r="K28" s="17" t="str">
        <f aca="false">IF($C28="","",INDEX(Jira!$S$2:$S$501,MATCH($C28,Jira!$A$2:$A$501,0))&amp;"")</f>
        <v/>
      </c>
    </row>
    <row r="29" customFormat="false" ht="15" hidden="false" customHeight="false" outlineLevel="0" collapsed="false">
      <c r="B29" s="13" t="n">
        <v>7</v>
      </c>
      <c r="C29" s="14" t="str">
        <f aca="false">IFERROR(INDEX(Jira!$A$2:$A$501,MATCH(LARGE(Jira!$R$2:$R$501,$B29),Jira!$R$2:$R$501,0)),"")</f>
        <v/>
      </c>
      <c r="D29" s="14" t="str">
        <f aca="false">IF($C29="","",INDEX(Jira!$M$2:$M$501,MATCH($C29,Jira!$A$2:$A$501,0))&amp;"")</f>
        <v/>
      </c>
      <c r="E29" s="14" t="str">
        <f aca="false">IF($C29="","",INDEX(Jira!$F$2:$F$501,MATCH($C29,Jira!$A$2:$A$501,0))&amp;"")</f>
        <v/>
      </c>
      <c r="F29" s="15" t="str">
        <f aca="false">IF($C29="","",INDEX(Jira!$B$2:$B$501,MATCH($C29,Jira!$A$2:$A$501,0))&amp;"")</f>
        <v/>
      </c>
      <c r="G29" s="16" t="str">
        <f aca="false">IF($C29="","",INDEX(Jira!$N$2:$N$501,MATCH($C29,Jira!$A$2:$A$501,0)))</f>
        <v/>
      </c>
      <c r="H29" s="14" t="str">
        <f aca="false">IF($C29="","",INDEX(Jira!$P$2:$P$501,MATCH($C29,Jira!$A$2:$A$501,0))&amp;"")</f>
        <v/>
      </c>
      <c r="I29" s="14"/>
      <c r="J29" s="15" t="str">
        <f aca="false">IF($C29="","",INDEX(Jira!$Q$2:$Q$501,MATCH($C29,Jira!$A$2:$A$501,0))&amp;"")</f>
        <v/>
      </c>
      <c r="K29" s="17" t="str">
        <f aca="false">IF($C29="","",INDEX(Jira!$S$2:$S$501,MATCH($C29,Jira!$A$2:$A$501,0))&amp;"")</f>
        <v/>
      </c>
    </row>
    <row r="30" customFormat="false" ht="15" hidden="false" customHeight="false" outlineLevel="0" collapsed="false">
      <c r="B30" s="13" t="n">
        <v>8</v>
      </c>
      <c r="C30" s="14" t="str">
        <f aca="false">IFERROR(INDEX(Jira!$A$2:$A$501,MATCH(LARGE(Jira!$R$2:$R$501,$B30),Jira!$R$2:$R$501,0)),"")</f>
        <v/>
      </c>
      <c r="D30" s="14" t="str">
        <f aca="false">IF($C30="","",INDEX(Jira!$M$2:$M$501,MATCH($C30,Jira!$A$2:$A$501,0))&amp;"")</f>
        <v/>
      </c>
      <c r="E30" s="14" t="str">
        <f aca="false">IF($C30="","",INDEX(Jira!$F$2:$F$501,MATCH($C30,Jira!$A$2:$A$501,0))&amp;"")</f>
        <v/>
      </c>
      <c r="F30" s="15" t="str">
        <f aca="false">IF($C30="","",INDEX(Jira!$B$2:$B$501,MATCH($C30,Jira!$A$2:$A$501,0))&amp;"")</f>
        <v/>
      </c>
      <c r="G30" s="16" t="str">
        <f aca="false">IF($C30="","",INDEX(Jira!$N$2:$N$501,MATCH($C30,Jira!$A$2:$A$501,0)))</f>
        <v/>
      </c>
      <c r="H30" s="14" t="str">
        <f aca="false">IF($C30="","",INDEX(Jira!$P$2:$P$501,MATCH($C30,Jira!$A$2:$A$501,0))&amp;"")</f>
        <v/>
      </c>
      <c r="I30" s="14"/>
      <c r="J30" s="15" t="str">
        <f aca="false">IF($C30="","",INDEX(Jira!$Q$2:$Q$501,MATCH($C30,Jira!$A$2:$A$501,0))&amp;"")</f>
        <v/>
      </c>
      <c r="K30" s="17" t="str">
        <f aca="false">IF($C30="","",INDEX(Jira!$S$2:$S$501,MATCH($C30,Jira!$A$2:$A$501,0))&amp;"")</f>
        <v/>
      </c>
    </row>
    <row r="31" customFormat="false" ht="15" hidden="false" customHeight="false" outlineLevel="0" collapsed="false">
      <c r="B31" s="13" t="n">
        <v>9</v>
      </c>
      <c r="C31" s="14" t="str">
        <f aca="false">IFERROR(INDEX(Jira!$A$2:$A$501,MATCH(LARGE(Jira!$R$2:$R$501,$B31),Jira!$R$2:$R$501,0)),"")</f>
        <v/>
      </c>
      <c r="D31" s="14" t="str">
        <f aca="false">IF($C31="","",INDEX(Jira!$M$2:$M$501,MATCH($C31,Jira!$A$2:$A$501,0))&amp;"")</f>
        <v/>
      </c>
      <c r="E31" s="14" t="str">
        <f aca="false">IF($C31="","",INDEX(Jira!$F$2:$F$501,MATCH($C31,Jira!$A$2:$A$501,0))&amp;"")</f>
        <v/>
      </c>
      <c r="F31" s="15" t="str">
        <f aca="false">IF($C31="","",INDEX(Jira!$B$2:$B$501,MATCH($C31,Jira!$A$2:$A$501,0))&amp;"")</f>
        <v/>
      </c>
      <c r="G31" s="16" t="str">
        <f aca="false">IF($C31="","",INDEX(Jira!$N$2:$N$501,MATCH($C31,Jira!$A$2:$A$501,0)))</f>
        <v/>
      </c>
      <c r="H31" s="14" t="str">
        <f aca="false">IF($C31="","",INDEX(Jira!$P$2:$P$501,MATCH($C31,Jira!$A$2:$A$501,0))&amp;"")</f>
        <v/>
      </c>
      <c r="I31" s="14"/>
      <c r="J31" s="15" t="str">
        <f aca="false">IF($C31="","",INDEX(Jira!$Q$2:$Q$501,MATCH($C31,Jira!$A$2:$A$501,0))&amp;"")</f>
        <v/>
      </c>
      <c r="K31" s="17" t="str">
        <f aca="false">IF($C31="","",INDEX(Jira!$S$2:$S$501,MATCH($C31,Jira!$A$2:$A$501,0))&amp;"")</f>
        <v/>
      </c>
    </row>
    <row r="32" customFormat="false" ht="15" hidden="false" customHeight="false" outlineLevel="0" collapsed="false">
      <c r="B32" s="13" t="n">
        <v>10</v>
      </c>
      <c r="C32" s="14" t="str">
        <f aca="false">IFERROR(INDEX(Jira!$A$2:$A$501,MATCH(LARGE(Jira!$R$2:$R$501,$B32),Jira!$R$2:$R$501,0)),"")</f>
        <v/>
      </c>
      <c r="D32" s="14" t="str">
        <f aca="false">IF($C32="","",INDEX(Jira!$M$2:$M$501,MATCH($C32,Jira!$A$2:$A$501,0))&amp;"")</f>
        <v/>
      </c>
      <c r="E32" s="14" t="str">
        <f aca="false">IF($C32="","",INDEX(Jira!$F$2:$F$501,MATCH($C32,Jira!$A$2:$A$501,0))&amp;"")</f>
        <v/>
      </c>
      <c r="F32" s="15" t="str">
        <f aca="false">IF($C32="","",INDEX(Jira!$B$2:$B$501,MATCH($C32,Jira!$A$2:$A$501,0))&amp;"")</f>
        <v/>
      </c>
      <c r="G32" s="16" t="str">
        <f aca="false">IF($C32="","",INDEX(Jira!$N$2:$N$501,MATCH($C32,Jira!$A$2:$A$501,0)))</f>
        <v/>
      </c>
      <c r="H32" s="14" t="str">
        <f aca="false">IF($C32="","",INDEX(Jira!$P$2:$P$501,MATCH($C32,Jira!$A$2:$A$501,0))&amp;"")</f>
        <v/>
      </c>
      <c r="I32" s="14"/>
      <c r="J32" s="15" t="str">
        <f aca="false">IF($C32="","",INDEX(Jira!$Q$2:$Q$501,MATCH($C32,Jira!$A$2:$A$501,0))&amp;"")</f>
        <v/>
      </c>
      <c r="K32" s="17" t="str">
        <f aca="false">IF($C32="","",INDEX(Jira!$S$2:$S$501,MATCH($C32,Jira!$A$2:$A$501,0))&amp;"")</f>
        <v/>
      </c>
    </row>
    <row r="34" customFormat="false" ht="15" hidden="false" customHeight="false" outlineLevel="0" collapsed="false">
      <c r="B34" s="10" t="s">
        <v>25</v>
      </c>
      <c r="E34" s="11" t="s">
        <v>26</v>
      </c>
    </row>
    <row r="35" customFormat="false" ht="15" hidden="false" customHeight="false" outlineLevel="0" collapsed="false">
      <c r="C35" s="12" t="s">
        <v>20</v>
      </c>
      <c r="D35" s="12" t="s">
        <v>27</v>
      </c>
      <c r="E35" s="12" t="s">
        <v>28</v>
      </c>
      <c r="F35" s="12" t="s">
        <v>29</v>
      </c>
    </row>
    <row r="36" customFormat="false" ht="15" hidden="false" customHeight="false" outlineLevel="0" collapsed="false">
      <c r="C36" s="18" t="s">
        <v>30</v>
      </c>
      <c r="D36" s="19" t="n">
        <f aca="false">COUNTIF(Jira!$M:$M,$C36)</f>
        <v>0</v>
      </c>
      <c r="E36" s="19" t="n">
        <f aca="false">COUNTIFS(Jira!$M:$M,$C36,Jira!$P:$P,"Critical")+COUNTIFS(Jira!$M:$M,$C36,Jira!$P:$P,"Warning")</f>
        <v>0</v>
      </c>
      <c r="F36" s="20" t="str">
        <f aca="false">INDEX(StageStale,MATCH($C36,StageName,0))&amp;" days"</f>
        <v>7 days</v>
      </c>
    </row>
    <row r="37" customFormat="false" ht="15" hidden="false" customHeight="false" outlineLevel="0" collapsed="false">
      <c r="C37" s="18" t="s">
        <v>31</v>
      </c>
      <c r="D37" s="19" t="n">
        <f aca="false">COUNTIF(Jira!$M:$M,$C37)</f>
        <v>0</v>
      </c>
      <c r="E37" s="19" t="n">
        <f aca="false">COUNTIFS(Jira!$M:$M,$C37,Jira!$P:$P,"Critical")+COUNTIFS(Jira!$M:$M,$C37,Jira!$P:$P,"Warning")</f>
        <v>0</v>
      </c>
      <c r="F37" s="20" t="str">
        <f aca="false">INDEX(StageStale,MATCH($C37,StageName,0))&amp;" days"</f>
        <v>7 days</v>
      </c>
    </row>
    <row r="38" customFormat="false" ht="15" hidden="false" customHeight="false" outlineLevel="0" collapsed="false">
      <c r="C38" s="18" t="s">
        <v>32</v>
      </c>
      <c r="D38" s="19" t="n">
        <f aca="false">COUNTIF(Jira!$M:$M,$C38)</f>
        <v>0</v>
      </c>
      <c r="E38" s="19" t="n">
        <f aca="false">COUNTIFS(Jira!$M:$M,$C38,Jira!$P:$P,"Critical")+COUNTIFS(Jira!$M:$M,$C38,Jira!$P:$P,"Warning")</f>
        <v>0</v>
      </c>
      <c r="F38" s="20" t="str">
        <f aca="false">INDEX(StageStale,MATCH($C38,StageName,0))&amp;" days"</f>
        <v>10 days</v>
      </c>
    </row>
    <row r="39" customFormat="false" ht="15" hidden="false" customHeight="false" outlineLevel="0" collapsed="false">
      <c r="C39" s="18" t="s">
        <v>33</v>
      </c>
      <c r="D39" s="19" t="n">
        <f aca="false">COUNTIF(Jira!$M:$M,$C39)</f>
        <v>0</v>
      </c>
      <c r="E39" s="19" t="n">
        <f aca="false">COUNTIFS(Jira!$M:$M,$C39,Jira!$P:$P,"Critical")+COUNTIFS(Jira!$M:$M,$C39,Jira!$P:$P,"Warning")</f>
        <v>0</v>
      </c>
      <c r="F39" s="20" t="str">
        <f aca="false">INDEX(StageStale,MATCH($C39,StageName,0))&amp;" days"</f>
        <v>14 days</v>
      </c>
    </row>
    <row r="40" customFormat="false" ht="15" hidden="false" customHeight="false" outlineLevel="0" collapsed="false">
      <c r="C40" s="18" t="s">
        <v>34</v>
      </c>
      <c r="D40" s="19" t="n">
        <f aca="false">COUNTIF(Jira!$M:$M,$C40)</f>
        <v>0</v>
      </c>
      <c r="E40" s="19" t="n">
        <f aca="false">COUNTIFS(Jira!$M:$M,$C40,Jira!$P:$P,"Critical")+COUNTIFS(Jira!$M:$M,$C40,Jira!$P:$P,"Warning")</f>
        <v>0</v>
      </c>
      <c r="F40" s="20" t="str">
        <f aca="false">INDEX(StageStale,MATCH($C40,StageName,0))&amp;" days"</f>
        <v>14 days</v>
      </c>
    </row>
    <row r="41" customFormat="false" ht="15" hidden="false" customHeight="false" outlineLevel="0" collapsed="false">
      <c r="C41" s="18" t="s">
        <v>35</v>
      </c>
      <c r="D41" s="19" t="n">
        <f aca="false">COUNTIF(Jira!$M:$M,$C41)</f>
        <v>0</v>
      </c>
      <c r="E41" s="19" t="n">
        <f aca="false">COUNTIFS(Jira!$M:$M,$C41,Jira!$P:$P,"Critical")+COUNTIFS(Jira!$M:$M,$C41,Jira!$P:$P,"Warning")</f>
        <v>0</v>
      </c>
      <c r="F41" s="20" t="str">
        <f aca="false">INDEX(StageStale,MATCH($C41,StageName,0))&amp;" days"</f>
        <v>14 days</v>
      </c>
    </row>
    <row r="42" customFormat="false" ht="15" hidden="false" customHeight="false" outlineLevel="0" collapsed="false">
      <c r="C42" s="18" t="s">
        <v>36</v>
      </c>
      <c r="D42" s="19" t="n">
        <f aca="false">COUNTIF(Jira!$M:$M,$C42)</f>
        <v>0</v>
      </c>
      <c r="E42" s="19" t="n">
        <f aca="false">COUNTIFS(Jira!$M:$M,$C42,Jira!$P:$P,"Critical")+COUNTIFS(Jira!$M:$M,$C42,Jira!$P:$P,"Warning")</f>
        <v>0</v>
      </c>
      <c r="F42" s="20" t="str">
        <f aca="false">INDEX(StageStale,MATCH($C42,StageName,0))&amp;" days"</f>
        <v>14 days</v>
      </c>
    </row>
    <row r="43" customFormat="false" ht="15" hidden="false" customHeight="false" outlineLevel="0" collapsed="false">
      <c r="C43" s="18" t="s">
        <v>37</v>
      </c>
      <c r="D43" s="19" t="n">
        <f aca="false">COUNTIF(Jira!$M:$M,$C43)</f>
        <v>0</v>
      </c>
      <c r="E43" s="19" t="n">
        <f aca="false">COUNTIFS(Jira!$M:$M,$C43,Jira!$P:$P,"Critical")+COUNTIFS(Jira!$M:$M,$C43,Jira!$P:$P,"Warning")</f>
        <v>0</v>
      </c>
      <c r="F43" s="20" t="str">
        <f aca="false">INDEX(StageStale,MATCH($C43,StageName,0))&amp;" days"</f>
        <v>45 days</v>
      </c>
    </row>
    <row r="44" customFormat="false" ht="15" hidden="false" customHeight="false" outlineLevel="0" collapsed="false">
      <c r="C44" s="18" t="s">
        <v>38</v>
      </c>
      <c r="D44" s="19" t="n">
        <f aca="false">COUNTIF(Jira!$M:$M,$C44)</f>
        <v>0</v>
      </c>
      <c r="E44" s="19" t="n">
        <f aca="false">COUNTIFS(Jira!$M:$M,$C44,Jira!$P:$P,"Critical")+COUNTIFS(Jira!$M:$M,$C44,Jira!$P:$P,"Warning")</f>
        <v>0</v>
      </c>
      <c r="F44" s="20" t="s">
        <v>39</v>
      </c>
    </row>
    <row r="47" customFormat="false" ht="15" hidden="false" customHeight="false" outlineLevel="0" collapsed="false">
      <c r="B47" s="10" t="s">
        <v>40</v>
      </c>
      <c r="E47" s="11" t="s">
        <v>41</v>
      </c>
    </row>
    <row r="48" customFormat="false" ht="15" hidden="false" customHeight="false" outlineLevel="0" collapsed="false">
      <c r="C48" s="12" t="s">
        <v>42</v>
      </c>
      <c r="D48" s="12" t="s">
        <v>11</v>
      </c>
      <c r="E48" s="12" t="s">
        <v>43</v>
      </c>
    </row>
    <row r="49" customFormat="false" ht="15" hidden="false" customHeight="false" outlineLevel="0" collapsed="false">
      <c r="C49" s="21" t="str">
        <f aca="false">IFERROR(INDEX(Done!$A$2:$A$1001,MATCH(LARGE(Done!$H$2:$H$1001,1),Done!$H$2:$H$1001,0)),"")</f>
        <v/>
      </c>
      <c r="D49" s="22" t="str">
        <f aca="false">IF($C49="","",INDEX(Done!$C$2:$C$1001,MATCH(LARGE(Done!$H$2:$H$1001,1),Done!$H$2:$H$1001,0))&amp;"")</f>
        <v/>
      </c>
      <c r="E49" s="22" t="str">
        <f aca="false">IF($C49="","",INDEX(Done!$B$2:$B$1001,MATCH(LARGE(Done!$H$2:$H$1001,1),Done!$H$2:$H$1001,0))&amp;"")</f>
        <v/>
      </c>
      <c r="F49" s="22"/>
      <c r="G49" s="22"/>
      <c r="H49" s="22"/>
      <c r="J49" s="11" t="str">
        <f aca="false">IF(COUNTIF(Done!$G:$G,"Yes")=0,"Nothing logged this week yet.",IF(COUNTIF(Done!$G:$G,"Yes")&gt;8,"+"&amp;(COUNTIF(Done!$G:$G,"Yes")-8)&amp;" more on the Done sheet",""))</f>
        <v>Nothing logged this week yet.</v>
      </c>
    </row>
    <row r="50" customFormat="false" ht="15" hidden="false" customHeight="false" outlineLevel="0" collapsed="false">
      <c r="C50" s="21" t="str">
        <f aca="false">IFERROR(INDEX(Done!$A$2:$A$1001,MATCH(LARGE(Done!$H$2:$H$1001,2),Done!$H$2:$H$1001,0)),"")</f>
        <v/>
      </c>
      <c r="D50" s="22" t="str">
        <f aca="false">IF($C50="","",INDEX(Done!$C$2:$C$1001,MATCH(LARGE(Done!$H$2:$H$1001,2),Done!$H$2:$H$1001,0))&amp;"")</f>
        <v/>
      </c>
      <c r="E50" s="22" t="str">
        <f aca="false">IF($C50="","",INDEX(Done!$B$2:$B$1001,MATCH(LARGE(Done!$H$2:$H$1001,2),Done!$H$2:$H$1001,0))&amp;"")</f>
        <v/>
      </c>
      <c r="F50" s="22"/>
      <c r="G50" s="22"/>
      <c r="H50" s="22"/>
    </row>
    <row r="51" customFormat="false" ht="15" hidden="false" customHeight="false" outlineLevel="0" collapsed="false">
      <c r="C51" s="21" t="str">
        <f aca="false">IFERROR(INDEX(Done!$A$2:$A$1001,MATCH(LARGE(Done!$H$2:$H$1001,3),Done!$H$2:$H$1001,0)),"")</f>
        <v/>
      </c>
      <c r="D51" s="22" t="str">
        <f aca="false">IF($C51="","",INDEX(Done!$C$2:$C$1001,MATCH(LARGE(Done!$H$2:$H$1001,3),Done!$H$2:$H$1001,0))&amp;"")</f>
        <v/>
      </c>
      <c r="E51" s="22" t="str">
        <f aca="false">IF($C51="","",INDEX(Done!$B$2:$B$1001,MATCH(LARGE(Done!$H$2:$H$1001,3),Done!$H$2:$H$1001,0))&amp;"")</f>
        <v/>
      </c>
      <c r="F51" s="22"/>
      <c r="G51" s="22"/>
      <c r="H51" s="22"/>
    </row>
    <row r="52" customFormat="false" ht="15" hidden="false" customHeight="false" outlineLevel="0" collapsed="false">
      <c r="C52" s="21" t="str">
        <f aca="false">IFERROR(INDEX(Done!$A$2:$A$1001,MATCH(LARGE(Done!$H$2:$H$1001,4),Done!$H$2:$H$1001,0)),"")</f>
        <v/>
      </c>
      <c r="D52" s="22" t="str">
        <f aca="false">IF($C52="","",INDEX(Done!$C$2:$C$1001,MATCH(LARGE(Done!$H$2:$H$1001,4),Done!$H$2:$H$1001,0))&amp;"")</f>
        <v/>
      </c>
      <c r="E52" s="22" t="str">
        <f aca="false">IF($C52="","",INDEX(Done!$B$2:$B$1001,MATCH(LARGE(Done!$H$2:$H$1001,4),Done!$H$2:$H$1001,0))&amp;"")</f>
        <v/>
      </c>
      <c r="F52" s="22"/>
      <c r="G52" s="22"/>
      <c r="H52" s="22"/>
    </row>
    <row r="53" customFormat="false" ht="15" hidden="false" customHeight="false" outlineLevel="0" collapsed="false">
      <c r="C53" s="21" t="str">
        <f aca="false">IFERROR(INDEX(Done!$A$2:$A$1001,MATCH(LARGE(Done!$H$2:$H$1001,5),Done!$H$2:$H$1001,0)),"")</f>
        <v/>
      </c>
      <c r="D53" s="22" t="str">
        <f aca="false">IF($C53="","",INDEX(Done!$C$2:$C$1001,MATCH(LARGE(Done!$H$2:$H$1001,5),Done!$H$2:$H$1001,0))&amp;"")</f>
        <v/>
      </c>
      <c r="E53" s="22" t="str">
        <f aca="false">IF($C53="","",INDEX(Done!$B$2:$B$1001,MATCH(LARGE(Done!$H$2:$H$1001,5),Done!$H$2:$H$1001,0))&amp;"")</f>
        <v/>
      </c>
      <c r="F53" s="22"/>
      <c r="G53" s="22"/>
      <c r="H53" s="22"/>
    </row>
    <row r="54" customFormat="false" ht="15" hidden="false" customHeight="false" outlineLevel="0" collapsed="false">
      <c r="C54" s="21" t="str">
        <f aca="false">IFERROR(INDEX(Done!$A$2:$A$1001,MATCH(LARGE(Done!$H$2:$H$1001,6),Done!$H$2:$H$1001,0)),"")</f>
        <v/>
      </c>
      <c r="D54" s="22" t="str">
        <f aca="false">IF($C54="","",INDEX(Done!$C$2:$C$1001,MATCH(LARGE(Done!$H$2:$H$1001,6),Done!$H$2:$H$1001,0))&amp;"")</f>
        <v/>
      </c>
      <c r="E54" s="22" t="str">
        <f aca="false">IF($C54="","",INDEX(Done!$B$2:$B$1001,MATCH(LARGE(Done!$H$2:$H$1001,6),Done!$H$2:$H$1001,0))&amp;"")</f>
        <v/>
      </c>
      <c r="F54" s="22"/>
      <c r="G54" s="22"/>
      <c r="H54" s="22"/>
    </row>
    <row r="55" customFormat="false" ht="15" hidden="false" customHeight="false" outlineLevel="0" collapsed="false">
      <c r="C55" s="21" t="str">
        <f aca="false">IFERROR(INDEX(Done!$A$2:$A$1001,MATCH(LARGE(Done!$H$2:$H$1001,7),Done!$H$2:$H$1001,0)),"")</f>
        <v/>
      </c>
      <c r="D55" s="22" t="str">
        <f aca="false">IF($C55="","",INDEX(Done!$C$2:$C$1001,MATCH(LARGE(Done!$H$2:$H$1001,7),Done!$H$2:$H$1001,0))&amp;"")</f>
        <v/>
      </c>
      <c r="E55" s="22" t="str">
        <f aca="false">IF($C55="","",INDEX(Done!$B$2:$B$1001,MATCH(LARGE(Done!$H$2:$H$1001,7),Done!$H$2:$H$1001,0))&amp;"")</f>
        <v/>
      </c>
      <c r="F55" s="22"/>
      <c r="G55" s="22"/>
      <c r="H55" s="22"/>
    </row>
    <row r="56" customFormat="false" ht="15" hidden="false" customHeight="false" outlineLevel="0" collapsed="false">
      <c r="C56" s="21" t="str">
        <f aca="false">IFERROR(INDEX(Done!$A$2:$A$1001,MATCH(LARGE(Done!$H$2:$H$1001,8),Done!$H$2:$H$1001,0)),"")</f>
        <v/>
      </c>
      <c r="D56" s="22" t="str">
        <f aca="false">IF($C56="","",INDEX(Done!$C$2:$C$1001,MATCH(LARGE(Done!$H$2:$H$1001,8),Done!$H$2:$H$1001,0))&amp;"")</f>
        <v/>
      </c>
      <c r="E56" s="22" t="str">
        <f aca="false">IF($C56="","",INDEX(Done!$B$2:$B$1001,MATCH(LARGE(Done!$H$2:$H$1001,8),Done!$H$2:$H$1001,0))&amp;"")</f>
        <v/>
      </c>
      <c r="F56" s="22"/>
      <c r="G56" s="22"/>
      <c r="H56" s="22"/>
    </row>
    <row r="58" customFormat="false" ht="15" hidden="false" customHeight="false" outlineLevel="0" collapsed="false">
      <c r="B58" s="10" t="s">
        <v>44</v>
      </c>
      <c r="E58" s="11" t="s">
        <v>45</v>
      </c>
    </row>
    <row r="59" customFormat="false" ht="15" hidden="false" customHeight="false" outlineLevel="0" collapsed="false">
      <c r="C59" s="12" t="s">
        <v>46</v>
      </c>
      <c r="D59" s="12" t="s">
        <v>47</v>
      </c>
    </row>
    <row r="60" customFormat="false" ht="15" hidden="false" customHeight="false" outlineLevel="0" collapsed="false">
      <c r="C60" s="23" t="n">
        <f aca="false">AsOf-WEEKDAY(AsOf,3)-7*7</f>
        <v>46251</v>
      </c>
      <c r="D60" s="24" t="n">
        <f aca="false">COUNTIF(Done!$F:$F,$C60)</f>
        <v>0</v>
      </c>
    </row>
    <row r="61" customFormat="false" ht="15" hidden="false" customHeight="false" outlineLevel="0" collapsed="false">
      <c r="C61" s="23" t="n">
        <f aca="false">AsOf-WEEKDAY(AsOf,3)-7*6</f>
        <v>46258</v>
      </c>
      <c r="D61" s="24" t="n">
        <f aca="false">COUNTIF(Done!$F:$F,$C61)</f>
        <v>0</v>
      </c>
    </row>
    <row r="62" customFormat="false" ht="15" hidden="false" customHeight="false" outlineLevel="0" collapsed="false">
      <c r="C62" s="23" t="n">
        <f aca="false">AsOf-WEEKDAY(AsOf,3)-7*5</f>
        <v>46265</v>
      </c>
      <c r="D62" s="24" t="n">
        <f aca="false">COUNTIF(Done!$F:$F,$C62)</f>
        <v>0</v>
      </c>
    </row>
    <row r="63" customFormat="false" ht="15" hidden="false" customHeight="false" outlineLevel="0" collapsed="false">
      <c r="C63" s="23" t="n">
        <f aca="false">AsOf-WEEKDAY(AsOf,3)-7*4</f>
        <v>46272</v>
      </c>
      <c r="D63" s="24" t="n">
        <f aca="false">COUNTIF(Done!$F:$F,$C63)</f>
        <v>0</v>
      </c>
    </row>
    <row r="64" customFormat="false" ht="15" hidden="false" customHeight="false" outlineLevel="0" collapsed="false">
      <c r="C64" s="23" t="n">
        <f aca="false">AsOf-WEEKDAY(AsOf,3)-7*3</f>
        <v>46279</v>
      </c>
      <c r="D64" s="24" t="n">
        <f aca="false">COUNTIF(Done!$F:$F,$C64)</f>
        <v>0</v>
      </c>
    </row>
    <row r="65" customFormat="false" ht="15" hidden="false" customHeight="false" outlineLevel="0" collapsed="false">
      <c r="C65" s="23" t="n">
        <f aca="false">AsOf-WEEKDAY(AsOf,3)-7*2</f>
        <v>46286</v>
      </c>
      <c r="D65" s="24" t="n">
        <f aca="false">COUNTIF(Done!$F:$F,$C65)</f>
        <v>0</v>
      </c>
    </row>
    <row r="66" customFormat="false" ht="15" hidden="false" customHeight="false" outlineLevel="0" collapsed="false">
      <c r="C66" s="23" t="n">
        <f aca="false">AsOf-WEEKDAY(AsOf,3)-7*1</f>
        <v>46293</v>
      </c>
      <c r="D66" s="24" t="n">
        <f aca="false">COUNTIF(Done!$F:$F,$C66)</f>
        <v>0</v>
      </c>
    </row>
    <row r="67" customFormat="false" ht="15" hidden="false" customHeight="false" outlineLevel="0" collapsed="false">
      <c r="C67" s="23" t="n">
        <f aca="false">AsOf-WEEKDAY(AsOf,3)-7*0</f>
        <v>46300</v>
      </c>
      <c r="D67" s="24" t="n">
        <f aca="false">COUNTIF(Done!$F:$F,$C67)</f>
        <v>0</v>
      </c>
    </row>
  </sheetData>
  <mergeCells count="15">
    <mergeCell ref="F2:K2"/>
    <mergeCell ref="C4:E4"/>
    <mergeCell ref="G4:I4"/>
    <mergeCell ref="C5:E5"/>
    <mergeCell ref="G5:I5"/>
    <mergeCell ref="C6:E6"/>
    <mergeCell ref="G6:I6"/>
    <mergeCell ref="E49:H49"/>
    <mergeCell ref="E50:H50"/>
    <mergeCell ref="E51:H51"/>
    <mergeCell ref="E52:H52"/>
    <mergeCell ref="E53:H53"/>
    <mergeCell ref="E54:H54"/>
    <mergeCell ref="E55:H55"/>
    <mergeCell ref="E56:H56"/>
  </mergeCells>
  <conditionalFormatting sqref="F2:K2">
    <cfRule type="expression" priority="2" aboveAverage="0" equalAverage="0" bottom="0" percent="0" rank="0" text="" dxfId="0">
      <formula>OR(SampleAsOf&lt;&gt;"",SnapshotAt="",SnapshotAge&gt;SnapshotMaxAge)</formula>
    </cfRule>
  </conditionalFormatting>
  <conditionalFormatting sqref="H10:H19"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"Warning"</formula>
    </cfRule>
    <cfRule type="cellIs" priority="5" operator="equal" aboveAverage="0" equalAverage="0" bottom="0" percent="0" rank="0" text="" dxfId="3">
      <formula>"On track"</formula>
    </cfRule>
  </conditionalFormatting>
  <conditionalFormatting sqref="H23:H32">
    <cfRule type="cellIs" priority="6" operator="equal" aboveAverage="0" equalAverage="0" bottom="0" percent="0" rank="0" text="" dxfId="1">
      <formula>"Critical"</formula>
    </cfRule>
    <cfRule type="cellIs" priority="7" operator="equal" aboveAverage="0" equalAverage="0" bottom="0" percent="0" rank="0" text="" dxfId="2">
      <formula>"Warning"</formula>
    </cfRule>
    <cfRule type="cellIs" priority="8" operator="equal" aboveAverage="0" equalAverage="0" bottom="0" percent="0" rank="0" text="" dxfId="3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27.75" hidden="false" customHeight="true" outlineLevel="0" collapsed="false">
      <c r="A1" s="25" t="s">
        <v>9</v>
      </c>
      <c r="B1" s="25" t="s">
        <v>42</v>
      </c>
      <c r="C1" s="25" t="s">
        <v>10</v>
      </c>
      <c r="D1" s="25" t="s">
        <v>11</v>
      </c>
      <c r="E1" s="25" t="s">
        <v>12</v>
      </c>
      <c r="F1" s="25" t="s">
        <v>15</v>
      </c>
      <c r="G1" s="25" t="s">
        <v>48</v>
      </c>
      <c r="H1" s="25" t="s">
        <v>49</v>
      </c>
      <c r="I1" s="25" t="s">
        <v>50</v>
      </c>
      <c r="J1" s="25" t="s">
        <v>51</v>
      </c>
      <c r="K1" s="26" t="s">
        <v>52</v>
      </c>
      <c r="L1" s="26" t="s">
        <v>53</v>
      </c>
      <c r="M1" s="26" t="s">
        <v>14</v>
      </c>
      <c r="N1" s="26" t="s">
        <v>54</v>
      </c>
      <c r="O1" s="26" t="s">
        <v>16</v>
      </c>
    </row>
    <row r="2" customFormat="false" ht="15" hidden="false" customHeight="false" outlineLevel="0" collapsed="false">
      <c r="A2" s="24"/>
      <c r="B2" s="27"/>
      <c r="C2" s="28"/>
      <c r="D2" s="24"/>
      <c r="E2" s="24"/>
      <c r="F2" s="24"/>
      <c r="G2" s="28"/>
      <c r="H2" s="28"/>
      <c r="I2" s="24"/>
      <c r="J2" s="24"/>
      <c r="K2" s="29" t="str">
        <f aca="false">IF($A2="","",IF(OR($C2="Decision",$C2="Conflict"),IF(COUNTIFS($I$2:$I$1001,$A2,$C$2:$C$1001,"Resolved")=0,"Open","Closed"),IF(AND($H2="Unconfirmed",OR($C2="New",$C2="Know")),IF(COUNTIFS($I$2:$I$1001,$A2,$C$2:$C$1001,"Confirmed")=0,"Unconfirmed","Confirmed"),"Logged")))</f>
        <v/>
      </c>
      <c r="L2" s="29" t="str">
        <f aca="false">IF($A2="","",AsOf-$B2)</f>
        <v/>
      </c>
      <c r="M2" s="29" t="str">
        <f aca="false">IF($K2="Open",IF($C2="Conflict","Critical",IF($L2&gt;=DecisionCritical,"Critical",IF($L2&gt;=DecisionWarn,"Warning","On track"))),IF($K2="Unconfirmed",IF($L2&gt;=UnconfirmedWarn,"Warning","On track"),""))</f>
        <v/>
      </c>
      <c r="N2" s="29" t="str">
        <f aca="false">IF($M2="","",IF($M2="Critical",3000,IF($M2="Warning",2000,1000))+$L2+ROW()/100000)</f>
        <v/>
      </c>
      <c r="O2" s="29" t="str">
        <f aca="false">IF($K2="Open",IF($C2="Conflict","decide "&amp;$A2&amp;": &lt;which version stands&gt;","decide "&amp;$A2&amp;": &lt;outcome&gt;"),IF($K2="Unconfirmed","confirm "&amp;$A2,""))</f>
        <v/>
      </c>
    </row>
    <row r="3" customFormat="false" ht="15" hidden="false" customHeight="false" outlineLevel="0" collapsed="false">
      <c r="A3" s="24"/>
      <c r="B3" s="27"/>
      <c r="C3" s="28"/>
      <c r="D3" s="24"/>
      <c r="E3" s="24"/>
      <c r="F3" s="24"/>
      <c r="G3" s="28"/>
      <c r="H3" s="28"/>
      <c r="I3" s="24"/>
      <c r="J3" s="24"/>
      <c r="K3" s="29" t="str">
        <f aca="false">IF($A3="","",IF(OR($C3="Decision",$C3="Conflict"),IF(COUNTIFS($I$2:$I$1001,$A3,$C$2:$C$1001,"Resolved")=0,"Open","Closed"),IF(AND($H3="Unconfirmed",OR($C3="New",$C3="Know")),IF(COUNTIFS($I$2:$I$1001,$A3,$C$2:$C$1001,"Confirmed")=0,"Unconfirmed","Confirmed"),"Logged")))</f>
        <v/>
      </c>
      <c r="L3" s="29" t="str">
        <f aca="false">IF($A3="","",AsOf-$B3)</f>
        <v/>
      </c>
      <c r="M3" s="29" t="str">
        <f aca="false">IF($K3="Open",IF($C3="Conflict","Critical",IF($L3&gt;=DecisionCritical,"Critical",IF($L3&gt;=DecisionWarn,"Warning","On track"))),IF($K3="Unconfirmed",IF($L3&gt;=UnconfirmedWarn,"Warning","On track"),""))</f>
        <v/>
      </c>
      <c r="N3" s="29" t="str">
        <f aca="false">IF($M3="","",IF($M3="Critical",3000,IF($M3="Warning",2000,1000))+$L3+ROW()/100000)</f>
        <v/>
      </c>
      <c r="O3" s="29" t="str">
        <f aca="false">IF($K3="Open",IF($C3="Conflict","decide "&amp;$A3&amp;": &lt;which version stands&gt;","decide "&amp;$A3&amp;": &lt;outcome&gt;"),IF($K3="Unconfirmed","confirm "&amp;$A3,""))</f>
        <v/>
      </c>
    </row>
    <row r="4" customFormat="false" ht="15" hidden="false" customHeight="false" outlineLevel="0" collapsed="false">
      <c r="A4" s="24"/>
      <c r="B4" s="27"/>
      <c r="C4" s="28"/>
      <c r="D4" s="24"/>
      <c r="E4" s="24"/>
      <c r="F4" s="24"/>
      <c r="G4" s="28"/>
      <c r="H4" s="28"/>
      <c r="I4" s="24"/>
      <c r="J4" s="24"/>
      <c r="K4" s="29" t="str">
        <f aca="false">IF($A4="","",IF(OR($C4="Decision",$C4="Conflict"),IF(COUNTIFS($I$2:$I$1001,$A4,$C$2:$C$1001,"Resolved")=0,"Open","Closed"),IF(AND($H4="Unconfirmed",OR($C4="New",$C4="Know")),IF(COUNTIFS($I$2:$I$1001,$A4,$C$2:$C$1001,"Confirmed")=0,"Unconfirmed","Confirmed"),"Logged")))</f>
        <v/>
      </c>
      <c r="L4" s="29" t="str">
        <f aca="false">IF($A4="","",AsOf-$B4)</f>
        <v/>
      </c>
      <c r="M4" s="29" t="str">
        <f aca="false">IF($K4="Open",IF($C4="Conflict","Critical",IF($L4&gt;=DecisionCritical,"Critical",IF($L4&gt;=DecisionWarn,"Warning","On track"))),IF($K4="Unconfirmed",IF($L4&gt;=UnconfirmedWarn,"Warning","On track"),""))</f>
        <v/>
      </c>
      <c r="N4" s="29" t="str">
        <f aca="false">IF($M4="","",IF($M4="Critical",3000,IF($M4="Warning",2000,1000))+$L4+ROW()/100000)</f>
        <v/>
      </c>
      <c r="O4" s="29" t="str">
        <f aca="false">IF($K4="Open",IF($C4="Conflict","decide "&amp;$A4&amp;": &lt;which version stands&gt;","decide "&amp;$A4&amp;": &lt;outcome&gt;"),IF($K4="Unconfirmed","confirm "&amp;$A4,""))</f>
        <v/>
      </c>
    </row>
    <row r="5" customFormat="false" ht="15" hidden="false" customHeight="false" outlineLevel="0" collapsed="false">
      <c r="A5" s="24"/>
      <c r="B5" s="27"/>
      <c r="C5" s="28"/>
      <c r="D5" s="24"/>
      <c r="E5" s="24"/>
      <c r="F5" s="24"/>
      <c r="G5" s="28"/>
      <c r="H5" s="28"/>
      <c r="I5" s="24"/>
      <c r="J5" s="24"/>
      <c r="K5" s="29" t="str">
        <f aca="false">IF($A5="","",IF(OR($C5="Decision",$C5="Conflict"),IF(COUNTIFS($I$2:$I$1001,$A5,$C$2:$C$1001,"Resolved")=0,"Open","Closed"),IF(AND($H5="Unconfirmed",OR($C5="New",$C5="Know")),IF(COUNTIFS($I$2:$I$1001,$A5,$C$2:$C$1001,"Confirmed")=0,"Unconfirmed","Confirmed"),"Logged")))</f>
        <v/>
      </c>
      <c r="L5" s="29" t="str">
        <f aca="false">IF($A5="","",AsOf-$B5)</f>
        <v/>
      </c>
      <c r="M5" s="29" t="str">
        <f aca="false">IF($K5="Open",IF($C5="Conflict","Critical",IF($L5&gt;=DecisionCritical,"Critical",IF($L5&gt;=DecisionWarn,"Warning","On track"))),IF($K5="Unconfirmed",IF($L5&gt;=UnconfirmedWarn,"Warning","On track"),""))</f>
        <v/>
      </c>
      <c r="N5" s="29" t="str">
        <f aca="false">IF($M5="","",IF($M5="Critical",3000,IF($M5="Warning",2000,1000))+$L5+ROW()/100000)</f>
        <v/>
      </c>
      <c r="O5" s="29" t="str">
        <f aca="false">IF($K5="Open",IF($C5="Conflict","decide "&amp;$A5&amp;": &lt;which version stands&gt;","decide "&amp;$A5&amp;": &lt;outcome&gt;"),IF($K5="Unconfirmed","confirm "&amp;$A5,""))</f>
        <v/>
      </c>
    </row>
    <row r="6" customFormat="false" ht="15" hidden="false" customHeight="false" outlineLevel="0" collapsed="false">
      <c r="A6" s="24"/>
      <c r="B6" s="27"/>
      <c r="C6" s="28"/>
      <c r="D6" s="24"/>
      <c r="E6" s="24"/>
      <c r="F6" s="24"/>
      <c r="G6" s="28"/>
      <c r="H6" s="28"/>
      <c r="I6" s="24"/>
      <c r="J6" s="24"/>
      <c r="K6" s="29" t="str">
        <f aca="false">IF($A6="","",IF(OR($C6="Decision",$C6="Conflict"),IF(COUNTIFS($I$2:$I$1001,$A6,$C$2:$C$1001,"Resolved")=0,"Open","Closed"),IF(AND($H6="Unconfirmed",OR($C6="New",$C6="Know")),IF(COUNTIFS($I$2:$I$1001,$A6,$C$2:$C$1001,"Confirmed")=0,"Unconfirmed","Confirmed"),"Logged")))</f>
        <v/>
      </c>
      <c r="L6" s="29" t="str">
        <f aca="false">IF($A6="","",AsOf-$B6)</f>
        <v/>
      </c>
      <c r="M6" s="29" t="str">
        <f aca="false">IF($K6="Open",IF($C6="Conflict","Critical",IF($L6&gt;=DecisionCritical,"Critical",IF($L6&gt;=DecisionWarn,"Warning","On track"))),IF($K6="Unconfirmed",IF($L6&gt;=UnconfirmedWarn,"Warning","On track"),""))</f>
        <v/>
      </c>
      <c r="N6" s="29" t="str">
        <f aca="false">IF($M6="","",IF($M6="Critical",3000,IF($M6="Warning",2000,1000))+$L6+ROW()/100000)</f>
        <v/>
      </c>
      <c r="O6" s="29" t="str">
        <f aca="false">IF($K6="Open",IF($C6="Conflict","decide "&amp;$A6&amp;": &lt;which version stands&gt;","decide "&amp;$A6&amp;": &lt;outcome&gt;"),IF($K6="Unconfirmed","confirm "&amp;$A6,""))</f>
        <v/>
      </c>
    </row>
    <row r="7" customFormat="false" ht="15" hidden="false" customHeight="false" outlineLevel="0" collapsed="false">
      <c r="A7" s="24"/>
      <c r="B7" s="27"/>
      <c r="C7" s="28"/>
      <c r="D7" s="24"/>
      <c r="E7" s="24"/>
      <c r="F7" s="24"/>
      <c r="G7" s="28"/>
      <c r="H7" s="28"/>
      <c r="I7" s="24"/>
      <c r="J7" s="24"/>
      <c r="K7" s="29" t="str">
        <f aca="false">IF($A7="","",IF(OR($C7="Decision",$C7="Conflict"),IF(COUNTIFS($I$2:$I$1001,$A7,$C$2:$C$1001,"Resolved")=0,"Open","Closed"),IF(AND($H7="Unconfirmed",OR($C7="New",$C7="Know")),IF(COUNTIFS($I$2:$I$1001,$A7,$C$2:$C$1001,"Confirmed")=0,"Unconfirmed","Confirmed"),"Logged")))</f>
        <v/>
      </c>
      <c r="L7" s="29" t="str">
        <f aca="false">IF($A7="","",AsOf-$B7)</f>
        <v/>
      </c>
      <c r="M7" s="29" t="str">
        <f aca="false">IF($K7="Open",IF($C7="Conflict","Critical",IF($L7&gt;=DecisionCritical,"Critical",IF($L7&gt;=DecisionWarn,"Warning","On track"))),IF($K7="Unconfirmed",IF($L7&gt;=UnconfirmedWarn,"Warning","On track"),""))</f>
        <v/>
      </c>
      <c r="N7" s="29" t="str">
        <f aca="false">IF($M7="","",IF($M7="Critical",3000,IF($M7="Warning",2000,1000))+$L7+ROW()/100000)</f>
        <v/>
      </c>
      <c r="O7" s="29" t="str">
        <f aca="false">IF($K7="Open",IF($C7="Conflict","decide "&amp;$A7&amp;": &lt;which version stands&gt;","decide "&amp;$A7&amp;": &lt;outcome&gt;"),IF($K7="Unconfirmed","confirm "&amp;$A7,""))</f>
        <v/>
      </c>
    </row>
    <row r="8" customFormat="false" ht="15" hidden="false" customHeight="false" outlineLevel="0" collapsed="false">
      <c r="A8" s="24"/>
      <c r="B8" s="27"/>
      <c r="C8" s="28"/>
      <c r="D8" s="24"/>
      <c r="E8" s="24"/>
      <c r="F8" s="24"/>
      <c r="G8" s="28"/>
      <c r="H8" s="28"/>
      <c r="I8" s="24"/>
      <c r="J8" s="24"/>
      <c r="K8" s="29" t="str">
        <f aca="false">IF($A8="","",IF(OR($C8="Decision",$C8="Conflict"),IF(COUNTIFS($I$2:$I$1001,$A8,$C$2:$C$1001,"Resolved")=0,"Open","Closed"),IF(AND($H8="Unconfirmed",OR($C8="New",$C8="Know")),IF(COUNTIFS($I$2:$I$1001,$A8,$C$2:$C$1001,"Confirmed")=0,"Unconfirmed","Confirmed"),"Logged")))</f>
        <v/>
      </c>
      <c r="L8" s="29" t="str">
        <f aca="false">IF($A8="","",AsOf-$B8)</f>
        <v/>
      </c>
      <c r="M8" s="29" t="str">
        <f aca="false">IF($K8="Open",IF($C8="Conflict","Critical",IF($L8&gt;=DecisionCritical,"Critical",IF($L8&gt;=DecisionWarn,"Warning","On track"))),IF($K8="Unconfirmed",IF($L8&gt;=UnconfirmedWarn,"Warning","On track"),""))</f>
        <v/>
      </c>
      <c r="N8" s="29" t="str">
        <f aca="false">IF($M8="","",IF($M8="Critical",3000,IF($M8="Warning",2000,1000))+$L8+ROW()/100000)</f>
        <v/>
      </c>
      <c r="O8" s="29" t="str">
        <f aca="false">IF($K8="Open",IF($C8="Conflict","decide "&amp;$A8&amp;": &lt;which version stands&gt;","decide "&amp;$A8&amp;": &lt;outcome&gt;"),IF($K8="Unconfirmed","confirm "&amp;$A8,""))</f>
        <v/>
      </c>
    </row>
    <row r="9" customFormat="false" ht="15" hidden="false" customHeight="false" outlineLevel="0" collapsed="false">
      <c r="A9" s="24"/>
      <c r="B9" s="27"/>
      <c r="C9" s="28"/>
      <c r="D9" s="24"/>
      <c r="E9" s="24"/>
      <c r="F9" s="24"/>
      <c r="G9" s="28"/>
      <c r="H9" s="28"/>
      <c r="I9" s="24"/>
      <c r="J9" s="24"/>
      <c r="K9" s="29" t="str">
        <f aca="false">IF($A9="","",IF(OR($C9="Decision",$C9="Conflict"),IF(COUNTIFS($I$2:$I$1001,$A9,$C$2:$C$1001,"Resolved")=0,"Open","Closed"),IF(AND($H9="Unconfirmed",OR($C9="New",$C9="Know")),IF(COUNTIFS($I$2:$I$1001,$A9,$C$2:$C$1001,"Confirmed")=0,"Unconfirmed","Confirmed"),"Logged")))</f>
        <v/>
      </c>
      <c r="L9" s="29" t="str">
        <f aca="false">IF($A9="","",AsOf-$B9)</f>
        <v/>
      </c>
      <c r="M9" s="29" t="str">
        <f aca="false">IF($K9="Open",IF($C9="Conflict","Critical",IF($L9&gt;=DecisionCritical,"Critical",IF($L9&gt;=DecisionWarn,"Warning","On track"))),IF($K9="Unconfirmed",IF($L9&gt;=UnconfirmedWarn,"Warning","On track"),""))</f>
        <v/>
      </c>
      <c r="N9" s="29" t="str">
        <f aca="false">IF($M9="","",IF($M9="Critical",3000,IF($M9="Warning",2000,1000))+$L9+ROW()/100000)</f>
        <v/>
      </c>
      <c r="O9" s="29" t="str">
        <f aca="false">IF($K9="Open",IF($C9="Conflict","decide "&amp;$A9&amp;": &lt;which version stands&gt;","decide "&amp;$A9&amp;": &lt;outcome&gt;"),IF($K9="Unconfirmed","confirm "&amp;$A9,""))</f>
        <v/>
      </c>
    </row>
    <row r="10" customFormat="false" ht="15" hidden="false" customHeight="false" outlineLevel="0" collapsed="false">
      <c r="A10" s="24"/>
      <c r="B10" s="27"/>
      <c r="C10" s="28"/>
      <c r="D10" s="24"/>
      <c r="E10" s="24"/>
      <c r="F10" s="24"/>
      <c r="G10" s="28"/>
      <c r="H10" s="28"/>
      <c r="I10" s="24"/>
      <c r="J10" s="24"/>
      <c r="K10" s="29" t="str">
        <f aca="false">IF($A10="","",IF(OR($C10="Decision",$C10="Conflict"),IF(COUNTIFS($I$2:$I$1001,$A10,$C$2:$C$1001,"Resolved")=0,"Open","Closed"),IF(AND($H10="Unconfirmed",OR($C10="New",$C10="Know")),IF(COUNTIFS($I$2:$I$1001,$A10,$C$2:$C$1001,"Confirmed")=0,"Unconfirmed","Confirmed"),"Logged")))</f>
        <v/>
      </c>
      <c r="L10" s="29" t="str">
        <f aca="false">IF($A10="","",AsOf-$B10)</f>
        <v/>
      </c>
      <c r="M10" s="29" t="str">
        <f aca="false">IF($K10="Open",IF($C10="Conflict","Critical",IF($L10&gt;=DecisionCritical,"Critical",IF($L10&gt;=DecisionWarn,"Warning","On track"))),IF($K10="Unconfirmed",IF($L10&gt;=UnconfirmedWarn,"Warning","On track"),""))</f>
        <v/>
      </c>
      <c r="N10" s="29" t="str">
        <f aca="false">IF($M10="","",IF($M10="Critical",3000,IF($M10="Warning",2000,1000))+$L10+ROW()/100000)</f>
        <v/>
      </c>
      <c r="O10" s="29" t="str">
        <f aca="false">IF($K10="Open",IF($C10="Conflict","decide "&amp;$A10&amp;": &lt;which version stands&gt;","decide "&amp;$A10&amp;": &lt;outcome&gt;"),IF($K10="Unconfirmed","confirm "&amp;$A10,""))</f>
        <v/>
      </c>
    </row>
    <row r="11" customFormat="false" ht="15" hidden="false" customHeight="false" outlineLevel="0" collapsed="false">
      <c r="A11" s="24"/>
      <c r="B11" s="27"/>
      <c r="C11" s="28"/>
      <c r="D11" s="24"/>
      <c r="E11" s="24"/>
      <c r="F11" s="24"/>
      <c r="G11" s="28"/>
      <c r="H11" s="28"/>
      <c r="I11" s="24"/>
      <c r="J11" s="24"/>
      <c r="K11" s="29" t="str">
        <f aca="false">IF($A11="","",IF(OR($C11="Decision",$C11="Conflict"),IF(COUNTIFS($I$2:$I$1001,$A11,$C$2:$C$1001,"Resolved")=0,"Open","Closed"),IF(AND($H11="Unconfirmed",OR($C11="New",$C11="Know")),IF(COUNTIFS($I$2:$I$1001,$A11,$C$2:$C$1001,"Confirmed")=0,"Unconfirmed","Confirmed"),"Logged")))</f>
        <v/>
      </c>
      <c r="L11" s="29" t="str">
        <f aca="false">IF($A11="","",AsOf-$B11)</f>
        <v/>
      </c>
      <c r="M11" s="29" t="str">
        <f aca="false">IF($K11="Open",IF($C11="Conflict","Critical",IF($L11&gt;=DecisionCritical,"Critical",IF($L11&gt;=DecisionWarn,"Warning","On track"))),IF($K11="Unconfirmed",IF($L11&gt;=UnconfirmedWarn,"Warning","On track"),""))</f>
        <v/>
      </c>
      <c r="N11" s="29" t="str">
        <f aca="false">IF($M11="","",IF($M11="Critical",3000,IF($M11="Warning",2000,1000))+$L11+ROW()/100000)</f>
        <v/>
      </c>
      <c r="O11" s="29" t="str">
        <f aca="false">IF($K11="Open",IF($C11="Conflict","decide "&amp;$A11&amp;": &lt;which version stands&gt;","decide "&amp;$A11&amp;": &lt;outcome&gt;"),IF($K11="Unconfirmed","confirm "&amp;$A11,""))</f>
        <v/>
      </c>
    </row>
    <row r="12" customFormat="false" ht="15" hidden="false" customHeight="false" outlineLevel="0" collapsed="false">
      <c r="A12" s="24"/>
      <c r="B12" s="27"/>
      <c r="C12" s="28"/>
      <c r="D12" s="24"/>
      <c r="E12" s="24"/>
      <c r="F12" s="24"/>
      <c r="G12" s="28"/>
      <c r="H12" s="28"/>
      <c r="I12" s="24"/>
      <c r="J12" s="24"/>
      <c r="K12" s="29" t="str">
        <f aca="false">IF($A12="","",IF(OR($C12="Decision",$C12="Conflict"),IF(COUNTIFS($I$2:$I$1001,$A12,$C$2:$C$1001,"Resolved")=0,"Open","Closed"),IF(AND($H12="Unconfirmed",OR($C12="New",$C12="Know")),IF(COUNTIFS($I$2:$I$1001,$A12,$C$2:$C$1001,"Confirmed")=0,"Unconfirmed","Confirmed"),"Logged")))</f>
        <v/>
      </c>
      <c r="L12" s="29" t="str">
        <f aca="false">IF($A12="","",AsOf-$B12)</f>
        <v/>
      </c>
      <c r="M12" s="29" t="str">
        <f aca="false">IF($K12="Open",IF($C12="Conflict","Critical",IF($L12&gt;=DecisionCritical,"Critical",IF($L12&gt;=DecisionWarn,"Warning","On track"))),IF($K12="Unconfirmed",IF($L12&gt;=UnconfirmedWarn,"Warning","On track"),""))</f>
        <v/>
      </c>
      <c r="N12" s="29" t="str">
        <f aca="false">IF($M12="","",IF($M12="Critical",3000,IF($M12="Warning",2000,1000))+$L12+ROW()/100000)</f>
        <v/>
      </c>
      <c r="O12" s="29" t="str">
        <f aca="false">IF($K12="Open",IF($C12="Conflict","decide "&amp;$A12&amp;": &lt;which version stands&gt;","decide "&amp;$A12&amp;": &lt;outcome&gt;"),IF($K12="Unconfirmed","confirm "&amp;$A12,""))</f>
        <v/>
      </c>
    </row>
    <row r="13" customFormat="false" ht="15" hidden="false" customHeight="false" outlineLevel="0" collapsed="false">
      <c r="A13" s="24"/>
      <c r="B13" s="27"/>
      <c r="C13" s="28"/>
      <c r="D13" s="24"/>
      <c r="E13" s="24"/>
      <c r="F13" s="24"/>
      <c r="G13" s="28"/>
      <c r="H13" s="28"/>
      <c r="I13" s="24"/>
      <c r="J13" s="24"/>
      <c r="K13" s="29" t="str">
        <f aca="false">IF($A13="","",IF(OR($C13="Decision",$C13="Conflict"),IF(COUNTIFS($I$2:$I$1001,$A13,$C$2:$C$1001,"Resolved")=0,"Open","Closed"),IF(AND($H13="Unconfirmed",OR($C13="New",$C13="Know")),IF(COUNTIFS($I$2:$I$1001,$A13,$C$2:$C$1001,"Confirmed")=0,"Unconfirmed","Confirmed"),"Logged")))</f>
        <v/>
      </c>
      <c r="L13" s="29" t="str">
        <f aca="false">IF($A13="","",AsOf-$B13)</f>
        <v/>
      </c>
      <c r="M13" s="29" t="str">
        <f aca="false">IF($K13="Open",IF($C13="Conflict","Critical",IF($L13&gt;=DecisionCritical,"Critical",IF($L13&gt;=DecisionWarn,"Warning","On track"))),IF($K13="Unconfirmed",IF($L13&gt;=UnconfirmedWarn,"Warning","On track"),""))</f>
        <v/>
      </c>
      <c r="N13" s="29" t="str">
        <f aca="false">IF($M13="","",IF($M13="Critical",3000,IF($M13="Warning",2000,1000))+$L13+ROW()/100000)</f>
        <v/>
      </c>
      <c r="O13" s="29" t="str">
        <f aca="false">IF($K13="Open",IF($C13="Conflict","decide "&amp;$A13&amp;": &lt;which version stands&gt;","decide "&amp;$A13&amp;": &lt;outcome&gt;"),IF($K13="Unconfirmed","confirm "&amp;$A13,""))</f>
        <v/>
      </c>
    </row>
    <row r="14" customFormat="false" ht="15" hidden="false" customHeight="false" outlineLevel="0" collapsed="false">
      <c r="A14" s="24"/>
      <c r="B14" s="27"/>
      <c r="C14" s="28"/>
      <c r="D14" s="24"/>
      <c r="E14" s="24"/>
      <c r="F14" s="24"/>
      <c r="G14" s="28"/>
      <c r="H14" s="28"/>
      <c r="I14" s="24"/>
      <c r="J14" s="24"/>
      <c r="K14" s="29" t="str">
        <f aca="false">IF($A14="","",IF(OR($C14="Decision",$C14="Conflict"),IF(COUNTIFS($I$2:$I$1001,$A14,$C$2:$C$1001,"Resolved")=0,"Open","Closed"),IF(AND($H14="Unconfirmed",OR($C14="New",$C14="Know")),IF(COUNTIFS($I$2:$I$1001,$A14,$C$2:$C$1001,"Confirmed")=0,"Unconfirmed","Confirmed"),"Logged")))</f>
        <v/>
      </c>
      <c r="L14" s="29" t="str">
        <f aca="false">IF($A14="","",AsOf-$B14)</f>
        <v/>
      </c>
      <c r="M14" s="29" t="str">
        <f aca="false">IF($K14="Open",IF($C14="Conflict","Critical",IF($L14&gt;=DecisionCritical,"Critical",IF($L14&gt;=DecisionWarn,"Warning","On track"))),IF($K14="Unconfirmed",IF($L14&gt;=UnconfirmedWarn,"Warning","On track"),""))</f>
        <v/>
      </c>
      <c r="N14" s="29" t="str">
        <f aca="false">IF($M14="","",IF($M14="Critical",3000,IF($M14="Warning",2000,1000))+$L14+ROW()/100000)</f>
        <v/>
      </c>
      <c r="O14" s="29" t="str">
        <f aca="false">IF($K14="Open",IF($C14="Conflict","decide "&amp;$A14&amp;": &lt;which version stands&gt;","decide "&amp;$A14&amp;": &lt;outcome&gt;"),IF($K14="Unconfirmed","confirm "&amp;$A14,""))</f>
        <v/>
      </c>
    </row>
    <row r="15" customFormat="false" ht="15" hidden="false" customHeight="false" outlineLevel="0" collapsed="false">
      <c r="A15" s="24"/>
      <c r="B15" s="27"/>
      <c r="C15" s="28"/>
      <c r="D15" s="24"/>
      <c r="E15" s="24"/>
      <c r="F15" s="24"/>
      <c r="G15" s="28"/>
      <c r="H15" s="28"/>
      <c r="I15" s="24"/>
      <c r="J15" s="24"/>
      <c r="K15" s="29" t="str">
        <f aca="false">IF($A15="","",IF(OR($C15="Decision",$C15="Conflict"),IF(COUNTIFS($I$2:$I$1001,$A15,$C$2:$C$1001,"Resolved")=0,"Open","Closed"),IF(AND($H15="Unconfirmed",OR($C15="New",$C15="Know")),IF(COUNTIFS($I$2:$I$1001,$A15,$C$2:$C$1001,"Confirmed")=0,"Unconfirmed","Confirmed"),"Logged")))</f>
        <v/>
      </c>
      <c r="L15" s="29" t="str">
        <f aca="false">IF($A15="","",AsOf-$B15)</f>
        <v/>
      </c>
      <c r="M15" s="29" t="str">
        <f aca="false">IF($K15="Open",IF($C15="Conflict","Critical",IF($L15&gt;=DecisionCritical,"Critical",IF($L15&gt;=DecisionWarn,"Warning","On track"))),IF($K15="Unconfirmed",IF($L15&gt;=UnconfirmedWarn,"Warning","On track"),""))</f>
        <v/>
      </c>
      <c r="N15" s="29" t="str">
        <f aca="false">IF($M15="","",IF($M15="Critical",3000,IF($M15="Warning",2000,1000))+$L15+ROW()/100000)</f>
        <v/>
      </c>
      <c r="O15" s="29" t="str">
        <f aca="false">IF($K15="Open",IF($C15="Conflict","decide "&amp;$A15&amp;": &lt;which version stands&gt;","decide "&amp;$A15&amp;": &lt;outcome&gt;"),IF($K15="Unconfirmed","confirm "&amp;$A15,""))</f>
        <v/>
      </c>
    </row>
    <row r="16" customFormat="false" ht="15" hidden="false" customHeight="false" outlineLevel="0" collapsed="false">
      <c r="A16" s="24"/>
      <c r="B16" s="27"/>
      <c r="C16" s="28"/>
      <c r="D16" s="24"/>
      <c r="E16" s="24"/>
      <c r="F16" s="24"/>
      <c r="G16" s="28"/>
      <c r="H16" s="28"/>
      <c r="I16" s="24"/>
      <c r="J16" s="24"/>
      <c r="K16" s="29" t="str">
        <f aca="false">IF($A16="","",IF(OR($C16="Decision",$C16="Conflict"),IF(COUNTIFS($I$2:$I$1001,$A16,$C$2:$C$1001,"Resolved")=0,"Open","Closed"),IF(AND($H16="Unconfirmed",OR($C16="New",$C16="Know")),IF(COUNTIFS($I$2:$I$1001,$A16,$C$2:$C$1001,"Confirmed")=0,"Unconfirmed","Confirmed"),"Logged")))</f>
        <v/>
      </c>
      <c r="L16" s="29" t="str">
        <f aca="false">IF($A16="","",AsOf-$B16)</f>
        <v/>
      </c>
      <c r="M16" s="29" t="str">
        <f aca="false">IF($K16="Open",IF($C16="Conflict","Critical",IF($L16&gt;=DecisionCritical,"Critical",IF($L16&gt;=DecisionWarn,"Warning","On track"))),IF($K16="Unconfirmed",IF($L16&gt;=UnconfirmedWarn,"Warning","On track"),""))</f>
        <v/>
      </c>
      <c r="N16" s="29" t="str">
        <f aca="false">IF($M16="","",IF($M16="Critical",3000,IF($M16="Warning",2000,1000))+$L16+ROW()/100000)</f>
        <v/>
      </c>
      <c r="O16" s="29" t="str">
        <f aca="false">IF($K16="Open",IF($C16="Conflict","decide "&amp;$A16&amp;": &lt;which version stands&gt;","decide "&amp;$A16&amp;": &lt;outcome&gt;"),IF($K16="Unconfirmed","confirm "&amp;$A16,""))</f>
        <v/>
      </c>
    </row>
    <row r="17" customFormat="false" ht="15" hidden="false" customHeight="false" outlineLevel="0" collapsed="false">
      <c r="A17" s="24"/>
      <c r="B17" s="27"/>
      <c r="C17" s="28"/>
      <c r="D17" s="24"/>
      <c r="E17" s="24"/>
      <c r="F17" s="24"/>
      <c r="G17" s="28"/>
      <c r="H17" s="28"/>
      <c r="I17" s="24"/>
      <c r="J17" s="24"/>
      <c r="K17" s="29" t="str">
        <f aca="false">IF($A17="","",IF(OR($C17="Decision",$C17="Conflict"),IF(COUNTIFS($I$2:$I$1001,$A17,$C$2:$C$1001,"Resolved")=0,"Open","Closed"),IF(AND($H17="Unconfirmed",OR($C17="New",$C17="Know")),IF(COUNTIFS($I$2:$I$1001,$A17,$C$2:$C$1001,"Confirmed")=0,"Unconfirmed","Confirmed"),"Logged")))</f>
        <v/>
      </c>
      <c r="L17" s="29" t="str">
        <f aca="false">IF($A17="","",AsOf-$B17)</f>
        <v/>
      </c>
      <c r="M17" s="29" t="str">
        <f aca="false">IF($K17="Open",IF($C17="Conflict","Critical",IF($L17&gt;=DecisionCritical,"Critical",IF($L17&gt;=DecisionWarn,"Warning","On track"))),IF($K17="Unconfirmed",IF($L17&gt;=UnconfirmedWarn,"Warning","On track"),""))</f>
        <v/>
      </c>
      <c r="N17" s="29" t="str">
        <f aca="false">IF($M17="","",IF($M17="Critical",3000,IF($M17="Warning",2000,1000))+$L17+ROW()/100000)</f>
        <v/>
      </c>
      <c r="O17" s="29" t="str">
        <f aca="false">IF($K17="Open",IF($C17="Conflict","decide "&amp;$A17&amp;": &lt;which version stands&gt;","decide "&amp;$A17&amp;": &lt;outcome&gt;"),IF($K17="Unconfirmed","confirm "&amp;$A17,""))</f>
        <v/>
      </c>
    </row>
    <row r="18" customFormat="false" ht="15" hidden="false" customHeight="false" outlineLevel="0" collapsed="false">
      <c r="A18" s="24"/>
      <c r="B18" s="27"/>
      <c r="C18" s="28"/>
      <c r="D18" s="24"/>
      <c r="E18" s="24"/>
      <c r="F18" s="24"/>
      <c r="G18" s="28"/>
      <c r="H18" s="28"/>
      <c r="I18" s="24"/>
      <c r="J18" s="24"/>
      <c r="K18" s="29" t="str">
        <f aca="false">IF($A18="","",IF(OR($C18="Decision",$C18="Conflict"),IF(COUNTIFS($I$2:$I$1001,$A18,$C$2:$C$1001,"Resolved")=0,"Open","Closed"),IF(AND($H18="Unconfirmed",OR($C18="New",$C18="Know")),IF(COUNTIFS($I$2:$I$1001,$A18,$C$2:$C$1001,"Confirmed")=0,"Unconfirmed","Confirmed"),"Logged")))</f>
        <v/>
      </c>
      <c r="L18" s="29" t="str">
        <f aca="false">IF($A18="","",AsOf-$B18)</f>
        <v/>
      </c>
      <c r="M18" s="29" t="str">
        <f aca="false">IF($K18="Open",IF($C18="Conflict","Critical",IF($L18&gt;=DecisionCritical,"Critical",IF($L18&gt;=DecisionWarn,"Warning","On track"))),IF($K18="Unconfirmed",IF($L18&gt;=UnconfirmedWarn,"Warning","On track"),""))</f>
        <v/>
      </c>
      <c r="N18" s="29" t="str">
        <f aca="false">IF($M18="","",IF($M18="Critical",3000,IF($M18="Warning",2000,1000))+$L18+ROW()/100000)</f>
        <v/>
      </c>
      <c r="O18" s="29" t="str">
        <f aca="false">IF($K18="Open",IF($C18="Conflict","decide "&amp;$A18&amp;": &lt;which version stands&gt;","decide "&amp;$A18&amp;": &lt;outcome&gt;"),IF($K18="Unconfirmed","confirm "&amp;$A18,""))</f>
        <v/>
      </c>
    </row>
    <row r="19" customFormat="false" ht="15" hidden="false" customHeight="false" outlineLevel="0" collapsed="false">
      <c r="A19" s="24"/>
      <c r="B19" s="27"/>
      <c r="C19" s="28"/>
      <c r="D19" s="24"/>
      <c r="E19" s="24"/>
      <c r="F19" s="24"/>
      <c r="G19" s="28"/>
      <c r="H19" s="28"/>
      <c r="I19" s="24"/>
      <c r="J19" s="24"/>
      <c r="K19" s="29" t="str">
        <f aca="false">IF($A19="","",IF(OR($C19="Decision",$C19="Conflict"),IF(COUNTIFS($I$2:$I$1001,$A19,$C$2:$C$1001,"Resolved")=0,"Open","Closed"),IF(AND($H19="Unconfirmed",OR($C19="New",$C19="Know")),IF(COUNTIFS($I$2:$I$1001,$A19,$C$2:$C$1001,"Confirmed")=0,"Unconfirmed","Confirmed"),"Logged")))</f>
        <v/>
      </c>
      <c r="L19" s="29" t="str">
        <f aca="false">IF($A19="","",AsOf-$B19)</f>
        <v/>
      </c>
      <c r="M19" s="29" t="str">
        <f aca="false">IF($K19="Open",IF($C19="Conflict","Critical",IF($L19&gt;=DecisionCritical,"Critical",IF($L19&gt;=DecisionWarn,"Warning","On track"))),IF($K19="Unconfirmed",IF($L19&gt;=UnconfirmedWarn,"Warning","On track"),""))</f>
        <v/>
      </c>
      <c r="N19" s="29" t="str">
        <f aca="false">IF($M19="","",IF($M19="Critical",3000,IF($M19="Warning",2000,1000))+$L19+ROW()/100000)</f>
        <v/>
      </c>
      <c r="O19" s="29" t="str">
        <f aca="false">IF($K19="Open",IF($C19="Conflict","decide "&amp;$A19&amp;": &lt;which version stands&gt;","decide "&amp;$A19&amp;": &lt;outcome&gt;"),IF($K19="Unconfirmed","confirm "&amp;$A19,""))</f>
        <v/>
      </c>
    </row>
    <row r="20" customFormat="false" ht="15" hidden="false" customHeight="false" outlineLevel="0" collapsed="false">
      <c r="A20" s="24"/>
      <c r="B20" s="27"/>
      <c r="C20" s="28"/>
      <c r="D20" s="24"/>
      <c r="E20" s="24"/>
      <c r="F20" s="24"/>
      <c r="G20" s="28"/>
      <c r="H20" s="28"/>
      <c r="I20" s="24"/>
      <c r="J20" s="24"/>
      <c r="K20" s="29" t="str">
        <f aca="false">IF($A20="","",IF(OR($C20="Decision",$C20="Conflict"),IF(COUNTIFS($I$2:$I$1001,$A20,$C$2:$C$1001,"Resolved")=0,"Open","Closed"),IF(AND($H20="Unconfirmed",OR($C20="New",$C20="Know")),IF(COUNTIFS($I$2:$I$1001,$A20,$C$2:$C$1001,"Confirmed")=0,"Unconfirmed","Confirmed"),"Logged")))</f>
        <v/>
      </c>
      <c r="L20" s="29" t="str">
        <f aca="false">IF($A20="","",AsOf-$B20)</f>
        <v/>
      </c>
      <c r="M20" s="29" t="str">
        <f aca="false">IF($K20="Open",IF($C20="Conflict","Critical",IF($L20&gt;=DecisionCritical,"Critical",IF($L20&gt;=DecisionWarn,"Warning","On track"))),IF($K20="Unconfirmed",IF($L20&gt;=UnconfirmedWarn,"Warning","On track"),""))</f>
        <v/>
      </c>
      <c r="N20" s="29" t="str">
        <f aca="false">IF($M20="","",IF($M20="Critical",3000,IF($M20="Warning",2000,1000))+$L20+ROW()/100000)</f>
        <v/>
      </c>
      <c r="O20" s="29" t="str">
        <f aca="false">IF($K20="Open",IF($C20="Conflict","decide "&amp;$A20&amp;": &lt;which version stands&gt;","decide "&amp;$A20&amp;": &lt;outcome&gt;"),IF($K20="Unconfirmed","confirm "&amp;$A20,""))</f>
        <v/>
      </c>
    </row>
    <row r="21" customFormat="false" ht="15" hidden="false" customHeight="false" outlineLevel="0" collapsed="false">
      <c r="A21" s="24"/>
      <c r="B21" s="27"/>
      <c r="C21" s="28"/>
      <c r="D21" s="24"/>
      <c r="E21" s="24"/>
      <c r="F21" s="24"/>
      <c r="G21" s="28"/>
      <c r="H21" s="28"/>
      <c r="I21" s="24"/>
      <c r="J21" s="24"/>
      <c r="K21" s="29" t="str">
        <f aca="false">IF($A21="","",IF(OR($C21="Decision",$C21="Conflict"),IF(COUNTIFS($I$2:$I$1001,$A21,$C$2:$C$1001,"Resolved")=0,"Open","Closed"),IF(AND($H21="Unconfirmed",OR($C21="New",$C21="Know")),IF(COUNTIFS($I$2:$I$1001,$A21,$C$2:$C$1001,"Confirmed")=0,"Unconfirmed","Confirmed"),"Logged")))</f>
        <v/>
      </c>
      <c r="L21" s="29" t="str">
        <f aca="false">IF($A21="","",AsOf-$B21)</f>
        <v/>
      </c>
      <c r="M21" s="29" t="str">
        <f aca="false">IF($K21="Open",IF($C21="Conflict","Critical",IF($L21&gt;=DecisionCritical,"Critical",IF($L21&gt;=DecisionWarn,"Warning","On track"))),IF($K21="Unconfirmed",IF($L21&gt;=UnconfirmedWarn,"Warning","On track"),""))</f>
        <v/>
      </c>
      <c r="N21" s="29" t="str">
        <f aca="false">IF($M21="","",IF($M21="Critical",3000,IF($M21="Warning",2000,1000))+$L21+ROW()/100000)</f>
        <v/>
      </c>
      <c r="O21" s="29" t="str">
        <f aca="false">IF($K21="Open",IF($C21="Conflict","decide "&amp;$A21&amp;": &lt;which version stands&gt;","decide "&amp;$A21&amp;": &lt;outcome&gt;"),IF($K21="Unconfirmed","confirm "&amp;$A21,""))</f>
        <v/>
      </c>
    </row>
    <row r="22" customFormat="false" ht="15" hidden="false" customHeight="false" outlineLevel="0" collapsed="false">
      <c r="A22" s="24"/>
      <c r="B22" s="27"/>
      <c r="C22" s="28"/>
      <c r="D22" s="24"/>
      <c r="E22" s="24"/>
      <c r="F22" s="24"/>
      <c r="G22" s="28"/>
      <c r="H22" s="28"/>
      <c r="I22" s="24"/>
      <c r="J22" s="24"/>
      <c r="K22" s="29" t="str">
        <f aca="false">IF($A22="","",IF(OR($C22="Decision",$C22="Conflict"),IF(COUNTIFS($I$2:$I$1001,$A22,$C$2:$C$1001,"Resolved")=0,"Open","Closed"),IF(AND($H22="Unconfirmed",OR($C22="New",$C22="Know")),IF(COUNTIFS($I$2:$I$1001,$A22,$C$2:$C$1001,"Confirmed")=0,"Unconfirmed","Confirmed"),"Logged")))</f>
        <v/>
      </c>
      <c r="L22" s="29" t="str">
        <f aca="false">IF($A22="","",AsOf-$B22)</f>
        <v/>
      </c>
      <c r="M22" s="29" t="str">
        <f aca="false">IF($K22="Open",IF($C22="Conflict","Critical",IF($L22&gt;=DecisionCritical,"Critical",IF($L22&gt;=DecisionWarn,"Warning","On track"))),IF($K22="Unconfirmed",IF($L22&gt;=UnconfirmedWarn,"Warning","On track"),""))</f>
        <v/>
      </c>
      <c r="N22" s="29" t="str">
        <f aca="false">IF($M22="","",IF($M22="Critical",3000,IF($M22="Warning",2000,1000))+$L22+ROW()/100000)</f>
        <v/>
      </c>
      <c r="O22" s="29" t="str">
        <f aca="false">IF($K22="Open",IF($C22="Conflict","decide "&amp;$A22&amp;": &lt;which version stands&gt;","decide "&amp;$A22&amp;": &lt;outcome&gt;"),IF($K22="Unconfirmed","confirm "&amp;$A22,""))</f>
        <v/>
      </c>
    </row>
    <row r="23" customFormat="false" ht="15" hidden="false" customHeight="false" outlineLevel="0" collapsed="false">
      <c r="A23" s="24"/>
      <c r="B23" s="27"/>
      <c r="C23" s="28"/>
      <c r="D23" s="24"/>
      <c r="E23" s="24"/>
      <c r="F23" s="24"/>
      <c r="G23" s="28"/>
      <c r="H23" s="28"/>
      <c r="I23" s="24"/>
      <c r="J23" s="24"/>
      <c r="K23" s="29" t="str">
        <f aca="false">IF($A23="","",IF(OR($C23="Decision",$C23="Conflict"),IF(COUNTIFS($I$2:$I$1001,$A23,$C$2:$C$1001,"Resolved")=0,"Open","Closed"),IF(AND($H23="Unconfirmed",OR($C23="New",$C23="Know")),IF(COUNTIFS($I$2:$I$1001,$A23,$C$2:$C$1001,"Confirmed")=0,"Unconfirmed","Confirmed"),"Logged")))</f>
        <v/>
      </c>
      <c r="L23" s="29" t="str">
        <f aca="false">IF($A23="","",AsOf-$B23)</f>
        <v/>
      </c>
      <c r="M23" s="29" t="str">
        <f aca="false">IF($K23="Open",IF($C23="Conflict","Critical",IF($L23&gt;=DecisionCritical,"Critical",IF($L23&gt;=DecisionWarn,"Warning","On track"))),IF($K23="Unconfirmed",IF($L23&gt;=UnconfirmedWarn,"Warning","On track"),""))</f>
        <v/>
      </c>
      <c r="N23" s="29" t="str">
        <f aca="false">IF($M23="","",IF($M23="Critical",3000,IF($M23="Warning",2000,1000))+$L23+ROW()/100000)</f>
        <v/>
      </c>
      <c r="O23" s="29" t="str">
        <f aca="false">IF($K23="Open",IF($C23="Conflict","decide "&amp;$A23&amp;": &lt;which version stands&gt;","decide "&amp;$A23&amp;": &lt;outcome&gt;"),IF($K23="Unconfirmed","confirm "&amp;$A23,""))</f>
        <v/>
      </c>
    </row>
    <row r="24" customFormat="false" ht="15" hidden="false" customHeight="false" outlineLevel="0" collapsed="false">
      <c r="A24" s="24"/>
      <c r="B24" s="27"/>
      <c r="C24" s="28"/>
      <c r="D24" s="24"/>
      <c r="E24" s="24"/>
      <c r="F24" s="24"/>
      <c r="G24" s="28"/>
      <c r="H24" s="28"/>
      <c r="I24" s="24"/>
      <c r="J24" s="24"/>
      <c r="K24" s="29" t="str">
        <f aca="false">IF($A24="","",IF(OR($C24="Decision",$C24="Conflict"),IF(COUNTIFS($I$2:$I$1001,$A24,$C$2:$C$1001,"Resolved")=0,"Open","Closed"),IF(AND($H24="Unconfirmed",OR($C24="New",$C24="Know")),IF(COUNTIFS($I$2:$I$1001,$A24,$C$2:$C$1001,"Confirmed")=0,"Unconfirmed","Confirmed"),"Logged")))</f>
        <v/>
      </c>
      <c r="L24" s="29" t="str">
        <f aca="false">IF($A24="","",AsOf-$B24)</f>
        <v/>
      </c>
      <c r="M24" s="29" t="str">
        <f aca="false">IF($K24="Open",IF($C24="Conflict","Critical",IF($L24&gt;=DecisionCritical,"Critical",IF($L24&gt;=DecisionWarn,"Warning","On track"))),IF($K24="Unconfirmed",IF($L24&gt;=UnconfirmedWarn,"Warning","On track"),""))</f>
        <v/>
      </c>
      <c r="N24" s="29" t="str">
        <f aca="false">IF($M24="","",IF($M24="Critical",3000,IF($M24="Warning",2000,1000))+$L24+ROW()/100000)</f>
        <v/>
      </c>
      <c r="O24" s="29" t="str">
        <f aca="false">IF($K24="Open",IF($C24="Conflict","decide "&amp;$A24&amp;": &lt;which version stands&gt;","decide "&amp;$A24&amp;": &lt;outcome&gt;"),IF($K24="Unconfirmed","confirm "&amp;$A24,""))</f>
        <v/>
      </c>
    </row>
    <row r="25" customFormat="false" ht="15" hidden="false" customHeight="false" outlineLevel="0" collapsed="false">
      <c r="A25" s="24"/>
      <c r="B25" s="27"/>
      <c r="C25" s="28"/>
      <c r="D25" s="24"/>
      <c r="E25" s="24"/>
      <c r="F25" s="24"/>
      <c r="G25" s="28"/>
      <c r="H25" s="28"/>
      <c r="I25" s="24"/>
      <c r="J25" s="24"/>
      <c r="K25" s="29" t="str">
        <f aca="false">IF($A25="","",IF(OR($C25="Decision",$C25="Conflict"),IF(COUNTIFS($I$2:$I$1001,$A25,$C$2:$C$1001,"Resolved")=0,"Open","Closed"),IF(AND($H25="Unconfirmed",OR($C25="New",$C25="Know")),IF(COUNTIFS($I$2:$I$1001,$A25,$C$2:$C$1001,"Confirmed")=0,"Unconfirmed","Confirmed"),"Logged")))</f>
        <v/>
      </c>
      <c r="L25" s="29" t="str">
        <f aca="false">IF($A25="","",AsOf-$B25)</f>
        <v/>
      </c>
      <c r="M25" s="29" t="str">
        <f aca="false">IF($K25="Open",IF($C25="Conflict","Critical",IF($L25&gt;=DecisionCritical,"Critical",IF($L25&gt;=DecisionWarn,"Warning","On track"))),IF($K25="Unconfirmed",IF($L25&gt;=UnconfirmedWarn,"Warning","On track"),""))</f>
        <v/>
      </c>
      <c r="N25" s="29" t="str">
        <f aca="false">IF($M25="","",IF($M25="Critical",3000,IF($M25="Warning",2000,1000))+$L25+ROW()/100000)</f>
        <v/>
      </c>
      <c r="O25" s="29" t="str">
        <f aca="false">IF($K25="Open",IF($C25="Conflict","decide "&amp;$A25&amp;": &lt;which version stands&gt;","decide "&amp;$A25&amp;": &lt;outcome&gt;"),IF($K25="Unconfirmed","confirm "&amp;$A25,""))</f>
        <v/>
      </c>
    </row>
    <row r="26" customFormat="false" ht="15" hidden="false" customHeight="false" outlineLevel="0" collapsed="false">
      <c r="A26" s="24"/>
      <c r="B26" s="27"/>
      <c r="C26" s="28"/>
      <c r="D26" s="24"/>
      <c r="E26" s="24"/>
      <c r="F26" s="24"/>
      <c r="G26" s="28"/>
      <c r="H26" s="28"/>
      <c r="I26" s="24"/>
      <c r="J26" s="24"/>
      <c r="K26" s="29" t="str">
        <f aca="false">IF($A26="","",IF(OR($C26="Decision",$C26="Conflict"),IF(COUNTIFS($I$2:$I$1001,$A26,$C$2:$C$1001,"Resolved")=0,"Open","Closed"),IF(AND($H26="Unconfirmed",OR($C26="New",$C26="Know")),IF(COUNTIFS($I$2:$I$1001,$A26,$C$2:$C$1001,"Confirmed")=0,"Unconfirmed","Confirmed"),"Logged")))</f>
        <v/>
      </c>
      <c r="L26" s="29" t="str">
        <f aca="false">IF($A26="","",AsOf-$B26)</f>
        <v/>
      </c>
      <c r="M26" s="29" t="str">
        <f aca="false">IF($K26="Open",IF($C26="Conflict","Critical",IF($L26&gt;=DecisionCritical,"Critical",IF($L26&gt;=DecisionWarn,"Warning","On track"))),IF($K26="Unconfirmed",IF($L26&gt;=UnconfirmedWarn,"Warning","On track"),""))</f>
        <v/>
      </c>
      <c r="N26" s="29" t="str">
        <f aca="false">IF($M26="","",IF($M26="Critical",3000,IF($M26="Warning",2000,1000))+$L26+ROW()/100000)</f>
        <v/>
      </c>
      <c r="O26" s="29" t="str">
        <f aca="false">IF($K26="Open",IF($C26="Conflict","decide "&amp;$A26&amp;": &lt;which version stands&gt;","decide "&amp;$A26&amp;": &lt;outcome&gt;"),IF($K26="Unconfirmed","confirm "&amp;$A26,""))</f>
        <v/>
      </c>
    </row>
    <row r="27" customFormat="false" ht="15" hidden="false" customHeight="false" outlineLevel="0" collapsed="false">
      <c r="A27" s="24"/>
      <c r="B27" s="27"/>
      <c r="C27" s="28"/>
      <c r="D27" s="24"/>
      <c r="E27" s="24"/>
      <c r="F27" s="24"/>
      <c r="G27" s="28"/>
      <c r="H27" s="28"/>
      <c r="I27" s="24"/>
      <c r="J27" s="24"/>
      <c r="K27" s="29" t="str">
        <f aca="false">IF($A27="","",IF(OR($C27="Decision",$C27="Conflict"),IF(COUNTIFS($I$2:$I$1001,$A27,$C$2:$C$1001,"Resolved")=0,"Open","Closed"),IF(AND($H27="Unconfirmed",OR($C27="New",$C27="Know")),IF(COUNTIFS($I$2:$I$1001,$A27,$C$2:$C$1001,"Confirmed")=0,"Unconfirmed","Confirmed"),"Logged")))</f>
        <v/>
      </c>
      <c r="L27" s="29" t="str">
        <f aca="false">IF($A27="","",AsOf-$B27)</f>
        <v/>
      </c>
      <c r="M27" s="29" t="str">
        <f aca="false">IF($K27="Open",IF($C27="Conflict","Critical",IF($L27&gt;=DecisionCritical,"Critical",IF($L27&gt;=DecisionWarn,"Warning","On track"))),IF($K27="Unconfirmed",IF($L27&gt;=UnconfirmedWarn,"Warning","On track"),""))</f>
        <v/>
      </c>
      <c r="N27" s="29" t="str">
        <f aca="false">IF($M27="","",IF($M27="Critical",3000,IF($M27="Warning",2000,1000))+$L27+ROW()/100000)</f>
        <v/>
      </c>
      <c r="O27" s="29" t="str">
        <f aca="false">IF($K27="Open",IF($C27="Conflict","decide "&amp;$A27&amp;": &lt;which version stands&gt;","decide "&amp;$A27&amp;": &lt;outcome&gt;"),IF($K27="Unconfirmed","confirm "&amp;$A27,""))</f>
        <v/>
      </c>
    </row>
    <row r="28" customFormat="false" ht="15" hidden="false" customHeight="false" outlineLevel="0" collapsed="false">
      <c r="A28" s="24"/>
      <c r="B28" s="27"/>
      <c r="C28" s="28"/>
      <c r="D28" s="24"/>
      <c r="E28" s="24"/>
      <c r="F28" s="24"/>
      <c r="G28" s="28"/>
      <c r="H28" s="28"/>
      <c r="I28" s="24"/>
      <c r="J28" s="24"/>
      <c r="K28" s="29" t="str">
        <f aca="false">IF($A28="","",IF(OR($C28="Decision",$C28="Conflict"),IF(COUNTIFS($I$2:$I$1001,$A28,$C$2:$C$1001,"Resolved")=0,"Open","Closed"),IF(AND($H28="Unconfirmed",OR($C28="New",$C28="Know")),IF(COUNTIFS($I$2:$I$1001,$A28,$C$2:$C$1001,"Confirmed")=0,"Unconfirmed","Confirmed"),"Logged")))</f>
        <v/>
      </c>
      <c r="L28" s="29" t="str">
        <f aca="false">IF($A28="","",AsOf-$B28)</f>
        <v/>
      </c>
      <c r="M28" s="29" t="str">
        <f aca="false">IF($K28="Open",IF($C28="Conflict","Critical",IF($L28&gt;=DecisionCritical,"Critical",IF($L28&gt;=DecisionWarn,"Warning","On track"))),IF($K28="Unconfirmed",IF($L28&gt;=UnconfirmedWarn,"Warning","On track"),""))</f>
        <v/>
      </c>
      <c r="N28" s="29" t="str">
        <f aca="false">IF($M28="","",IF($M28="Critical",3000,IF($M28="Warning",2000,1000))+$L28+ROW()/100000)</f>
        <v/>
      </c>
      <c r="O28" s="29" t="str">
        <f aca="false">IF($K28="Open",IF($C28="Conflict","decide "&amp;$A28&amp;": &lt;which version stands&gt;","decide "&amp;$A28&amp;": &lt;outcome&gt;"),IF($K28="Unconfirmed","confirm "&amp;$A28,""))</f>
        <v/>
      </c>
    </row>
    <row r="29" customFormat="false" ht="15" hidden="false" customHeight="false" outlineLevel="0" collapsed="false">
      <c r="A29" s="24"/>
      <c r="B29" s="27"/>
      <c r="C29" s="28"/>
      <c r="D29" s="24"/>
      <c r="E29" s="24"/>
      <c r="F29" s="24"/>
      <c r="G29" s="28"/>
      <c r="H29" s="28"/>
      <c r="I29" s="24"/>
      <c r="J29" s="24"/>
      <c r="K29" s="29" t="str">
        <f aca="false">IF($A29="","",IF(OR($C29="Decision",$C29="Conflict"),IF(COUNTIFS($I$2:$I$1001,$A29,$C$2:$C$1001,"Resolved")=0,"Open","Closed"),IF(AND($H29="Unconfirmed",OR($C29="New",$C29="Know")),IF(COUNTIFS($I$2:$I$1001,$A29,$C$2:$C$1001,"Confirmed")=0,"Unconfirmed","Confirmed"),"Logged")))</f>
        <v/>
      </c>
      <c r="L29" s="29" t="str">
        <f aca="false">IF($A29="","",AsOf-$B29)</f>
        <v/>
      </c>
      <c r="M29" s="29" t="str">
        <f aca="false">IF($K29="Open",IF($C29="Conflict","Critical",IF($L29&gt;=DecisionCritical,"Critical",IF($L29&gt;=DecisionWarn,"Warning","On track"))),IF($K29="Unconfirmed",IF($L29&gt;=UnconfirmedWarn,"Warning","On track"),""))</f>
        <v/>
      </c>
      <c r="N29" s="29" t="str">
        <f aca="false">IF($M29="","",IF($M29="Critical",3000,IF($M29="Warning",2000,1000))+$L29+ROW()/100000)</f>
        <v/>
      </c>
      <c r="O29" s="29" t="str">
        <f aca="false">IF($K29="Open",IF($C29="Conflict","decide "&amp;$A29&amp;": &lt;which version stands&gt;","decide "&amp;$A29&amp;": &lt;outcome&gt;"),IF($K29="Unconfirmed","confirm "&amp;$A29,""))</f>
        <v/>
      </c>
    </row>
    <row r="30" customFormat="false" ht="15" hidden="false" customHeight="false" outlineLevel="0" collapsed="false">
      <c r="A30" s="24"/>
      <c r="B30" s="27"/>
      <c r="C30" s="28"/>
      <c r="D30" s="24"/>
      <c r="E30" s="24"/>
      <c r="F30" s="24"/>
      <c r="G30" s="28"/>
      <c r="H30" s="28"/>
      <c r="I30" s="24"/>
      <c r="J30" s="24"/>
      <c r="K30" s="29" t="str">
        <f aca="false">IF($A30="","",IF(OR($C30="Decision",$C30="Conflict"),IF(COUNTIFS($I$2:$I$1001,$A30,$C$2:$C$1001,"Resolved")=0,"Open","Closed"),IF(AND($H30="Unconfirmed",OR($C30="New",$C30="Know")),IF(COUNTIFS($I$2:$I$1001,$A30,$C$2:$C$1001,"Confirmed")=0,"Unconfirmed","Confirmed"),"Logged")))</f>
        <v/>
      </c>
      <c r="L30" s="29" t="str">
        <f aca="false">IF($A30="","",AsOf-$B30)</f>
        <v/>
      </c>
      <c r="M30" s="29" t="str">
        <f aca="false">IF($K30="Open",IF($C30="Conflict","Critical",IF($L30&gt;=DecisionCritical,"Critical",IF($L30&gt;=DecisionWarn,"Warning","On track"))),IF($K30="Unconfirmed",IF($L30&gt;=UnconfirmedWarn,"Warning","On track"),""))</f>
        <v/>
      </c>
      <c r="N30" s="29" t="str">
        <f aca="false">IF($M30="","",IF($M30="Critical",3000,IF($M30="Warning",2000,1000))+$L30+ROW()/100000)</f>
        <v/>
      </c>
      <c r="O30" s="29" t="str">
        <f aca="false">IF($K30="Open",IF($C30="Conflict","decide "&amp;$A30&amp;": &lt;which version stands&gt;","decide "&amp;$A30&amp;": &lt;outcome&gt;"),IF($K30="Unconfirmed","confirm "&amp;$A30,""))</f>
        <v/>
      </c>
    </row>
    <row r="31" customFormat="false" ht="15" hidden="false" customHeight="false" outlineLevel="0" collapsed="false">
      <c r="A31" s="24"/>
      <c r="B31" s="27"/>
      <c r="C31" s="28"/>
      <c r="D31" s="24"/>
      <c r="E31" s="24"/>
      <c r="F31" s="24"/>
      <c r="G31" s="28"/>
      <c r="H31" s="28"/>
      <c r="I31" s="24"/>
      <c r="J31" s="24"/>
      <c r="K31" s="29" t="str">
        <f aca="false">IF($A31="","",IF(OR($C31="Decision",$C31="Conflict"),IF(COUNTIFS($I$2:$I$1001,$A31,$C$2:$C$1001,"Resolved")=0,"Open","Closed"),IF(AND($H31="Unconfirmed",OR($C31="New",$C31="Know")),IF(COUNTIFS($I$2:$I$1001,$A31,$C$2:$C$1001,"Confirmed")=0,"Unconfirmed","Confirmed"),"Logged")))</f>
        <v/>
      </c>
      <c r="L31" s="29" t="str">
        <f aca="false">IF($A31="","",AsOf-$B31)</f>
        <v/>
      </c>
      <c r="M31" s="29" t="str">
        <f aca="false">IF($K31="Open",IF($C31="Conflict","Critical",IF($L31&gt;=DecisionCritical,"Critical",IF($L31&gt;=DecisionWarn,"Warning","On track"))),IF($K31="Unconfirmed",IF($L31&gt;=UnconfirmedWarn,"Warning","On track"),""))</f>
        <v/>
      </c>
      <c r="N31" s="29" t="str">
        <f aca="false">IF($M31="","",IF($M31="Critical",3000,IF($M31="Warning",2000,1000))+$L31+ROW()/100000)</f>
        <v/>
      </c>
      <c r="O31" s="29" t="str">
        <f aca="false">IF($K31="Open",IF($C31="Conflict","decide "&amp;$A31&amp;": &lt;which version stands&gt;","decide "&amp;$A31&amp;": &lt;outcome&gt;"),IF($K31="Unconfirmed","confirm "&amp;$A31,""))</f>
        <v/>
      </c>
    </row>
    <row r="32" customFormat="false" ht="15" hidden="false" customHeight="false" outlineLevel="0" collapsed="false">
      <c r="A32" s="24"/>
      <c r="B32" s="27"/>
      <c r="C32" s="28"/>
      <c r="D32" s="24"/>
      <c r="E32" s="24"/>
      <c r="F32" s="24"/>
      <c r="G32" s="28"/>
      <c r="H32" s="28"/>
      <c r="I32" s="24"/>
      <c r="J32" s="24"/>
      <c r="K32" s="29" t="str">
        <f aca="false">IF($A32="","",IF(OR($C32="Decision",$C32="Conflict"),IF(COUNTIFS($I$2:$I$1001,$A32,$C$2:$C$1001,"Resolved")=0,"Open","Closed"),IF(AND($H32="Unconfirmed",OR($C32="New",$C32="Know")),IF(COUNTIFS($I$2:$I$1001,$A32,$C$2:$C$1001,"Confirmed")=0,"Unconfirmed","Confirmed"),"Logged")))</f>
        <v/>
      </c>
      <c r="L32" s="29" t="str">
        <f aca="false">IF($A32="","",AsOf-$B32)</f>
        <v/>
      </c>
      <c r="M32" s="29" t="str">
        <f aca="false">IF($K32="Open",IF($C32="Conflict","Critical",IF($L32&gt;=DecisionCritical,"Critical",IF($L32&gt;=DecisionWarn,"Warning","On track"))),IF($K32="Unconfirmed",IF($L32&gt;=UnconfirmedWarn,"Warning","On track"),""))</f>
        <v/>
      </c>
      <c r="N32" s="29" t="str">
        <f aca="false">IF($M32="","",IF($M32="Critical",3000,IF($M32="Warning",2000,1000))+$L32+ROW()/100000)</f>
        <v/>
      </c>
      <c r="O32" s="29" t="str">
        <f aca="false">IF($K32="Open",IF($C32="Conflict","decide "&amp;$A32&amp;": &lt;which version stands&gt;","decide "&amp;$A32&amp;": &lt;outcome&gt;"),IF($K32="Unconfirmed","confirm "&amp;$A32,""))</f>
        <v/>
      </c>
    </row>
    <row r="33" customFormat="false" ht="15" hidden="false" customHeight="false" outlineLevel="0" collapsed="false">
      <c r="A33" s="24"/>
      <c r="B33" s="27"/>
      <c r="C33" s="28"/>
      <c r="D33" s="24"/>
      <c r="E33" s="24"/>
      <c r="F33" s="24"/>
      <c r="G33" s="28"/>
      <c r="H33" s="28"/>
      <c r="I33" s="24"/>
      <c r="J33" s="24"/>
      <c r="K33" s="29" t="str">
        <f aca="false">IF($A33="","",IF(OR($C33="Decision",$C33="Conflict"),IF(COUNTIFS($I$2:$I$1001,$A33,$C$2:$C$1001,"Resolved")=0,"Open","Closed"),IF(AND($H33="Unconfirmed",OR($C33="New",$C33="Know")),IF(COUNTIFS($I$2:$I$1001,$A33,$C$2:$C$1001,"Confirmed")=0,"Unconfirmed","Confirmed"),"Logged")))</f>
        <v/>
      </c>
      <c r="L33" s="29" t="str">
        <f aca="false">IF($A33="","",AsOf-$B33)</f>
        <v/>
      </c>
      <c r="M33" s="29" t="str">
        <f aca="false">IF($K33="Open",IF($C33="Conflict","Critical",IF($L33&gt;=DecisionCritical,"Critical",IF($L33&gt;=DecisionWarn,"Warning","On track"))),IF($K33="Unconfirmed",IF($L33&gt;=UnconfirmedWarn,"Warning","On track"),""))</f>
        <v/>
      </c>
      <c r="N33" s="29" t="str">
        <f aca="false">IF($M33="","",IF($M33="Critical",3000,IF($M33="Warning",2000,1000))+$L33+ROW()/100000)</f>
        <v/>
      </c>
      <c r="O33" s="29" t="str">
        <f aca="false">IF($K33="Open",IF($C33="Conflict","decide "&amp;$A33&amp;": &lt;which version stands&gt;","decide "&amp;$A33&amp;": &lt;outcome&gt;"),IF($K33="Unconfirmed","confirm "&amp;$A33,""))</f>
        <v/>
      </c>
    </row>
    <row r="34" customFormat="false" ht="15" hidden="false" customHeight="false" outlineLevel="0" collapsed="false">
      <c r="A34" s="24"/>
      <c r="B34" s="27"/>
      <c r="C34" s="28"/>
      <c r="D34" s="24"/>
      <c r="E34" s="24"/>
      <c r="F34" s="24"/>
      <c r="G34" s="28"/>
      <c r="H34" s="28"/>
      <c r="I34" s="24"/>
      <c r="J34" s="24"/>
      <c r="K34" s="29" t="str">
        <f aca="false">IF($A34="","",IF(OR($C34="Decision",$C34="Conflict"),IF(COUNTIFS($I$2:$I$1001,$A34,$C$2:$C$1001,"Resolved")=0,"Open","Closed"),IF(AND($H34="Unconfirmed",OR($C34="New",$C34="Know")),IF(COUNTIFS($I$2:$I$1001,$A34,$C$2:$C$1001,"Confirmed")=0,"Unconfirmed","Confirmed"),"Logged")))</f>
        <v/>
      </c>
      <c r="L34" s="29" t="str">
        <f aca="false">IF($A34="","",AsOf-$B34)</f>
        <v/>
      </c>
      <c r="M34" s="29" t="str">
        <f aca="false">IF($K34="Open",IF($C34="Conflict","Critical",IF($L34&gt;=DecisionCritical,"Critical",IF($L34&gt;=DecisionWarn,"Warning","On track"))),IF($K34="Unconfirmed",IF($L34&gt;=UnconfirmedWarn,"Warning","On track"),""))</f>
        <v/>
      </c>
      <c r="N34" s="29" t="str">
        <f aca="false">IF($M34="","",IF($M34="Critical",3000,IF($M34="Warning",2000,1000))+$L34+ROW()/100000)</f>
        <v/>
      </c>
      <c r="O34" s="29" t="str">
        <f aca="false">IF($K34="Open",IF($C34="Conflict","decide "&amp;$A34&amp;": &lt;which version stands&gt;","decide "&amp;$A34&amp;": &lt;outcome&gt;"),IF($K34="Unconfirmed","confirm "&amp;$A34,""))</f>
        <v/>
      </c>
    </row>
    <row r="35" customFormat="false" ht="15" hidden="false" customHeight="false" outlineLevel="0" collapsed="false">
      <c r="A35" s="24"/>
      <c r="B35" s="27"/>
      <c r="C35" s="28"/>
      <c r="D35" s="24"/>
      <c r="E35" s="24"/>
      <c r="F35" s="24"/>
      <c r="G35" s="28"/>
      <c r="H35" s="28"/>
      <c r="I35" s="24"/>
      <c r="J35" s="24"/>
      <c r="K35" s="29" t="str">
        <f aca="false">IF($A35="","",IF(OR($C35="Decision",$C35="Conflict"),IF(COUNTIFS($I$2:$I$1001,$A35,$C$2:$C$1001,"Resolved")=0,"Open","Closed"),IF(AND($H35="Unconfirmed",OR($C35="New",$C35="Know")),IF(COUNTIFS($I$2:$I$1001,$A35,$C$2:$C$1001,"Confirmed")=0,"Unconfirmed","Confirmed"),"Logged")))</f>
        <v/>
      </c>
      <c r="L35" s="29" t="str">
        <f aca="false">IF($A35="","",AsOf-$B35)</f>
        <v/>
      </c>
      <c r="M35" s="29" t="str">
        <f aca="false">IF($K35="Open",IF($C35="Conflict","Critical",IF($L35&gt;=DecisionCritical,"Critical",IF($L35&gt;=DecisionWarn,"Warning","On track"))),IF($K35="Unconfirmed",IF($L35&gt;=UnconfirmedWarn,"Warning","On track"),""))</f>
        <v/>
      </c>
      <c r="N35" s="29" t="str">
        <f aca="false">IF($M35="","",IF($M35="Critical",3000,IF($M35="Warning",2000,1000))+$L35+ROW()/100000)</f>
        <v/>
      </c>
      <c r="O35" s="29" t="str">
        <f aca="false">IF($K35="Open",IF($C35="Conflict","decide "&amp;$A35&amp;": &lt;which version stands&gt;","decide "&amp;$A35&amp;": &lt;outcome&gt;"),IF($K35="Unconfirmed","confirm "&amp;$A35,""))</f>
        <v/>
      </c>
    </row>
    <row r="36" customFormat="false" ht="15" hidden="false" customHeight="false" outlineLevel="0" collapsed="false">
      <c r="A36" s="24"/>
      <c r="B36" s="27"/>
      <c r="C36" s="28"/>
      <c r="D36" s="24"/>
      <c r="E36" s="24"/>
      <c r="F36" s="24"/>
      <c r="G36" s="28"/>
      <c r="H36" s="28"/>
      <c r="I36" s="24"/>
      <c r="J36" s="24"/>
      <c r="K36" s="29" t="str">
        <f aca="false">IF($A36="","",IF(OR($C36="Decision",$C36="Conflict"),IF(COUNTIFS($I$2:$I$1001,$A36,$C$2:$C$1001,"Resolved")=0,"Open","Closed"),IF(AND($H36="Unconfirmed",OR($C36="New",$C36="Know")),IF(COUNTIFS($I$2:$I$1001,$A36,$C$2:$C$1001,"Confirmed")=0,"Unconfirmed","Confirmed"),"Logged")))</f>
        <v/>
      </c>
      <c r="L36" s="29" t="str">
        <f aca="false">IF($A36="","",AsOf-$B36)</f>
        <v/>
      </c>
      <c r="M36" s="29" t="str">
        <f aca="false">IF($K36="Open",IF($C36="Conflict","Critical",IF($L36&gt;=DecisionCritical,"Critical",IF($L36&gt;=DecisionWarn,"Warning","On track"))),IF($K36="Unconfirmed",IF($L36&gt;=UnconfirmedWarn,"Warning","On track"),""))</f>
        <v/>
      </c>
      <c r="N36" s="29" t="str">
        <f aca="false">IF($M36="","",IF($M36="Critical",3000,IF($M36="Warning",2000,1000))+$L36+ROW()/100000)</f>
        <v/>
      </c>
      <c r="O36" s="29" t="str">
        <f aca="false">IF($K36="Open",IF($C36="Conflict","decide "&amp;$A36&amp;": &lt;which version stands&gt;","decide "&amp;$A36&amp;": &lt;outcome&gt;"),IF($K36="Unconfirmed","confirm "&amp;$A36,""))</f>
        <v/>
      </c>
    </row>
    <row r="37" customFormat="false" ht="15" hidden="false" customHeight="false" outlineLevel="0" collapsed="false">
      <c r="A37" s="24"/>
      <c r="B37" s="27"/>
      <c r="C37" s="28"/>
      <c r="D37" s="24"/>
      <c r="E37" s="24"/>
      <c r="F37" s="24"/>
      <c r="G37" s="28"/>
      <c r="H37" s="28"/>
      <c r="I37" s="24"/>
      <c r="J37" s="24"/>
      <c r="K37" s="29" t="str">
        <f aca="false">IF($A37="","",IF(OR($C37="Decision",$C37="Conflict"),IF(COUNTIFS($I$2:$I$1001,$A37,$C$2:$C$1001,"Resolved")=0,"Open","Closed"),IF(AND($H37="Unconfirmed",OR($C37="New",$C37="Know")),IF(COUNTIFS($I$2:$I$1001,$A37,$C$2:$C$1001,"Confirmed")=0,"Unconfirmed","Confirmed"),"Logged")))</f>
        <v/>
      </c>
      <c r="L37" s="29" t="str">
        <f aca="false">IF($A37="","",AsOf-$B37)</f>
        <v/>
      </c>
      <c r="M37" s="29" t="str">
        <f aca="false">IF($K37="Open",IF($C37="Conflict","Critical",IF($L37&gt;=DecisionCritical,"Critical",IF($L37&gt;=DecisionWarn,"Warning","On track"))),IF($K37="Unconfirmed",IF($L37&gt;=UnconfirmedWarn,"Warning","On track"),""))</f>
        <v/>
      </c>
      <c r="N37" s="29" t="str">
        <f aca="false">IF($M37="","",IF($M37="Critical",3000,IF($M37="Warning",2000,1000))+$L37+ROW()/100000)</f>
        <v/>
      </c>
      <c r="O37" s="29" t="str">
        <f aca="false">IF($K37="Open",IF($C37="Conflict","decide "&amp;$A37&amp;": &lt;which version stands&gt;","decide "&amp;$A37&amp;": &lt;outcome&gt;"),IF($K37="Unconfirmed","confirm "&amp;$A37,""))</f>
        <v/>
      </c>
    </row>
    <row r="38" customFormat="false" ht="15" hidden="false" customHeight="false" outlineLevel="0" collapsed="false">
      <c r="A38" s="24"/>
      <c r="B38" s="27"/>
      <c r="C38" s="28"/>
      <c r="D38" s="24"/>
      <c r="E38" s="24"/>
      <c r="F38" s="24"/>
      <c r="G38" s="28"/>
      <c r="H38" s="28"/>
      <c r="I38" s="24"/>
      <c r="J38" s="24"/>
      <c r="K38" s="29" t="str">
        <f aca="false">IF($A38="","",IF(OR($C38="Decision",$C38="Conflict"),IF(COUNTIFS($I$2:$I$1001,$A38,$C$2:$C$1001,"Resolved")=0,"Open","Closed"),IF(AND($H38="Unconfirmed",OR($C38="New",$C38="Know")),IF(COUNTIFS($I$2:$I$1001,$A38,$C$2:$C$1001,"Confirmed")=0,"Unconfirmed","Confirmed"),"Logged")))</f>
        <v/>
      </c>
      <c r="L38" s="29" t="str">
        <f aca="false">IF($A38="","",AsOf-$B38)</f>
        <v/>
      </c>
      <c r="M38" s="29" t="str">
        <f aca="false">IF($K38="Open",IF($C38="Conflict","Critical",IF($L38&gt;=DecisionCritical,"Critical",IF($L38&gt;=DecisionWarn,"Warning","On track"))),IF($K38="Unconfirmed",IF($L38&gt;=UnconfirmedWarn,"Warning","On track"),""))</f>
        <v/>
      </c>
      <c r="N38" s="29" t="str">
        <f aca="false">IF($M38="","",IF($M38="Critical",3000,IF($M38="Warning",2000,1000))+$L38+ROW()/100000)</f>
        <v/>
      </c>
      <c r="O38" s="29" t="str">
        <f aca="false">IF($K38="Open",IF($C38="Conflict","decide "&amp;$A38&amp;": &lt;which version stands&gt;","decide "&amp;$A38&amp;": &lt;outcome&gt;"),IF($K38="Unconfirmed","confirm "&amp;$A38,""))</f>
        <v/>
      </c>
    </row>
    <row r="39" customFormat="false" ht="15" hidden="false" customHeight="false" outlineLevel="0" collapsed="false">
      <c r="A39" s="24"/>
      <c r="B39" s="27"/>
      <c r="C39" s="28"/>
      <c r="D39" s="24"/>
      <c r="E39" s="24"/>
      <c r="F39" s="24"/>
      <c r="G39" s="28"/>
      <c r="H39" s="28"/>
      <c r="I39" s="24"/>
      <c r="J39" s="24"/>
      <c r="K39" s="29" t="str">
        <f aca="false">IF($A39="","",IF(OR($C39="Decision",$C39="Conflict"),IF(COUNTIFS($I$2:$I$1001,$A39,$C$2:$C$1001,"Resolved")=0,"Open","Closed"),IF(AND($H39="Unconfirmed",OR($C39="New",$C39="Know")),IF(COUNTIFS($I$2:$I$1001,$A39,$C$2:$C$1001,"Confirmed")=0,"Unconfirmed","Confirmed"),"Logged")))</f>
        <v/>
      </c>
      <c r="L39" s="29" t="str">
        <f aca="false">IF($A39="","",AsOf-$B39)</f>
        <v/>
      </c>
      <c r="M39" s="29" t="str">
        <f aca="false">IF($K39="Open",IF($C39="Conflict","Critical",IF($L39&gt;=DecisionCritical,"Critical",IF($L39&gt;=DecisionWarn,"Warning","On track"))),IF($K39="Unconfirmed",IF($L39&gt;=UnconfirmedWarn,"Warning","On track"),""))</f>
        <v/>
      </c>
      <c r="N39" s="29" t="str">
        <f aca="false">IF($M39="","",IF($M39="Critical",3000,IF($M39="Warning",2000,1000))+$L39+ROW()/100000)</f>
        <v/>
      </c>
      <c r="O39" s="29" t="str">
        <f aca="false">IF($K39="Open",IF($C39="Conflict","decide "&amp;$A39&amp;": &lt;which version stands&gt;","decide "&amp;$A39&amp;": &lt;outcome&gt;"),IF($K39="Unconfirmed","confirm "&amp;$A39,""))</f>
        <v/>
      </c>
    </row>
    <row r="40" customFormat="false" ht="15" hidden="false" customHeight="false" outlineLevel="0" collapsed="false">
      <c r="A40" s="24"/>
      <c r="B40" s="27"/>
      <c r="C40" s="28"/>
      <c r="D40" s="24"/>
      <c r="E40" s="24"/>
      <c r="F40" s="24"/>
      <c r="G40" s="28"/>
      <c r="H40" s="28"/>
      <c r="I40" s="24"/>
      <c r="J40" s="24"/>
      <c r="K40" s="29" t="str">
        <f aca="false">IF($A40="","",IF(OR($C40="Decision",$C40="Conflict"),IF(COUNTIFS($I$2:$I$1001,$A40,$C$2:$C$1001,"Resolved")=0,"Open","Closed"),IF(AND($H40="Unconfirmed",OR($C40="New",$C40="Know")),IF(COUNTIFS($I$2:$I$1001,$A40,$C$2:$C$1001,"Confirmed")=0,"Unconfirmed","Confirmed"),"Logged")))</f>
        <v/>
      </c>
      <c r="L40" s="29" t="str">
        <f aca="false">IF($A40="","",AsOf-$B40)</f>
        <v/>
      </c>
      <c r="M40" s="29" t="str">
        <f aca="false">IF($K40="Open",IF($C40="Conflict","Critical",IF($L40&gt;=DecisionCritical,"Critical",IF($L40&gt;=DecisionWarn,"Warning","On track"))),IF($K40="Unconfirmed",IF($L40&gt;=UnconfirmedWarn,"Warning","On track"),""))</f>
        <v/>
      </c>
      <c r="N40" s="29" t="str">
        <f aca="false">IF($M40="","",IF($M40="Critical",3000,IF($M40="Warning",2000,1000))+$L40+ROW()/100000)</f>
        <v/>
      </c>
      <c r="O40" s="29" t="str">
        <f aca="false">IF($K40="Open",IF($C40="Conflict","decide "&amp;$A40&amp;": &lt;which version stands&gt;","decide "&amp;$A40&amp;": &lt;outcome&gt;"),IF($K40="Unconfirmed","confirm "&amp;$A40,""))</f>
        <v/>
      </c>
    </row>
    <row r="41" customFormat="false" ht="15" hidden="false" customHeight="false" outlineLevel="0" collapsed="false">
      <c r="A41" s="24"/>
      <c r="B41" s="27"/>
      <c r="C41" s="28"/>
      <c r="D41" s="24"/>
      <c r="E41" s="24"/>
      <c r="F41" s="24"/>
      <c r="G41" s="28"/>
      <c r="H41" s="28"/>
      <c r="I41" s="24"/>
      <c r="J41" s="24"/>
      <c r="K41" s="29" t="str">
        <f aca="false">IF($A41="","",IF(OR($C41="Decision",$C41="Conflict"),IF(COUNTIFS($I$2:$I$1001,$A41,$C$2:$C$1001,"Resolved")=0,"Open","Closed"),IF(AND($H41="Unconfirmed",OR($C41="New",$C41="Know")),IF(COUNTIFS($I$2:$I$1001,$A41,$C$2:$C$1001,"Confirmed")=0,"Unconfirmed","Confirmed"),"Logged")))</f>
        <v/>
      </c>
      <c r="L41" s="29" t="str">
        <f aca="false">IF($A41="","",AsOf-$B41)</f>
        <v/>
      </c>
      <c r="M41" s="29" t="str">
        <f aca="false">IF($K41="Open",IF($C41="Conflict","Critical",IF($L41&gt;=DecisionCritical,"Critical",IF($L41&gt;=DecisionWarn,"Warning","On track"))),IF($K41="Unconfirmed",IF($L41&gt;=UnconfirmedWarn,"Warning","On track"),""))</f>
        <v/>
      </c>
      <c r="N41" s="29" t="str">
        <f aca="false">IF($M41="","",IF($M41="Critical",3000,IF($M41="Warning",2000,1000))+$L41+ROW()/100000)</f>
        <v/>
      </c>
      <c r="O41" s="29" t="str">
        <f aca="false">IF($K41="Open",IF($C41="Conflict","decide "&amp;$A41&amp;": &lt;which version stands&gt;","decide "&amp;$A41&amp;": &lt;outcome&gt;"),IF($K41="Unconfirmed","confirm "&amp;$A41,""))</f>
        <v/>
      </c>
    </row>
    <row r="42" customFormat="false" ht="15" hidden="false" customHeight="false" outlineLevel="0" collapsed="false">
      <c r="A42" s="24"/>
      <c r="B42" s="27"/>
      <c r="C42" s="28"/>
      <c r="D42" s="24"/>
      <c r="E42" s="24"/>
      <c r="F42" s="24"/>
      <c r="G42" s="28"/>
      <c r="H42" s="28"/>
      <c r="I42" s="24"/>
      <c r="J42" s="24"/>
      <c r="K42" s="29" t="str">
        <f aca="false">IF($A42="","",IF(OR($C42="Decision",$C42="Conflict"),IF(COUNTIFS($I$2:$I$1001,$A42,$C$2:$C$1001,"Resolved")=0,"Open","Closed"),IF(AND($H42="Unconfirmed",OR($C42="New",$C42="Know")),IF(COUNTIFS($I$2:$I$1001,$A42,$C$2:$C$1001,"Confirmed")=0,"Unconfirmed","Confirmed"),"Logged")))</f>
        <v/>
      </c>
      <c r="L42" s="29" t="str">
        <f aca="false">IF($A42="","",AsOf-$B42)</f>
        <v/>
      </c>
      <c r="M42" s="29" t="str">
        <f aca="false">IF($K42="Open",IF($C42="Conflict","Critical",IF($L42&gt;=DecisionCritical,"Critical",IF($L42&gt;=DecisionWarn,"Warning","On track"))),IF($K42="Unconfirmed",IF($L42&gt;=UnconfirmedWarn,"Warning","On track"),""))</f>
        <v/>
      </c>
      <c r="N42" s="29" t="str">
        <f aca="false">IF($M42="","",IF($M42="Critical",3000,IF($M42="Warning",2000,1000))+$L42+ROW()/100000)</f>
        <v/>
      </c>
      <c r="O42" s="29" t="str">
        <f aca="false">IF($K42="Open",IF($C42="Conflict","decide "&amp;$A42&amp;": &lt;which version stands&gt;","decide "&amp;$A42&amp;": &lt;outcome&gt;"),IF($K42="Unconfirmed","confirm "&amp;$A42,""))</f>
        <v/>
      </c>
    </row>
    <row r="43" customFormat="false" ht="15" hidden="false" customHeight="false" outlineLevel="0" collapsed="false">
      <c r="A43" s="24"/>
      <c r="B43" s="27"/>
      <c r="C43" s="28"/>
      <c r="D43" s="24"/>
      <c r="E43" s="24"/>
      <c r="F43" s="24"/>
      <c r="G43" s="28"/>
      <c r="H43" s="28"/>
      <c r="I43" s="24"/>
      <c r="J43" s="24"/>
      <c r="K43" s="29" t="str">
        <f aca="false">IF($A43="","",IF(OR($C43="Decision",$C43="Conflict"),IF(COUNTIFS($I$2:$I$1001,$A43,$C$2:$C$1001,"Resolved")=0,"Open","Closed"),IF(AND($H43="Unconfirmed",OR($C43="New",$C43="Know")),IF(COUNTIFS($I$2:$I$1001,$A43,$C$2:$C$1001,"Confirmed")=0,"Unconfirmed","Confirmed"),"Logged")))</f>
        <v/>
      </c>
      <c r="L43" s="29" t="str">
        <f aca="false">IF($A43="","",AsOf-$B43)</f>
        <v/>
      </c>
      <c r="M43" s="29" t="str">
        <f aca="false">IF($K43="Open",IF($C43="Conflict","Critical",IF($L43&gt;=DecisionCritical,"Critical",IF($L43&gt;=DecisionWarn,"Warning","On track"))),IF($K43="Unconfirmed",IF($L43&gt;=UnconfirmedWarn,"Warning","On track"),""))</f>
        <v/>
      </c>
      <c r="N43" s="29" t="str">
        <f aca="false">IF($M43="","",IF($M43="Critical",3000,IF($M43="Warning",2000,1000))+$L43+ROW()/100000)</f>
        <v/>
      </c>
      <c r="O43" s="29" t="str">
        <f aca="false">IF($K43="Open",IF($C43="Conflict","decide "&amp;$A43&amp;": &lt;which version stands&gt;","decide "&amp;$A43&amp;": &lt;outcome&gt;"),IF($K43="Unconfirmed","confirm "&amp;$A43,""))</f>
        <v/>
      </c>
    </row>
    <row r="44" customFormat="false" ht="15" hidden="false" customHeight="false" outlineLevel="0" collapsed="false">
      <c r="A44" s="24"/>
      <c r="B44" s="27"/>
      <c r="C44" s="28"/>
      <c r="D44" s="24"/>
      <c r="E44" s="24"/>
      <c r="F44" s="24"/>
      <c r="G44" s="28"/>
      <c r="H44" s="28"/>
      <c r="I44" s="24"/>
      <c r="J44" s="24"/>
      <c r="K44" s="29" t="str">
        <f aca="false">IF($A44="","",IF(OR($C44="Decision",$C44="Conflict"),IF(COUNTIFS($I$2:$I$1001,$A44,$C$2:$C$1001,"Resolved")=0,"Open","Closed"),IF(AND($H44="Unconfirmed",OR($C44="New",$C44="Know")),IF(COUNTIFS($I$2:$I$1001,$A44,$C$2:$C$1001,"Confirmed")=0,"Unconfirmed","Confirmed"),"Logged")))</f>
        <v/>
      </c>
      <c r="L44" s="29" t="str">
        <f aca="false">IF($A44="","",AsOf-$B44)</f>
        <v/>
      </c>
      <c r="M44" s="29" t="str">
        <f aca="false">IF($K44="Open",IF($C44="Conflict","Critical",IF($L44&gt;=DecisionCritical,"Critical",IF($L44&gt;=DecisionWarn,"Warning","On track"))),IF($K44="Unconfirmed",IF($L44&gt;=UnconfirmedWarn,"Warning","On track"),""))</f>
        <v/>
      </c>
      <c r="N44" s="29" t="str">
        <f aca="false">IF($M44="","",IF($M44="Critical",3000,IF($M44="Warning",2000,1000))+$L44+ROW()/100000)</f>
        <v/>
      </c>
      <c r="O44" s="29" t="str">
        <f aca="false">IF($K44="Open",IF($C44="Conflict","decide "&amp;$A44&amp;": &lt;which version stands&gt;","decide "&amp;$A44&amp;": &lt;outcome&gt;"),IF($K44="Unconfirmed","confirm "&amp;$A44,""))</f>
        <v/>
      </c>
    </row>
    <row r="45" customFormat="false" ht="15" hidden="false" customHeight="false" outlineLevel="0" collapsed="false">
      <c r="A45" s="24"/>
      <c r="B45" s="27"/>
      <c r="C45" s="28"/>
      <c r="D45" s="24"/>
      <c r="E45" s="24"/>
      <c r="F45" s="24"/>
      <c r="G45" s="28"/>
      <c r="H45" s="28"/>
      <c r="I45" s="24"/>
      <c r="J45" s="24"/>
      <c r="K45" s="29" t="str">
        <f aca="false">IF($A45="","",IF(OR($C45="Decision",$C45="Conflict"),IF(COUNTIFS($I$2:$I$1001,$A45,$C$2:$C$1001,"Resolved")=0,"Open","Closed"),IF(AND($H45="Unconfirmed",OR($C45="New",$C45="Know")),IF(COUNTIFS($I$2:$I$1001,$A45,$C$2:$C$1001,"Confirmed")=0,"Unconfirmed","Confirmed"),"Logged")))</f>
        <v/>
      </c>
      <c r="L45" s="29" t="str">
        <f aca="false">IF($A45="","",AsOf-$B45)</f>
        <v/>
      </c>
      <c r="M45" s="29" t="str">
        <f aca="false">IF($K45="Open",IF($C45="Conflict","Critical",IF($L45&gt;=DecisionCritical,"Critical",IF($L45&gt;=DecisionWarn,"Warning","On track"))),IF($K45="Unconfirmed",IF($L45&gt;=UnconfirmedWarn,"Warning","On track"),""))</f>
        <v/>
      </c>
      <c r="N45" s="29" t="str">
        <f aca="false">IF($M45="","",IF($M45="Critical",3000,IF($M45="Warning",2000,1000))+$L45+ROW()/100000)</f>
        <v/>
      </c>
      <c r="O45" s="29" t="str">
        <f aca="false">IF($K45="Open",IF($C45="Conflict","decide "&amp;$A45&amp;": &lt;which version stands&gt;","decide "&amp;$A45&amp;": &lt;outcome&gt;"),IF($K45="Unconfirmed","confirm "&amp;$A45,""))</f>
        <v/>
      </c>
    </row>
    <row r="46" customFormat="false" ht="15" hidden="false" customHeight="false" outlineLevel="0" collapsed="false">
      <c r="A46" s="24"/>
      <c r="B46" s="27"/>
      <c r="C46" s="28"/>
      <c r="D46" s="24"/>
      <c r="E46" s="24"/>
      <c r="F46" s="24"/>
      <c r="G46" s="28"/>
      <c r="H46" s="28"/>
      <c r="I46" s="24"/>
      <c r="J46" s="24"/>
      <c r="K46" s="29" t="str">
        <f aca="false">IF($A46="","",IF(OR($C46="Decision",$C46="Conflict"),IF(COUNTIFS($I$2:$I$1001,$A46,$C$2:$C$1001,"Resolved")=0,"Open","Closed"),IF(AND($H46="Unconfirmed",OR($C46="New",$C46="Know")),IF(COUNTIFS($I$2:$I$1001,$A46,$C$2:$C$1001,"Confirmed")=0,"Unconfirmed","Confirmed"),"Logged")))</f>
        <v/>
      </c>
      <c r="L46" s="29" t="str">
        <f aca="false">IF($A46="","",AsOf-$B46)</f>
        <v/>
      </c>
      <c r="M46" s="29" t="str">
        <f aca="false">IF($K46="Open",IF($C46="Conflict","Critical",IF($L46&gt;=DecisionCritical,"Critical",IF($L46&gt;=DecisionWarn,"Warning","On track"))),IF($K46="Unconfirmed",IF($L46&gt;=UnconfirmedWarn,"Warning","On track"),""))</f>
        <v/>
      </c>
      <c r="N46" s="29" t="str">
        <f aca="false">IF($M46="","",IF($M46="Critical",3000,IF($M46="Warning",2000,1000))+$L46+ROW()/100000)</f>
        <v/>
      </c>
      <c r="O46" s="29" t="str">
        <f aca="false">IF($K46="Open",IF($C46="Conflict","decide "&amp;$A46&amp;": &lt;which version stands&gt;","decide "&amp;$A46&amp;": &lt;outcome&gt;"),IF($K46="Unconfirmed","confirm "&amp;$A46,""))</f>
        <v/>
      </c>
    </row>
    <row r="47" customFormat="false" ht="15" hidden="false" customHeight="false" outlineLevel="0" collapsed="false">
      <c r="A47" s="24"/>
      <c r="B47" s="27"/>
      <c r="C47" s="28"/>
      <c r="D47" s="24"/>
      <c r="E47" s="24"/>
      <c r="F47" s="24"/>
      <c r="G47" s="28"/>
      <c r="H47" s="28"/>
      <c r="I47" s="24"/>
      <c r="J47" s="24"/>
      <c r="K47" s="29" t="str">
        <f aca="false">IF($A47="","",IF(OR($C47="Decision",$C47="Conflict"),IF(COUNTIFS($I$2:$I$1001,$A47,$C$2:$C$1001,"Resolved")=0,"Open","Closed"),IF(AND($H47="Unconfirmed",OR($C47="New",$C47="Know")),IF(COUNTIFS($I$2:$I$1001,$A47,$C$2:$C$1001,"Confirmed")=0,"Unconfirmed","Confirmed"),"Logged")))</f>
        <v/>
      </c>
      <c r="L47" s="29" t="str">
        <f aca="false">IF($A47="","",AsOf-$B47)</f>
        <v/>
      </c>
      <c r="M47" s="29" t="str">
        <f aca="false">IF($K47="Open",IF($C47="Conflict","Critical",IF($L47&gt;=DecisionCritical,"Critical",IF($L47&gt;=DecisionWarn,"Warning","On track"))),IF($K47="Unconfirmed",IF($L47&gt;=UnconfirmedWarn,"Warning","On track"),""))</f>
        <v/>
      </c>
      <c r="N47" s="29" t="str">
        <f aca="false">IF($M47="","",IF($M47="Critical",3000,IF($M47="Warning",2000,1000))+$L47+ROW()/100000)</f>
        <v/>
      </c>
      <c r="O47" s="29" t="str">
        <f aca="false">IF($K47="Open",IF($C47="Conflict","decide "&amp;$A47&amp;": &lt;which version stands&gt;","decide "&amp;$A47&amp;": &lt;outcome&gt;"),IF($K47="Unconfirmed","confirm "&amp;$A47,""))</f>
        <v/>
      </c>
    </row>
    <row r="48" customFormat="false" ht="15" hidden="false" customHeight="false" outlineLevel="0" collapsed="false">
      <c r="A48" s="24"/>
      <c r="B48" s="27"/>
      <c r="C48" s="28"/>
      <c r="D48" s="24"/>
      <c r="E48" s="24"/>
      <c r="F48" s="24"/>
      <c r="G48" s="28"/>
      <c r="H48" s="28"/>
      <c r="I48" s="24"/>
      <c r="J48" s="24"/>
      <c r="K48" s="29" t="str">
        <f aca="false">IF($A48="","",IF(OR($C48="Decision",$C48="Conflict"),IF(COUNTIFS($I$2:$I$1001,$A48,$C$2:$C$1001,"Resolved")=0,"Open","Closed"),IF(AND($H48="Unconfirmed",OR($C48="New",$C48="Know")),IF(COUNTIFS($I$2:$I$1001,$A48,$C$2:$C$1001,"Confirmed")=0,"Unconfirmed","Confirmed"),"Logged")))</f>
        <v/>
      </c>
      <c r="L48" s="29" t="str">
        <f aca="false">IF($A48="","",AsOf-$B48)</f>
        <v/>
      </c>
      <c r="M48" s="29" t="str">
        <f aca="false">IF($K48="Open",IF($C48="Conflict","Critical",IF($L48&gt;=DecisionCritical,"Critical",IF($L48&gt;=DecisionWarn,"Warning","On track"))),IF($K48="Unconfirmed",IF($L48&gt;=UnconfirmedWarn,"Warning","On track"),""))</f>
        <v/>
      </c>
      <c r="N48" s="29" t="str">
        <f aca="false">IF($M48="","",IF($M48="Critical",3000,IF($M48="Warning",2000,1000))+$L48+ROW()/100000)</f>
        <v/>
      </c>
      <c r="O48" s="29" t="str">
        <f aca="false">IF($K48="Open",IF($C48="Conflict","decide "&amp;$A48&amp;": &lt;which version stands&gt;","decide "&amp;$A48&amp;": &lt;outcome&gt;"),IF($K48="Unconfirmed","confirm "&amp;$A48,""))</f>
        <v/>
      </c>
    </row>
    <row r="49" customFormat="false" ht="15" hidden="false" customHeight="false" outlineLevel="0" collapsed="false">
      <c r="A49" s="24"/>
      <c r="B49" s="27"/>
      <c r="C49" s="28"/>
      <c r="D49" s="24"/>
      <c r="E49" s="24"/>
      <c r="F49" s="24"/>
      <c r="G49" s="28"/>
      <c r="H49" s="28"/>
      <c r="I49" s="24"/>
      <c r="J49" s="24"/>
      <c r="K49" s="29" t="str">
        <f aca="false">IF($A49="","",IF(OR($C49="Decision",$C49="Conflict"),IF(COUNTIFS($I$2:$I$1001,$A49,$C$2:$C$1001,"Resolved")=0,"Open","Closed"),IF(AND($H49="Unconfirmed",OR($C49="New",$C49="Know")),IF(COUNTIFS($I$2:$I$1001,$A49,$C$2:$C$1001,"Confirmed")=0,"Unconfirmed","Confirmed"),"Logged")))</f>
        <v/>
      </c>
      <c r="L49" s="29" t="str">
        <f aca="false">IF($A49="","",AsOf-$B49)</f>
        <v/>
      </c>
      <c r="M49" s="29" t="str">
        <f aca="false">IF($K49="Open",IF($C49="Conflict","Critical",IF($L49&gt;=DecisionCritical,"Critical",IF($L49&gt;=DecisionWarn,"Warning","On track"))),IF($K49="Unconfirmed",IF($L49&gt;=UnconfirmedWarn,"Warning","On track"),""))</f>
        <v/>
      </c>
      <c r="N49" s="29" t="str">
        <f aca="false">IF($M49="","",IF($M49="Critical",3000,IF($M49="Warning",2000,1000))+$L49+ROW()/100000)</f>
        <v/>
      </c>
      <c r="O49" s="29" t="str">
        <f aca="false">IF($K49="Open",IF($C49="Conflict","decide "&amp;$A49&amp;": &lt;which version stands&gt;","decide "&amp;$A49&amp;": &lt;outcome&gt;"),IF($K49="Unconfirmed","confirm "&amp;$A49,""))</f>
        <v/>
      </c>
    </row>
    <row r="50" customFormat="false" ht="15" hidden="false" customHeight="false" outlineLevel="0" collapsed="false">
      <c r="A50" s="24"/>
      <c r="B50" s="27"/>
      <c r="C50" s="28"/>
      <c r="D50" s="24"/>
      <c r="E50" s="24"/>
      <c r="F50" s="24"/>
      <c r="G50" s="28"/>
      <c r="H50" s="28"/>
      <c r="I50" s="24"/>
      <c r="J50" s="24"/>
      <c r="K50" s="29" t="str">
        <f aca="false">IF($A50="","",IF(OR($C50="Decision",$C50="Conflict"),IF(COUNTIFS($I$2:$I$1001,$A50,$C$2:$C$1001,"Resolved")=0,"Open","Closed"),IF(AND($H50="Unconfirmed",OR($C50="New",$C50="Know")),IF(COUNTIFS($I$2:$I$1001,$A50,$C$2:$C$1001,"Confirmed")=0,"Unconfirmed","Confirmed"),"Logged")))</f>
        <v/>
      </c>
      <c r="L50" s="29" t="str">
        <f aca="false">IF($A50="","",AsOf-$B50)</f>
        <v/>
      </c>
      <c r="M50" s="29" t="str">
        <f aca="false">IF($K50="Open",IF($C50="Conflict","Critical",IF($L50&gt;=DecisionCritical,"Critical",IF($L50&gt;=DecisionWarn,"Warning","On track"))),IF($K50="Unconfirmed",IF($L50&gt;=UnconfirmedWarn,"Warning","On track"),""))</f>
        <v/>
      </c>
      <c r="N50" s="29" t="str">
        <f aca="false">IF($M50="","",IF($M50="Critical",3000,IF($M50="Warning",2000,1000))+$L50+ROW()/100000)</f>
        <v/>
      </c>
      <c r="O50" s="29" t="str">
        <f aca="false">IF($K50="Open",IF($C50="Conflict","decide "&amp;$A50&amp;": &lt;which version stands&gt;","decide "&amp;$A50&amp;": &lt;outcome&gt;"),IF($K50="Unconfirmed","confirm "&amp;$A50,""))</f>
        <v/>
      </c>
    </row>
    <row r="51" customFormat="false" ht="15" hidden="false" customHeight="false" outlineLevel="0" collapsed="false">
      <c r="A51" s="24"/>
      <c r="B51" s="27"/>
      <c r="C51" s="28"/>
      <c r="D51" s="24"/>
      <c r="E51" s="24"/>
      <c r="F51" s="24"/>
      <c r="G51" s="28"/>
      <c r="H51" s="28"/>
      <c r="I51" s="24"/>
      <c r="J51" s="24"/>
      <c r="K51" s="29" t="str">
        <f aca="false">IF($A51="","",IF(OR($C51="Decision",$C51="Conflict"),IF(COUNTIFS($I$2:$I$1001,$A51,$C$2:$C$1001,"Resolved")=0,"Open","Closed"),IF(AND($H51="Unconfirmed",OR($C51="New",$C51="Know")),IF(COUNTIFS($I$2:$I$1001,$A51,$C$2:$C$1001,"Confirmed")=0,"Unconfirmed","Confirmed"),"Logged")))</f>
        <v/>
      </c>
      <c r="L51" s="29" t="str">
        <f aca="false">IF($A51="","",AsOf-$B51)</f>
        <v/>
      </c>
      <c r="M51" s="29" t="str">
        <f aca="false">IF($K51="Open",IF($C51="Conflict","Critical",IF($L51&gt;=DecisionCritical,"Critical",IF($L51&gt;=DecisionWarn,"Warning","On track"))),IF($K51="Unconfirmed",IF($L51&gt;=UnconfirmedWarn,"Warning","On track"),""))</f>
        <v/>
      </c>
      <c r="N51" s="29" t="str">
        <f aca="false">IF($M51="","",IF($M51="Critical",3000,IF($M51="Warning",2000,1000))+$L51+ROW()/100000)</f>
        <v/>
      </c>
      <c r="O51" s="29" t="str">
        <f aca="false">IF($K51="Open",IF($C51="Conflict","decide "&amp;$A51&amp;": &lt;which version stands&gt;","decide "&amp;$A51&amp;": &lt;outcome&gt;"),IF($K51="Unconfirmed","confirm "&amp;$A51,""))</f>
        <v/>
      </c>
    </row>
    <row r="52" customFormat="false" ht="15" hidden="false" customHeight="false" outlineLevel="0" collapsed="false">
      <c r="A52" s="24"/>
      <c r="B52" s="27"/>
      <c r="C52" s="28"/>
      <c r="D52" s="24"/>
      <c r="E52" s="24"/>
      <c r="F52" s="24"/>
      <c r="G52" s="28"/>
      <c r="H52" s="28"/>
      <c r="I52" s="24"/>
      <c r="J52" s="24"/>
      <c r="K52" s="29" t="str">
        <f aca="false">IF($A52="","",IF(OR($C52="Decision",$C52="Conflict"),IF(COUNTIFS($I$2:$I$1001,$A52,$C$2:$C$1001,"Resolved")=0,"Open","Closed"),IF(AND($H52="Unconfirmed",OR($C52="New",$C52="Know")),IF(COUNTIFS($I$2:$I$1001,$A52,$C$2:$C$1001,"Confirmed")=0,"Unconfirmed","Confirmed"),"Logged")))</f>
        <v/>
      </c>
      <c r="L52" s="29" t="str">
        <f aca="false">IF($A52="","",AsOf-$B52)</f>
        <v/>
      </c>
      <c r="M52" s="29" t="str">
        <f aca="false">IF($K52="Open",IF($C52="Conflict","Critical",IF($L52&gt;=DecisionCritical,"Critical",IF($L52&gt;=DecisionWarn,"Warning","On track"))),IF($K52="Unconfirmed",IF($L52&gt;=UnconfirmedWarn,"Warning","On track"),""))</f>
        <v/>
      </c>
      <c r="N52" s="29" t="str">
        <f aca="false">IF($M52="","",IF($M52="Critical",3000,IF($M52="Warning",2000,1000))+$L52+ROW()/100000)</f>
        <v/>
      </c>
      <c r="O52" s="29" t="str">
        <f aca="false">IF($K52="Open",IF($C52="Conflict","decide "&amp;$A52&amp;": &lt;which version stands&gt;","decide "&amp;$A52&amp;": &lt;outcome&gt;"),IF($K52="Unconfirmed","confirm "&amp;$A52,""))</f>
        <v/>
      </c>
    </row>
    <row r="53" customFormat="false" ht="15" hidden="false" customHeight="false" outlineLevel="0" collapsed="false">
      <c r="A53" s="24"/>
      <c r="B53" s="27"/>
      <c r="C53" s="28"/>
      <c r="D53" s="24"/>
      <c r="E53" s="24"/>
      <c r="F53" s="24"/>
      <c r="G53" s="28"/>
      <c r="H53" s="28"/>
      <c r="I53" s="24"/>
      <c r="J53" s="24"/>
      <c r="K53" s="29" t="str">
        <f aca="false">IF($A53="","",IF(OR($C53="Decision",$C53="Conflict"),IF(COUNTIFS($I$2:$I$1001,$A53,$C$2:$C$1001,"Resolved")=0,"Open","Closed"),IF(AND($H53="Unconfirmed",OR($C53="New",$C53="Know")),IF(COUNTIFS($I$2:$I$1001,$A53,$C$2:$C$1001,"Confirmed")=0,"Unconfirmed","Confirmed"),"Logged")))</f>
        <v/>
      </c>
      <c r="L53" s="29" t="str">
        <f aca="false">IF($A53="","",AsOf-$B53)</f>
        <v/>
      </c>
      <c r="M53" s="29" t="str">
        <f aca="false">IF($K53="Open",IF($C53="Conflict","Critical",IF($L53&gt;=DecisionCritical,"Critical",IF($L53&gt;=DecisionWarn,"Warning","On track"))),IF($K53="Unconfirmed",IF($L53&gt;=UnconfirmedWarn,"Warning","On track"),""))</f>
        <v/>
      </c>
      <c r="N53" s="29" t="str">
        <f aca="false">IF($M53="","",IF($M53="Critical",3000,IF($M53="Warning",2000,1000))+$L53+ROW()/100000)</f>
        <v/>
      </c>
      <c r="O53" s="29" t="str">
        <f aca="false">IF($K53="Open",IF($C53="Conflict","decide "&amp;$A53&amp;": &lt;which version stands&gt;","decide "&amp;$A53&amp;": &lt;outcome&gt;"),IF($K53="Unconfirmed","confirm "&amp;$A53,""))</f>
        <v/>
      </c>
    </row>
    <row r="54" customFormat="false" ht="15" hidden="false" customHeight="false" outlineLevel="0" collapsed="false">
      <c r="A54" s="24"/>
      <c r="B54" s="27"/>
      <c r="C54" s="28"/>
      <c r="D54" s="24"/>
      <c r="E54" s="24"/>
      <c r="F54" s="24"/>
      <c r="G54" s="28"/>
      <c r="H54" s="28"/>
      <c r="I54" s="24"/>
      <c r="J54" s="24"/>
      <c r="K54" s="29" t="str">
        <f aca="false">IF($A54="","",IF(OR($C54="Decision",$C54="Conflict"),IF(COUNTIFS($I$2:$I$1001,$A54,$C$2:$C$1001,"Resolved")=0,"Open","Closed"),IF(AND($H54="Unconfirmed",OR($C54="New",$C54="Know")),IF(COUNTIFS($I$2:$I$1001,$A54,$C$2:$C$1001,"Confirmed")=0,"Unconfirmed","Confirmed"),"Logged")))</f>
        <v/>
      </c>
      <c r="L54" s="29" t="str">
        <f aca="false">IF($A54="","",AsOf-$B54)</f>
        <v/>
      </c>
      <c r="M54" s="29" t="str">
        <f aca="false">IF($K54="Open",IF($C54="Conflict","Critical",IF($L54&gt;=DecisionCritical,"Critical",IF($L54&gt;=DecisionWarn,"Warning","On track"))),IF($K54="Unconfirmed",IF($L54&gt;=UnconfirmedWarn,"Warning","On track"),""))</f>
        <v/>
      </c>
      <c r="N54" s="29" t="str">
        <f aca="false">IF($M54="","",IF($M54="Critical",3000,IF($M54="Warning",2000,1000))+$L54+ROW()/100000)</f>
        <v/>
      </c>
      <c r="O54" s="29" t="str">
        <f aca="false">IF($K54="Open",IF($C54="Conflict","decide "&amp;$A54&amp;": &lt;which version stands&gt;","decide "&amp;$A54&amp;": &lt;outcome&gt;"),IF($K54="Unconfirmed","confirm "&amp;$A54,""))</f>
        <v/>
      </c>
    </row>
    <row r="55" customFormat="false" ht="15" hidden="false" customHeight="false" outlineLevel="0" collapsed="false">
      <c r="A55" s="24"/>
      <c r="B55" s="27"/>
      <c r="C55" s="28"/>
      <c r="D55" s="24"/>
      <c r="E55" s="24"/>
      <c r="F55" s="24"/>
      <c r="G55" s="28"/>
      <c r="H55" s="28"/>
      <c r="I55" s="24"/>
      <c r="J55" s="24"/>
      <c r="K55" s="29" t="str">
        <f aca="false">IF($A55="","",IF(OR($C55="Decision",$C55="Conflict"),IF(COUNTIFS($I$2:$I$1001,$A55,$C$2:$C$1001,"Resolved")=0,"Open","Closed"),IF(AND($H55="Unconfirmed",OR($C55="New",$C55="Know")),IF(COUNTIFS($I$2:$I$1001,$A55,$C$2:$C$1001,"Confirmed")=0,"Unconfirmed","Confirmed"),"Logged")))</f>
        <v/>
      </c>
      <c r="L55" s="29" t="str">
        <f aca="false">IF($A55="","",AsOf-$B55)</f>
        <v/>
      </c>
      <c r="M55" s="29" t="str">
        <f aca="false">IF($K55="Open",IF($C55="Conflict","Critical",IF($L55&gt;=DecisionCritical,"Critical",IF($L55&gt;=DecisionWarn,"Warning","On track"))),IF($K55="Unconfirmed",IF($L55&gt;=UnconfirmedWarn,"Warning","On track"),""))</f>
        <v/>
      </c>
      <c r="N55" s="29" t="str">
        <f aca="false">IF($M55="","",IF($M55="Critical",3000,IF($M55="Warning",2000,1000))+$L55+ROW()/100000)</f>
        <v/>
      </c>
      <c r="O55" s="29" t="str">
        <f aca="false">IF($K55="Open",IF($C55="Conflict","decide "&amp;$A55&amp;": &lt;which version stands&gt;","decide "&amp;$A55&amp;": &lt;outcome&gt;"),IF($K55="Unconfirmed","confirm "&amp;$A55,""))</f>
        <v/>
      </c>
    </row>
    <row r="56" customFormat="false" ht="15" hidden="false" customHeight="false" outlineLevel="0" collapsed="false">
      <c r="A56" s="24"/>
      <c r="B56" s="27"/>
      <c r="C56" s="28"/>
      <c r="D56" s="24"/>
      <c r="E56" s="24"/>
      <c r="F56" s="24"/>
      <c r="G56" s="28"/>
      <c r="H56" s="28"/>
      <c r="I56" s="24"/>
      <c r="J56" s="24"/>
      <c r="K56" s="29" t="str">
        <f aca="false">IF($A56="","",IF(OR($C56="Decision",$C56="Conflict"),IF(COUNTIFS($I$2:$I$1001,$A56,$C$2:$C$1001,"Resolved")=0,"Open","Closed"),IF(AND($H56="Unconfirmed",OR($C56="New",$C56="Know")),IF(COUNTIFS($I$2:$I$1001,$A56,$C$2:$C$1001,"Confirmed")=0,"Unconfirmed","Confirmed"),"Logged")))</f>
        <v/>
      </c>
      <c r="L56" s="29" t="str">
        <f aca="false">IF($A56="","",AsOf-$B56)</f>
        <v/>
      </c>
      <c r="M56" s="29" t="str">
        <f aca="false">IF($K56="Open",IF($C56="Conflict","Critical",IF($L56&gt;=DecisionCritical,"Critical",IF($L56&gt;=DecisionWarn,"Warning","On track"))),IF($K56="Unconfirmed",IF($L56&gt;=UnconfirmedWarn,"Warning","On track"),""))</f>
        <v/>
      </c>
      <c r="N56" s="29" t="str">
        <f aca="false">IF($M56="","",IF($M56="Critical",3000,IF($M56="Warning",2000,1000))+$L56+ROW()/100000)</f>
        <v/>
      </c>
      <c r="O56" s="29" t="str">
        <f aca="false">IF($K56="Open",IF($C56="Conflict","decide "&amp;$A56&amp;": &lt;which version stands&gt;","decide "&amp;$A56&amp;": &lt;outcome&gt;"),IF($K56="Unconfirmed","confirm "&amp;$A56,""))</f>
        <v/>
      </c>
    </row>
    <row r="57" customFormat="false" ht="15" hidden="false" customHeight="false" outlineLevel="0" collapsed="false">
      <c r="A57" s="24"/>
      <c r="B57" s="27"/>
      <c r="C57" s="28"/>
      <c r="D57" s="24"/>
      <c r="E57" s="24"/>
      <c r="F57" s="24"/>
      <c r="G57" s="28"/>
      <c r="H57" s="28"/>
      <c r="I57" s="24"/>
      <c r="J57" s="24"/>
      <c r="K57" s="29" t="str">
        <f aca="false">IF($A57="","",IF(OR($C57="Decision",$C57="Conflict"),IF(COUNTIFS($I$2:$I$1001,$A57,$C$2:$C$1001,"Resolved")=0,"Open","Closed"),IF(AND($H57="Unconfirmed",OR($C57="New",$C57="Know")),IF(COUNTIFS($I$2:$I$1001,$A57,$C$2:$C$1001,"Confirmed")=0,"Unconfirmed","Confirmed"),"Logged")))</f>
        <v/>
      </c>
      <c r="L57" s="29" t="str">
        <f aca="false">IF($A57="","",AsOf-$B57)</f>
        <v/>
      </c>
      <c r="M57" s="29" t="str">
        <f aca="false">IF($K57="Open",IF($C57="Conflict","Critical",IF($L57&gt;=DecisionCritical,"Critical",IF($L57&gt;=DecisionWarn,"Warning","On track"))),IF($K57="Unconfirmed",IF($L57&gt;=UnconfirmedWarn,"Warning","On track"),""))</f>
        <v/>
      </c>
      <c r="N57" s="29" t="str">
        <f aca="false">IF($M57="","",IF($M57="Critical",3000,IF($M57="Warning",2000,1000))+$L57+ROW()/100000)</f>
        <v/>
      </c>
      <c r="O57" s="29" t="str">
        <f aca="false">IF($K57="Open",IF($C57="Conflict","decide "&amp;$A57&amp;": &lt;which version stands&gt;","decide "&amp;$A57&amp;": &lt;outcome&gt;"),IF($K57="Unconfirmed","confirm "&amp;$A57,""))</f>
        <v/>
      </c>
    </row>
    <row r="58" customFormat="false" ht="15" hidden="false" customHeight="false" outlineLevel="0" collapsed="false">
      <c r="A58" s="24"/>
      <c r="B58" s="27"/>
      <c r="C58" s="28"/>
      <c r="D58" s="24"/>
      <c r="E58" s="24"/>
      <c r="F58" s="24"/>
      <c r="G58" s="28"/>
      <c r="H58" s="28"/>
      <c r="I58" s="24"/>
      <c r="J58" s="24"/>
      <c r="K58" s="29" t="str">
        <f aca="false">IF($A58="","",IF(OR($C58="Decision",$C58="Conflict"),IF(COUNTIFS($I$2:$I$1001,$A58,$C$2:$C$1001,"Resolved")=0,"Open","Closed"),IF(AND($H58="Unconfirmed",OR($C58="New",$C58="Know")),IF(COUNTIFS($I$2:$I$1001,$A58,$C$2:$C$1001,"Confirmed")=0,"Unconfirmed","Confirmed"),"Logged")))</f>
        <v/>
      </c>
      <c r="L58" s="29" t="str">
        <f aca="false">IF($A58="","",AsOf-$B58)</f>
        <v/>
      </c>
      <c r="M58" s="29" t="str">
        <f aca="false">IF($K58="Open",IF($C58="Conflict","Critical",IF($L58&gt;=DecisionCritical,"Critical",IF($L58&gt;=DecisionWarn,"Warning","On track"))),IF($K58="Unconfirmed",IF($L58&gt;=UnconfirmedWarn,"Warning","On track"),""))</f>
        <v/>
      </c>
      <c r="N58" s="29" t="str">
        <f aca="false">IF($M58="","",IF($M58="Critical",3000,IF($M58="Warning",2000,1000))+$L58+ROW()/100000)</f>
        <v/>
      </c>
      <c r="O58" s="29" t="str">
        <f aca="false">IF($K58="Open",IF($C58="Conflict","decide "&amp;$A58&amp;": &lt;which version stands&gt;","decide "&amp;$A58&amp;": &lt;outcome&gt;"),IF($K58="Unconfirmed","confirm "&amp;$A58,""))</f>
        <v/>
      </c>
    </row>
    <row r="59" customFormat="false" ht="15" hidden="false" customHeight="false" outlineLevel="0" collapsed="false">
      <c r="A59" s="24"/>
      <c r="B59" s="27"/>
      <c r="C59" s="28"/>
      <c r="D59" s="24"/>
      <c r="E59" s="24"/>
      <c r="F59" s="24"/>
      <c r="G59" s="28"/>
      <c r="H59" s="28"/>
      <c r="I59" s="24"/>
      <c r="J59" s="24"/>
      <c r="K59" s="29" t="str">
        <f aca="false">IF($A59="","",IF(OR($C59="Decision",$C59="Conflict"),IF(COUNTIFS($I$2:$I$1001,$A59,$C$2:$C$1001,"Resolved")=0,"Open","Closed"),IF(AND($H59="Unconfirmed",OR($C59="New",$C59="Know")),IF(COUNTIFS($I$2:$I$1001,$A59,$C$2:$C$1001,"Confirmed")=0,"Unconfirmed","Confirmed"),"Logged")))</f>
        <v/>
      </c>
      <c r="L59" s="29" t="str">
        <f aca="false">IF($A59="","",AsOf-$B59)</f>
        <v/>
      </c>
      <c r="M59" s="29" t="str">
        <f aca="false">IF($K59="Open",IF($C59="Conflict","Critical",IF($L59&gt;=DecisionCritical,"Critical",IF($L59&gt;=DecisionWarn,"Warning","On track"))),IF($K59="Unconfirmed",IF($L59&gt;=UnconfirmedWarn,"Warning","On track"),""))</f>
        <v/>
      </c>
      <c r="N59" s="29" t="str">
        <f aca="false">IF($M59="","",IF($M59="Critical",3000,IF($M59="Warning",2000,1000))+$L59+ROW()/100000)</f>
        <v/>
      </c>
      <c r="O59" s="29" t="str">
        <f aca="false">IF($K59="Open",IF($C59="Conflict","decide "&amp;$A59&amp;": &lt;which version stands&gt;","decide "&amp;$A59&amp;": &lt;outcome&gt;"),IF($K59="Unconfirmed","confirm "&amp;$A59,""))</f>
        <v/>
      </c>
    </row>
    <row r="60" customFormat="false" ht="15" hidden="false" customHeight="false" outlineLevel="0" collapsed="false">
      <c r="A60" s="24"/>
      <c r="B60" s="27"/>
      <c r="C60" s="28"/>
      <c r="D60" s="24"/>
      <c r="E60" s="24"/>
      <c r="F60" s="24"/>
      <c r="G60" s="28"/>
      <c r="H60" s="28"/>
      <c r="I60" s="24"/>
      <c r="J60" s="24"/>
      <c r="K60" s="29" t="str">
        <f aca="false">IF($A60="","",IF(OR($C60="Decision",$C60="Conflict"),IF(COUNTIFS($I$2:$I$1001,$A60,$C$2:$C$1001,"Resolved")=0,"Open","Closed"),IF(AND($H60="Unconfirmed",OR($C60="New",$C60="Know")),IF(COUNTIFS($I$2:$I$1001,$A60,$C$2:$C$1001,"Confirmed")=0,"Unconfirmed","Confirmed"),"Logged")))</f>
        <v/>
      </c>
      <c r="L60" s="29" t="str">
        <f aca="false">IF($A60="","",AsOf-$B60)</f>
        <v/>
      </c>
      <c r="M60" s="29" t="str">
        <f aca="false">IF($K60="Open",IF($C60="Conflict","Critical",IF($L60&gt;=DecisionCritical,"Critical",IF($L60&gt;=DecisionWarn,"Warning","On track"))),IF($K60="Unconfirmed",IF($L60&gt;=UnconfirmedWarn,"Warning","On track"),""))</f>
        <v/>
      </c>
      <c r="N60" s="29" t="str">
        <f aca="false">IF($M60="","",IF($M60="Critical",3000,IF($M60="Warning",2000,1000))+$L60+ROW()/100000)</f>
        <v/>
      </c>
      <c r="O60" s="29" t="str">
        <f aca="false">IF($K60="Open",IF($C60="Conflict","decide "&amp;$A60&amp;": &lt;which version stands&gt;","decide "&amp;$A60&amp;": &lt;outcome&gt;"),IF($K60="Unconfirmed","confirm "&amp;$A60,""))</f>
        <v/>
      </c>
    </row>
    <row r="61" customFormat="false" ht="15" hidden="false" customHeight="false" outlineLevel="0" collapsed="false">
      <c r="A61" s="24"/>
      <c r="B61" s="27"/>
      <c r="C61" s="28"/>
      <c r="D61" s="24"/>
      <c r="E61" s="24"/>
      <c r="F61" s="24"/>
      <c r="G61" s="28"/>
      <c r="H61" s="28"/>
      <c r="I61" s="24"/>
      <c r="J61" s="24"/>
      <c r="K61" s="29" t="str">
        <f aca="false">IF($A61="","",IF(OR($C61="Decision",$C61="Conflict"),IF(COUNTIFS($I$2:$I$1001,$A61,$C$2:$C$1001,"Resolved")=0,"Open","Closed"),IF(AND($H61="Unconfirmed",OR($C61="New",$C61="Know")),IF(COUNTIFS($I$2:$I$1001,$A61,$C$2:$C$1001,"Confirmed")=0,"Unconfirmed","Confirmed"),"Logged")))</f>
        <v/>
      </c>
      <c r="L61" s="29" t="str">
        <f aca="false">IF($A61="","",AsOf-$B61)</f>
        <v/>
      </c>
      <c r="M61" s="29" t="str">
        <f aca="false">IF($K61="Open",IF($C61="Conflict","Critical",IF($L61&gt;=DecisionCritical,"Critical",IF($L61&gt;=DecisionWarn,"Warning","On track"))),IF($K61="Unconfirmed",IF($L61&gt;=UnconfirmedWarn,"Warning","On track"),""))</f>
        <v/>
      </c>
      <c r="N61" s="29" t="str">
        <f aca="false">IF($M61="","",IF($M61="Critical",3000,IF($M61="Warning",2000,1000))+$L61+ROW()/100000)</f>
        <v/>
      </c>
      <c r="O61" s="29" t="str">
        <f aca="false">IF($K61="Open",IF($C61="Conflict","decide "&amp;$A61&amp;": &lt;which version stands&gt;","decide "&amp;$A61&amp;": &lt;outcome&gt;"),IF($K61="Unconfirmed","confirm "&amp;$A61,""))</f>
        <v/>
      </c>
    </row>
    <row r="62" customFormat="false" ht="15" hidden="false" customHeight="false" outlineLevel="0" collapsed="false">
      <c r="A62" s="24"/>
      <c r="B62" s="27"/>
      <c r="C62" s="28"/>
      <c r="D62" s="24"/>
      <c r="E62" s="24"/>
      <c r="F62" s="24"/>
      <c r="G62" s="28"/>
      <c r="H62" s="28"/>
      <c r="I62" s="24"/>
      <c r="J62" s="24"/>
      <c r="K62" s="29" t="str">
        <f aca="false">IF($A62="","",IF(OR($C62="Decision",$C62="Conflict"),IF(COUNTIFS($I$2:$I$1001,$A62,$C$2:$C$1001,"Resolved")=0,"Open","Closed"),IF(AND($H62="Unconfirmed",OR($C62="New",$C62="Know")),IF(COUNTIFS($I$2:$I$1001,$A62,$C$2:$C$1001,"Confirmed")=0,"Unconfirmed","Confirmed"),"Logged")))</f>
        <v/>
      </c>
      <c r="L62" s="29" t="str">
        <f aca="false">IF($A62="","",AsOf-$B62)</f>
        <v/>
      </c>
      <c r="M62" s="29" t="str">
        <f aca="false">IF($K62="Open",IF($C62="Conflict","Critical",IF($L62&gt;=DecisionCritical,"Critical",IF($L62&gt;=DecisionWarn,"Warning","On track"))),IF($K62="Unconfirmed",IF($L62&gt;=UnconfirmedWarn,"Warning","On track"),""))</f>
        <v/>
      </c>
      <c r="N62" s="29" t="str">
        <f aca="false">IF($M62="","",IF($M62="Critical",3000,IF($M62="Warning",2000,1000))+$L62+ROW()/100000)</f>
        <v/>
      </c>
      <c r="O62" s="29" t="str">
        <f aca="false">IF($K62="Open",IF($C62="Conflict","decide "&amp;$A62&amp;": &lt;which version stands&gt;","decide "&amp;$A62&amp;": &lt;outcome&gt;"),IF($K62="Unconfirmed","confirm "&amp;$A62,""))</f>
        <v/>
      </c>
    </row>
    <row r="63" customFormat="false" ht="15" hidden="false" customHeight="false" outlineLevel="0" collapsed="false">
      <c r="A63" s="24"/>
      <c r="B63" s="27"/>
      <c r="C63" s="28"/>
      <c r="D63" s="24"/>
      <c r="E63" s="24"/>
      <c r="F63" s="24"/>
      <c r="G63" s="28"/>
      <c r="H63" s="28"/>
      <c r="I63" s="24"/>
      <c r="J63" s="24"/>
      <c r="K63" s="29" t="str">
        <f aca="false">IF($A63="","",IF(OR($C63="Decision",$C63="Conflict"),IF(COUNTIFS($I$2:$I$1001,$A63,$C$2:$C$1001,"Resolved")=0,"Open","Closed"),IF(AND($H63="Unconfirmed",OR($C63="New",$C63="Know")),IF(COUNTIFS($I$2:$I$1001,$A63,$C$2:$C$1001,"Confirmed")=0,"Unconfirmed","Confirmed"),"Logged")))</f>
        <v/>
      </c>
      <c r="L63" s="29" t="str">
        <f aca="false">IF($A63="","",AsOf-$B63)</f>
        <v/>
      </c>
      <c r="M63" s="29" t="str">
        <f aca="false">IF($K63="Open",IF($C63="Conflict","Critical",IF($L63&gt;=DecisionCritical,"Critical",IF($L63&gt;=DecisionWarn,"Warning","On track"))),IF($K63="Unconfirmed",IF($L63&gt;=UnconfirmedWarn,"Warning","On track"),""))</f>
        <v/>
      </c>
      <c r="N63" s="29" t="str">
        <f aca="false">IF($M63="","",IF($M63="Critical",3000,IF($M63="Warning",2000,1000))+$L63+ROW()/100000)</f>
        <v/>
      </c>
      <c r="O63" s="29" t="str">
        <f aca="false">IF($K63="Open",IF($C63="Conflict","decide "&amp;$A63&amp;": &lt;which version stands&gt;","decide "&amp;$A63&amp;": &lt;outcome&gt;"),IF($K63="Unconfirmed","confirm "&amp;$A63,""))</f>
        <v/>
      </c>
    </row>
    <row r="64" customFormat="false" ht="15" hidden="false" customHeight="false" outlineLevel="0" collapsed="false">
      <c r="A64" s="24"/>
      <c r="B64" s="27"/>
      <c r="C64" s="28"/>
      <c r="D64" s="24"/>
      <c r="E64" s="24"/>
      <c r="F64" s="24"/>
      <c r="G64" s="28"/>
      <c r="H64" s="28"/>
      <c r="I64" s="24"/>
      <c r="J64" s="24"/>
      <c r="K64" s="29" t="str">
        <f aca="false">IF($A64="","",IF(OR($C64="Decision",$C64="Conflict"),IF(COUNTIFS($I$2:$I$1001,$A64,$C$2:$C$1001,"Resolved")=0,"Open","Closed"),IF(AND($H64="Unconfirmed",OR($C64="New",$C64="Know")),IF(COUNTIFS($I$2:$I$1001,$A64,$C$2:$C$1001,"Confirmed")=0,"Unconfirmed","Confirmed"),"Logged")))</f>
        <v/>
      </c>
      <c r="L64" s="29" t="str">
        <f aca="false">IF($A64="","",AsOf-$B64)</f>
        <v/>
      </c>
      <c r="M64" s="29" t="str">
        <f aca="false">IF($K64="Open",IF($C64="Conflict","Critical",IF($L64&gt;=DecisionCritical,"Critical",IF($L64&gt;=DecisionWarn,"Warning","On track"))),IF($K64="Unconfirmed",IF($L64&gt;=UnconfirmedWarn,"Warning","On track"),""))</f>
        <v/>
      </c>
      <c r="N64" s="29" t="str">
        <f aca="false">IF($M64="","",IF($M64="Critical",3000,IF($M64="Warning",2000,1000))+$L64+ROW()/100000)</f>
        <v/>
      </c>
      <c r="O64" s="29" t="str">
        <f aca="false">IF($K64="Open",IF($C64="Conflict","decide "&amp;$A64&amp;": &lt;which version stands&gt;","decide "&amp;$A64&amp;": &lt;outcome&gt;"),IF($K64="Unconfirmed","confirm "&amp;$A64,""))</f>
        <v/>
      </c>
    </row>
    <row r="65" customFormat="false" ht="15" hidden="false" customHeight="false" outlineLevel="0" collapsed="false">
      <c r="A65" s="24"/>
      <c r="B65" s="27"/>
      <c r="C65" s="28"/>
      <c r="D65" s="24"/>
      <c r="E65" s="24"/>
      <c r="F65" s="24"/>
      <c r="G65" s="28"/>
      <c r="H65" s="28"/>
      <c r="I65" s="24"/>
      <c r="J65" s="24"/>
      <c r="K65" s="29" t="str">
        <f aca="false">IF($A65="","",IF(OR($C65="Decision",$C65="Conflict"),IF(COUNTIFS($I$2:$I$1001,$A65,$C$2:$C$1001,"Resolved")=0,"Open","Closed"),IF(AND($H65="Unconfirmed",OR($C65="New",$C65="Know")),IF(COUNTIFS($I$2:$I$1001,$A65,$C$2:$C$1001,"Confirmed")=0,"Unconfirmed","Confirmed"),"Logged")))</f>
        <v/>
      </c>
      <c r="L65" s="29" t="str">
        <f aca="false">IF($A65="","",AsOf-$B65)</f>
        <v/>
      </c>
      <c r="M65" s="29" t="str">
        <f aca="false">IF($K65="Open",IF($C65="Conflict","Critical",IF($L65&gt;=DecisionCritical,"Critical",IF($L65&gt;=DecisionWarn,"Warning","On track"))),IF($K65="Unconfirmed",IF($L65&gt;=UnconfirmedWarn,"Warning","On track"),""))</f>
        <v/>
      </c>
      <c r="N65" s="29" t="str">
        <f aca="false">IF($M65="","",IF($M65="Critical",3000,IF($M65="Warning",2000,1000))+$L65+ROW()/100000)</f>
        <v/>
      </c>
      <c r="O65" s="29" t="str">
        <f aca="false">IF($K65="Open",IF($C65="Conflict","decide "&amp;$A65&amp;": &lt;which version stands&gt;","decide "&amp;$A65&amp;": &lt;outcome&gt;"),IF($K65="Unconfirmed","confirm "&amp;$A65,""))</f>
        <v/>
      </c>
    </row>
    <row r="66" customFormat="false" ht="15" hidden="false" customHeight="false" outlineLevel="0" collapsed="false">
      <c r="A66" s="24"/>
      <c r="B66" s="27"/>
      <c r="C66" s="28"/>
      <c r="D66" s="24"/>
      <c r="E66" s="24"/>
      <c r="F66" s="24"/>
      <c r="G66" s="28"/>
      <c r="H66" s="28"/>
      <c r="I66" s="24"/>
      <c r="J66" s="24"/>
      <c r="K66" s="29" t="str">
        <f aca="false">IF($A66="","",IF(OR($C66="Decision",$C66="Conflict"),IF(COUNTIFS($I$2:$I$1001,$A66,$C$2:$C$1001,"Resolved")=0,"Open","Closed"),IF(AND($H66="Unconfirmed",OR($C66="New",$C66="Know")),IF(COUNTIFS($I$2:$I$1001,$A66,$C$2:$C$1001,"Confirmed")=0,"Unconfirmed","Confirmed"),"Logged")))</f>
        <v/>
      </c>
      <c r="L66" s="29" t="str">
        <f aca="false">IF($A66="","",AsOf-$B66)</f>
        <v/>
      </c>
      <c r="M66" s="29" t="str">
        <f aca="false">IF($K66="Open",IF($C66="Conflict","Critical",IF($L66&gt;=DecisionCritical,"Critical",IF($L66&gt;=DecisionWarn,"Warning","On track"))),IF($K66="Unconfirmed",IF($L66&gt;=UnconfirmedWarn,"Warning","On track"),""))</f>
        <v/>
      </c>
      <c r="N66" s="29" t="str">
        <f aca="false">IF($M66="","",IF($M66="Critical",3000,IF($M66="Warning",2000,1000))+$L66+ROW()/100000)</f>
        <v/>
      </c>
      <c r="O66" s="29" t="str">
        <f aca="false">IF($K66="Open",IF($C66="Conflict","decide "&amp;$A66&amp;": &lt;which version stands&gt;","decide "&amp;$A66&amp;": &lt;outcome&gt;"),IF($K66="Unconfirmed","confirm "&amp;$A66,""))</f>
        <v/>
      </c>
    </row>
    <row r="67" customFormat="false" ht="15" hidden="false" customHeight="false" outlineLevel="0" collapsed="false">
      <c r="A67" s="24"/>
      <c r="B67" s="27"/>
      <c r="C67" s="28"/>
      <c r="D67" s="24"/>
      <c r="E67" s="24"/>
      <c r="F67" s="24"/>
      <c r="G67" s="28"/>
      <c r="H67" s="28"/>
      <c r="I67" s="24"/>
      <c r="J67" s="24"/>
      <c r="K67" s="29" t="str">
        <f aca="false">IF($A67="","",IF(OR($C67="Decision",$C67="Conflict"),IF(COUNTIFS($I$2:$I$1001,$A67,$C$2:$C$1001,"Resolved")=0,"Open","Closed"),IF(AND($H67="Unconfirmed",OR($C67="New",$C67="Know")),IF(COUNTIFS($I$2:$I$1001,$A67,$C$2:$C$1001,"Confirmed")=0,"Unconfirmed","Confirmed"),"Logged")))</f>
        <v/>
      </c>
      <c r="L67" s="29" t="str">
        <f aca="false">IF($A67="","",AsOf-$B67)</f>
        <v/>
      </c>
      <c r="M67" s="29" t="str">
        <f aca="false">IF($K67="Open",IF($C67="Conflict","Critical",IF($L67&gt;=DecisionCritical,"Critical",IF($L67&gt;=DecisionWarn,"Warning","On track"))),IF($K67="Unconfirmed",IF($L67&gt;=UnconfirmedWarn,"Warning","On track"),""))</f>
        <v/>
      </c>
      <c r="N67" s="29" t="str">
        <f aca="false">IF($M67="","",IF($M67="Critical",3000,IF($M67="Warning",2000,1000))+$L67+ROW()/100000)</f>
        <v/>
      </c>
      <c r="O67" s="29" t="str">
        <f aca="false">IF($K67="Open",IF($C67="Conflict","decide "&amp;$A67&amp;": &lt;which version stands&gt;","decide "&amp;$A67&amp;": &lt;outcome&gt;"),IF($K67="Unconfirmed","confirm "&amp;$A67,""))</f>
        <v/>
      </c>
    </row>
    <row r="68" customFormat="false" ht="15" hidden="false" customHeight="false" outlineLevel="0" collapsed="false">
      <c r="A68" s="24"/>
      <c r="B68" s="27"/>
      <c r="C68" s="28"/>
      <c r="D68" s="24"/>
      <c r="E68" s="24"/>
      <c r="F68" s="24"/>
      <c r="G68" s="28"/>
      <c r="H68" s="28"/>
      <c r="I68" s="24"/>
      <c r="J68" s="24"/>
      <c r="K68" s="29" t="str">
        <f aca="false">IF($A68="","",IF(OR($C68="Decision",$C68="Conflict"),IF(COUNTIFS($I$2:$I$1001,$A68,$C$2:$C$1001,"Resolved")=0,"Open","Closed"),IF(AND($H68="Unconfirmed",OR($C68="New",$C68="Know")),IF(COUNTIFS($I$2:$I$1001,$A68,$C$2:$C$1001,"Confirmed")=0,"Unconfirmed","Confirmed"),"Logged")))</f>
        <v/>
      </c>
      <c r="L68" s="29" t="str">
        <f aca="false">IF($A68="","",AsOf-$B68)</f>
        <v/>
      </c>
      <c r="M68" s="29" t="str">
        <f aca="false">IF($K68="Open",IF($C68="Conflict","Critical",IF($L68&gt;=DecisionCritical,"Critical",IF($L68&gt;=DecisionWarn,"Warning","On track"))),IF($K68="Unconfirmed",IF($L68&gt;=UnconfirmedWarn,"Warning","On track"),""))</f>
        <v/>
      </c>
      <c r="N68" s="29" t="str">
        <f aca="false">IF($M68="","",IF($M68="Critical",3000,IF($M68="Warning",2000,1000))+$L68+ROW()/100000)</f>
        <v/>
      </c>
      <c r="O68" s="29" t="str">
        <f aca="false">IF($K68="Open",IF($C68="Conflict","decide "&amp;$A68&amp;": &lt;which version stands&gt;","decide "&amp;$A68&amp;": &lt;outcome&gt;"),IF($K68="Unconfirmed","confirm "&amp;$A68,""))</f>
        <v/>
      </c>
    </row>
    <row r="69" customFormat="false" ht="15" hidden="false" customHeight="false" outlineLevel="0" collapsed="false">
      <c r="A69" s="24"/>
      <c r="B69" s="27"/>
      <c r="C69" s="28"/>
      <c r="D69" s="24"/>
      <c r="E69" s="24"/>
      <c r="F69" s="24"/>
      <c r="G69" s="28"/>
      <c r="H69" s="28"/>
      <c r="I69" s="24"/>
      <c r="J69" s="24"/>
      <c r="K69" s="29" t="str">
        <f aca="false">IF($A69="","",IF(OR($C69="Decision",$C69="Conflict"),IF(COUNTIFS($I$2:$I$1001,$A69,$C$2:$C$1001,"Resolved")=0,"Open","Closed"),IF(AND($H69="Unconfirmed",OR($C69="New",$C69="Know")),IF(COUNTIFS($I$2:$I$1001,$A69,$C$2:$C$1001,"Confirmed")=0,"Unconfirmed","Confirmed"),"Logged")))</f>
        <v/>
      </c>
      <c r="L69" s="29" t="str">
        <f aca="false">IF($A69="","",AsOf-$B69)</f>
        <v/>
      </c>
      <c r="M69" s="29" t="str">
        <f aca="false">IF($K69="Open",IF($C69="Conflict","Critical",IF($L69&gt;=DecisionCritical,"Critical",IF($L69&gt;=DecisionWarn,"Warning","On track"))),IF($K69="Unconfirmed",IF($L69&gt;=UnconfirmedWarn,"Warning","On track"),""))</f>
        <v/>
      </c>
      <c r="N69" s="29" t="str">
        <f aca="false">IF($M69="","",IF($M69="Critical",3000,IF($M69="Warning",2000,1000))+$L69+ROW()/100000)</f>
        <v/>
      </c>
      <c r="O69" s="29" t="str">
        <f aca="false">IF($K69="Open",IF($C69="Conflict","decide "&amp;$A69&amp;": &lt;which version stands&gt;","decide "&amp;$A69&amp;": &lt;outcome&gt;"),IF($K69="Unconfirmed","confirm "&amp;$A69,""))</f>
        <v/>
      </c>
    </row>
    <row r="70" customFormat="false" ht="15" hidden="false" customHeight="false" outlineLevel="0" collapsed="false">
      <c r="A70" s="24"/>
      <c r="B70" s="27"/>
      <c r="C70" s="28"/>
      <c r="D70" s="24"/>
      <c r="E70" s="24"/>
      <c r="F70" s="24"/>
      <c r="G70" s="28"/>
      <c r="H70" s="28"/>
      <c r="I70" s="24"/>
      <c r="J70" s="24"/>
      <c r="K70" s="29" t="str">
        <f aca="false">IF($A70="","",IF(OR($C70="Decision",$C70="Conflict"),IF(COUNTIFS($I$2:$I$1001,$A70,$C$2:$C$1001,"Resolved")=0,"Open","Closed"),IF(AND($H70="Unconfirmed",OR($C70="New",$C70="Know")),IF(COUNTIFS($I$2:$I$1001,$A70,$C$2:$C$1001,"Confirmed")=0,"Unconfirmed","Confirmed"),"Logged")))</f>
        <v/>
      </c>
      <c r="L70" s="29" t="str">
        <f aca="false">IF($A70="","",AsOf-$B70)</f>
        <v/>
      </c>
      <c r="M70" s="29" t="str">
        <f aca="false">IF($K70="Open",IF($C70="Conflict","Critical",IF($L70&gt;=DecisionCritical,"Critical",IF($L70&gt;=DecisionWarn,"Warning","On track"))),IF($K70="Unconfirmed",IF($L70&gt;=UnconfirmedWarn,"Warning","On track"),""))</f>
        <v/>
      </c>
      <c r="N70" s="29" t="str">
        <f aca="false">IF($M70="","",IF($M70="Critical",3000,IF($M70="Warning",2000,1000))+$L70+ROW()/100000)</f>
        <v/>
      </c>
      <c r="O70" s="29" t="str">
        <f aca="false">IF($K70="Open",IF($C70="Conflict","decide "&amp;$A70&amp;": &lt;which version stands&gt;","decide "&amp;$A70&amp;": &lt;outcome&gt;"),IF($K70="Unconfirmed","confirm "&amp;$A70,""))</f>
        <v/>
      </c>
    </row>
    <row r="71" customFormat="false" ht="15" hidden="false" customHeight="false" outlineLevel="0" collapsed="false">
      <c r="A71" s="24"/>
      <c r="B71" s="27"/>
      <c r="C71" s="28"/>
      <c r="D71" s="24"/>
      <c r="E71" s="24"/>
      <c r="F71" s="24"/>
      <c r="G71" s="28"/>
      <c r="H71" s="28"/>
      <c r="I71" s="24"/>
      <c r="J71" s="24"/>
      <c r="K71" s="29" t="str">
        <f aca="false">IF($A71="","",IF(OR($C71="Decision",$C71="Conflict"),IF(COUNTIFS($I$2:$I$1001,$A71,$C$2:$C$1001,"Resolved")=0,"Open","Closed"),IF(AND($H71="Unconfirmed",OR($C71="New",$C71="Know")),IF(COUNTIFS($I$2:$I$1001,$A71,$C$2:$C$1001,"Confirmed")=0,"Unconfirmed","Confirmed"),"Logged")))</f>
        <v/>
      </c>
      <c r="L71" s="29" t="str">
        <f aca="false">IF($A71="","",AsOf-$B71)</f>
        <v/>
      </c>
      <c r="M71" s="29" t="str">
        <f aca="false">IF($K71="Open",IF($C71="Conflict","Critical",IF($L71&gt;=DecisionCritical,"Critical",IF($L71&gt;=DecisionWarn,"Warning","On track"))),IF($K71="Unconfirmed",IF($L71&gt;=UnconfirmedWarn,"Warning","On track"),""))</f>
        <v/>
      </c>
      <c r="N71" s="29" t="str">
        <f aca="false">IF($M71="","",IF($M71="Critical",3000,IF($M71="Warning",2000,1000))+$L71+ROW()/100000)</f>
        <v/>
      </c>
      <c r="O71" s="29" t="str">
        <f aca="false">IF($K71="Open",IF($C71="Conflict","decide "&amp;$A71&amp;": &lt;which version stands&gt;","decide "&amp;$A71&amp;": &lt;outcome&gt;"),IF($K71="Unconfirmed","confirm "&amp;$A71,""))</f>
        <v/>
      </c>
    </row>
    <row r="72" customFormat="false" ht="15" hidden="false" customHeight="false" outlineLevel="0" collapsed="false">
      <c r="A72" s="24"/>
      <c r="B72" s="27"/>
      <c r="C72" s="28"/>
      <c r="D72" s="24"/>
      <c r="E72" s="24"/>
      <c r="F72" s="24"/>
      <c r="G72" s="28"/>
      <c r="H72" s="28"/>
      <c r="I72" s="24"/>
      <c r="J72" s="24"/>
      <c r="K72" s="29" t="str">
        <f aca="false">IF($A72="","",IF(OR($C72="Decision",$C72="Conflict"),IF(COUNTIFS($I$2:$I$1001,$A72,$C$2:$C$1001,"Resolved")=0,"Open","Closed"),IF(AND($H72="Unconfirmed",OR($C72="New",$C72="Know")),IF(COUNTIFS($I$2:$I$1001,$A72,$C$2:$C$1001,"Confirmed")=0,"Unconfirmed","Confirmed"),"Logged")))</f>
        <v/>
      </c>
      <c r="L72" s="29" t="str">
        <f aca="false">IF($A72="","",AsOf-$B72)</f>
        <v/>
      </c>
      <c r="M72" s="29" t="str">
        <f aca="false">IF($K72="Open",IF($C72="Conflict","Critical",IF($L72&gt;=DecisionCritical,"Critical",IF($L72&gt;=DecisionWarn,"Warning","On track"))),IF($K72="Unconfirmed",IF($L72&gt;=UnconfirmedWarn,"Warning","On track"),""))</f>
        <v/>
      </c>
      <c r="N72" s="29" t="str">
        <f aca="false">IF($M72="","",IF($M72="Critical",3000,IF($M72="Warning",2000,1000))+$L72+ROW()/100000)</f>
        <v/>
      </c>
      <c r="O72" s="29" t="str">
        <f aca="false">IF($K72="Open",IF($C72="Conflict","decide "&amp;$A72&amp;": &lt;which version stands&gt;","decide "&amp;$A72&amp;": &lt;outcome&gt;"),IF($K72="Unconfirmed","confirm "&amp;$A72,""))</f>
        <v/>
      </c>
    </row>
    <row r="73" customFormat="false" ht="15" hidden="false" customHeight="false" outlineLevel="0" collapsed="false">
      <c r="A73" s="24"/>
      <c r="B73" s="27"/>
      <c r="C73" s="28"/>
      <c r="D73" s="24"/>
      <c r="E73" s="24"/>
      <c r="F73" s="24"/>
      <c r="G73" s="28"/>
      <c r="H73" s="28"/>
      <c r="I73" s="24"/>
      <c r="J73" s="24"/>
      <c r="K73" s="29" t="str">
        <f aca="false">IF($A73="","",IF(OR($C73="Decision",$C73="Conflict"),IF(COUNTIFS($I$2:$I$1001,$A73,$C$2:$C$1001,"Resolved")=0,"Open","Closed"),IF(AND($H73="Unconfirmed",OR($C73="New",$C73="Know")),IF(COUNTIFS($I$2:$I$1001,$A73,$C$2:$C$1001,"Confirmed")=0,"Unconfirmed","Confirmed"),"Logged")))</f>
        <v/>
      </c>
      <c r="L73" s="29" t="str">
        <f aca="false">IF($A73="","",AsOf-$B73)</f>
        <v/>
      </c>
      <c r="M73" s="29" t="str">
        <f aca="false">IF($K73="Open",IF($C73="Conflict","Critical",IF($L73&gt;=DecisionCritical,"Critical",IF($L73&gt;=DecisionWarn,"Warning","On track"))),IF($K73="Unconfirmed",IF($L73&gt;=UnconfirmedWarn,"Warning","On track"),""))</f>
        <v/>
      </c>
      <c r="N73" s="29" t="str">
        <f aca="false">IF($M73="","",IF($M73="Critical",3000,IF($M73="Warning",2000,1000))+$L73+ROW()/100000)</f>
        <v/>
      </c>
      <c r="O73" s="29" t="str">
        <f aca="false">IF($K73="Open",IF($C73="Conflict","decide "&amp;$A73&amp;": &lt;which version stands&gt;","decide "&amp;$A73&amp;": &lt;outcome&gt;"),IF($K73="Unconfirmed","confirm "&amp;$A73,""))</f>
        <v/>
      </c>
    </row>
    <row r="74" customFormat="false" ht="15" hidden="false" customHeight="false" outlineLevel="0" collapsed="false">
      <c r="A74" s="24"/>
      <c r="B74" s="27"/>
      <c r="C74" s="28"/>
      <c r="D74" s="24"/>
      <c r="E74" s="24"/>
      <c r="F74" s="24"/>
      <c r="G74" s="28"/>
      <c r="H74" s="28"/>
      <c r="I74" s="24"/>
      <c r="J74" s="24"/>
      <c r="K74" s="29" t="str">
        <f aca="false">IF($A74="","",IF(OR($C74="Decision",$C74="Conflict"),IF(COUNTIFS($I$2:$I$1001,$A74,$C$2:$C$1001,"Resolved")=0,"Open","Closed"),IF(AND($H74="Unconfirmed",OR($C74="New",$C74="Know")),IF(COUNTIFS($I$2:$I$1001,$A74,$C$2:$C$1001,"Confirmed")=0,"Unconfirmed","Confirmed"),"Logged")))</f>
        <v/>
      </c>
      <c r="L74" s="29" t="str">
        <f aca="false">IF($A74="","",AsOf-$B74)</f>
        <v/>
      </c>
      <c r="M74" s="29" t="str">
        <f aca="false">IF($K74="Open",IF($C74="Conflict","Critical",IF($L74&gt;=DecisionCritical,"Critical",IF($L74&gt;=DecisionWarn,"Warning","On track"))),IF($K74="Unconfirmed",IF($L74&gt;=UnconfirmedWarn,"Warning","On track"),""))</f>
        <v/>
      </c>
      <c r="N74" s="29" t="str">
        <f aca="false">IF($M74="","",IF($M74="Critical",3000,IF($M74="Warning",2000,1000))+$L74+ROW()/100000)</f>
        <v/>
      </c>
      <c r="O74" s="29" t="str">
        <f aca="false">IF($K74="Open",IF($C74="Conflict","decide "&amp;$A74&amp;": &lt;which version stands&gt;","decide "&amp;$A74&amp;": &lt;outcome&gt;"),IF($K74="Unconfirmed","confirm "&amp;$A74,""))</f>
        <v/>
      </c>
    </row>
    <row r="75" customFormat="false" ht="15" hidden="false" customHeight="false" outlineLevel="0" collapsed="false">
      <c r="A75" s="24"/>
      <c r="B75" s="27"/>
      <c r="C75" s="28"/>
      <c r="D75" s="24"/>
      <c r="E75" s="24"/>
      <c r="F75" s="24"/>
      <c r="G75" s="28"/>
      <c r="H75" s="28"/>
      <c r="I75" s="24"/>
      <c r="J75" s="24"/>
      <c r="K75" s="29" t="str">
        <f aca="false">IF($A75="","",IF(OR($C75="Decision",$C75="Conflict"),IF(COUNTIFS($I$2:$I$1001,$A75,$C$2:$C$1001,"Resolved")=0,"Open","Closed"),IF(AND($H75="Unconfirmed",OR($C75="New",$C75="Know")),IF(COUNTIFS($I$2:$I$1001,$A75,$C$2:$C$1001,"Confirmed")=0,"Unconfirmed","Confirmed"),"Logged")))</f>
        <v/>
      </c>
      <c r="L75" s="29" t="str">
        <f aca="false">IF($A75="","",AsOf-$B75)</f>
        <v/>
      </c>
      <c r="M75" s="29" t="str">
        <f aca="false">IF($K75="Open",IF($C75="Conflict","Critical",IF($L75&gt;=DecisionCritical,"Critical",IF($L75&gt;=DecisionWarn,"Warning","On track"))),IF($K75="Unconfirmed",IF($L75&gt;=UnconfirmedWarn,"Warning","On track"),""))</f>
        <v/>
      </c>
      <c r="N75" s="29" t="str">
        <f aca="false">IF($M75="","",IF($M75="Critical",3000,IF($M75="Warning",2000,1000))+$L75+ROW()/100000)</f>
        <v/>
      </c>
      <c r="O75" s="29" t="str">
        <f aca="false">IF($K75="Open",IF($C75="Conflict","decide "&amp;$A75&amp;": &lt;which version stands&gt;","decide "&amp;$A75&amp;": &lt;outcome&gt;"),IF($K75="Unconfirmed","confirm "&amp;$A75,""))</f>
        <v/>
      </c>
    </row>
    <row r="76" customFormat="false" ht="15" hidden="false" customHeight="false" outlineLevel="0" collapsed="false">
      <c r="A76" s="24"/>
      <c r="B76" s="27"/>
      <c r="C76" s="28"/>
      <c r="D76" s="24"/>
      <c r="E76" s="24"/>
      <c r="F76" s="24"/>
      <c r="G76" s="28"/>
      <c r="H76" s="28"/>
      <c r="I76" s="24"/>
      <c r="J76" s="24"/>
      <c r="K76" s="29" t="str">
        <f aca="false">IF($A76="","",IF(OR($C76="Decision",$C76="Conflict"),IF(COUNTIFS($I$2:$I$1001,$A76,$C$2:$C$1001,"Resolved")=0,"Open","Closed"),IF(AND($H76="Unconfirmed",OR($C76="New",$C76="Know")),IF(COUNTIFS($I$2:$I$1001,$A76,$C$2:$C$1001,"Confirmed")=0,"Unconfirmed","Confirmed"),"Logged")))</f>
        <v/>
      </c>
      <c r="L76" s="29" t="str">
        <f aca="false">IF($A76="","",AsOf-$B76)</f>
        <v/>
      </c>
      <c r="M76" s="29" t="str">
        <f aca="false">IF($K76="Open",IF($C76="Conflict","Critical",IF($L76&gt;=DecisionCritical,"Critical",IF($L76&gt;=DecisionWarn,"Warning","On track"))),IF($K76="Unconfirmed",IF($L76&gt;=UnconfirmedWarn,"Warning","On track"),""))</f>
        <v/>
      </c>
      <c r="N76" s="29" t="str">
        <f aca="false">IF($M76="","",IF($M76="Critical",3000,IF($M76="Warning",2000,1000))+$L76+ROW()/100000)</f>
        <v/>
      </c>
      <c r="O76" s="29" t="str">
        <f aca="false">IF($K76="Open",IF($C76="Conflict","decide "&amp;$A76&amp;": &lt;which version stands&gt;","decide "&amp;$A76&amp;": &lt;outcome&gt;"),IF($K76="Unconfirmed","confirm "&amp;$A76,""))</f>
        <v/>
      </c>
    </row>
    <row r="77" customFormat="false" ht="15" hidden="false" customHeight="false" outlineLevel="0" collapsed="false">
      <c r="A77" s="24"/>
      <c r="B77" s="27"/>
      <c r="C77" s="28"/>
      <c r="D77" s="24"/>
      <c r="E77" s="24"/>
      <c r="F77" s="24"/>
      <c r="G77" s="28"/>
      <c r="H77" s="28"/>
      <c r="I77" s="24"/>
      <c r="J77" s="24"/>
      <c r="K77" s="29" t="str">
        <f aca="false">IF($A77="","",IF(OR($C77="Decision",$C77="Conflict"),IF(COUNTIFS($I$2:$I$1001,$A77,$C$2:$C$1001,"Resolved")=0,"Open","Closed"),IF(AND($H77="Unconfirmed",OR($C77="New",$C77="Know")),IF(COUNTIFS($I$2:$I$1001,$A77,$C$2:$C$1001,"Confirmed")=0,"Unconfirmed","Confirmed"),"Logged")))</f>
        <v/>
      </c>
      <c r="L77" s="29" t="str">
        <f aca="false">IF($A77="","",AsOf-$B77)</f>
        <v/>
      </c>
      <c r="M77" s="29" t="str">
        <f aca="false">IF($K77="Open",IF($C77="Conflict","Critical",IF($L77&gt;=DecisionCritical,"Critical",IF($L77&gt;=DecisionWarn,"Warning","On track"))),IF($K77="Unconfirmed",IF($L77&gt;=UnconfirmedWarn,"Warning","On track"),""))</f>
        <v/>
      </c>
      <c r="N77" s="29" t="str">
        <f aca="false">IF($M77="","",IF($M77="Critical",3000,IF($M77="Warning",2000,1000))+$L77+ROW()/100000)</f>
        <v/>
      </c>
      <c r="O77" s="29" t="str">
        <f aca="false">IF($K77="Open",IF($C77="Conflict","decide "&amp;$A77&amp;": &lt;which version stands&gt;","decide "&amp;$A77&amp;": &lt;outcome&gt;"),IF($K77="Unconfirmed","confirm "&amp;$A77,""))</f>
        <v/>
      </c>
    </row>
    <row r="78" customFormat="false" ht="15" hidden="false" customHeight="false" outlineLevel="0" collapsed="false">
      <c r="A78" s="24"/>
      <c r="B78" s="27"/>
      <c r="C78" s="28"/>
      <c r="D78" s="24"/>
      <c r="E78" s="24"/>
      <c r="F78" s="24"/>
      <c r="G78" s="28"/>
      <c r="H78" s="28"/>
      <c r="I78" s="24"/>
      <c r="J78" s="24"/>
      <c r="K78" s="29" t="str">
        <f aca="false">IF($A78="","",IF(OR($C78="Decision",$C78="Conflict"),IF(COUNTIFS($I$2:$I$1001,$A78,$C$2:$C$1001,"Resolved")=0,"Open","Closed"),IF(AND($H78="Unconfirmed",OR($C78="New",$C78="Know")),IF(COUNTIFS($I$2:$I$1001,$A78,$C$2:$C$1001,"Confirmed")=0,"Unconfirmed","Confirmed"),"Logged")))</f>
        <v/>
      </c>
      <c r="L78" s="29" t="str">
        <f aca="false">IF($A78="","",AsOf-$B78)</f>
        <v/>
      </c>
      <c r="M78" s="29" t="str">
        <f aca="false">IF($K78="Open",IF($C78="Conflict","Critical",IF($L78&gt;=DecisionCritical,"Critical",IF($L78&gt;=DecisionWarn,"Warning","On track"))),IF($K78="Unconfirmed",IF($L78&gt;=UnconfirmedWarn,"Warning","On track"),""))</f>
        <v/>
      </c>
      <c r="N78" s="29" t="str">
        <f aca="false">IF($M78="","",IF($M78="Critical",3000,IF($M78="Warning",2000,1000))+$L78+ROW()/100000)</f>
        <v/>
      </c>
      <c r="O78" s="29" t="str">
        <f aca="false">IF($K78="Open",IF($C78="Conflict","decide "&amp;$A78&amp;": &lt;which version stands&gt;","decide "&amp;$A78&amp;": &lt;outcome&gt;"),IF($K78="Unconfirmed","confirm "&amp;$A78,""))</f>
        <v/>
      </c>
    </row>
    <row r="79" customFormat="false" ht="15" hidden="false" customHeight="false" outlineLevel="0" collapsed="false">
      <c r="A79" s="24"/>
      <c r="B79" s="27"/>
      <c r="C79" s="28"/>
      <c r="D79" s="24"/>
      <c r="E79" s="24"/>
      <c r="F79" s="24"/>
      <c r="G79" s="28"/>
      <c r="H79" s="28"/>
      <c r="I79" s="24"/>
      <c r="J79" s="24"/>
      <c r="K79" s="29" t="str">
        <f aca="false">IF($A79="","",IF(OR($C79="Decision",$C79="Conflict"),IF(COUNTIFS($I$2:$I$1001,$A79,$C$2:$C$1001,"Resolved")=0,"Open","Closed"),IF(AND($H79="Unconfirmed",OR($C79="New",$C79="Know")),IF(COUNTIFS($I$2:$I$1001,$A79,$C$2:$C$1001,"Confirmed")=0,"Unconfirmed","Confirmed"),"Logged")))</f>
        <v/>
      </c>
      <c r="L79" s="29" t="str">
        <f aca="false">IF($A79="","",AsOf-$B79)</f>
        <v/>
      </c>
      <c r="M79" s="29" t="str">
        <f aca="false">IF($K79="Open",IF($C79="Conflict","Critical",IF($L79&gt;=DecisionCritical,"Critical",IF($L79&gt;=DecisionWarn,"Warning","On track"))),IF($K79="Unconfirmed",IF($L79&gt;=UnconfirmedWarn,"Warning","On track"),""))</f>
        <v/>
      </c>
      <c r="N79" s="29" t="str">
        <f aca="false">IF($M79="","",IF($M79="Critical",3000,IF($M79="Warning",2000,1000))+$L79+ROW()/100000)</f>
        <v/>
      </c>
      <c r="O79" s="29" t="str">
        <f aca="false">IF($K79="Open",IF($C79="Conflict","decide "&amp;$A79&amp;": &lt;which version stands&gt;","decide "&amp;$A79&amp;": &lt;outcome&gt;"),IF($K79="Unconfirmed","confirm "&amp;$A79,""))</f>
        <v/>
      </c>
    </row>
    <row r="80" customFormat="false" ht="15" hidden="false" customHeight="false" outlineLevel="0" collapsed="false">
      <c r="A80" s="24"/>
      <c r="B80" s="27"/>
      <c r="C80" s="28"/>
      <c r="D80" s="24"/>
      <c r="E80" s="24"/>
      <c r="F80" s="24"/>
      <c r="G80" s="28"/>
      <c r="H80" s="28"/>
      <c r="I80" s="24"/>
      <c r="J80" s="24"/>
      <c r="K80" s="29" t="str">
        <f aca="false">IF($A80="","",IF(OR($C80="Decision",$C80="Conflict"),IF(COUNTIFS($I$2:$I$1001,$A80,$C$2:$C$1001,"Resolved")=0,"Open","Closed"),IF(AND($H80="Unconfirmed",OR($C80="New",$C80="Know")),IF(COUNTIFS($I$2:$I$1001,$A80,$C$2:$C$1001,"Confirmed")=0,"Unconfirmed","Confirmed"),"Logged")))</f>
        <v/>
      </c>
      <c r="L80" s="29" t="str">
        <f aca="false">IF($A80="","",AsOf-$B80)</f>
        <v/>
      </c>
      <c r="M80" s="29" t="str">
        <f aca="false">IF($K80="Open",IF($C80="Conflict","Critical",IF($L80&gt;=DecisionCritical,"Critical",IF($L80&gt;=DecisionWarn,"Warning","On track"))),IF($K80="Unconfirmed",IF($L80&gt;=UnconfirmedWarn,"Warning","On track"),""))</f>
        <v/>
      </c>
      <c r="N80" s="29" t="str">
        <f aca="false">IF($M80="","",IF($M80="Critical",3000,IF($M80="Warning",2000,1000))+$L80+ROW()/100000)</f>
        <v/>
      </c>
      <c r="O80" s="29" t="str">
        <f aca="false">IF($K80="Open",IF($C80="Conflict","decide "&amp;$A80&amp;": &lt;which version stands&gt;","decide "&amp;$A80&amp;": &lt;outcome&gt;"),IF($K80="Unconfirmed","confirm "&amp;$A80,""))</f>
        <v/>
      </c>
    </row>
    <row r="81" customFormat="false" ht="15" hidden="false" customHeight="false" outlineLevel="0" collapsed="false">
      <c r="A81" s="24"/>
      <c r="B81" s="27"/>
      <c r="C81" s="28"/>
      <c r="D81" s="24"/>
      <c r="E81" s="24"/>
      <c r="F81" s="24"/>
      <c r="G81" s="28"/>
      <c r="H81" s="28"/>
      <c r="I81" s="24"/>
      <c r="J81" s="24"/>
      <c r="K81" s="29" t="str">
        <f aca="false">IF($A81="","",IF(OR($C81="Decision",$C81="Conflict"),IF(COUNTIFS($I$2:$I$1001,$A81,$C$2:$C$1001,"Resolved")=0,"Open","Closed"),IF(AND($H81="Unconfirmed",OR($C81="New",$C81="Know")),IF(COUNTIFS($I$2:$I$1001,$A81,$C$2:$C$1001,"Confirmed")=0,"Unconfirmed","Confirmed"),"Logged")))</f>
        <v/>
      </c>
      <c r="L81" s="29" t="str">
        <f aca="false">IF($A81="","",AsOf-$B81)</f>
        <v/>
      </c>
      <c r="M81" s="29" t="str">
        <f aca="false">IF($K81="Open",IF($C81="Conflict","Critical",IF($L81&gt;=DecisionCritical,"Critical",IF($L81&gt;=DecisionWarn,"Warning","On track"))),IF($K81="Unconfirmed",IF($L81&gt;=UnconfirmedWarn,"Warning","On track"),""))</f>
        <v/>
      </c>
      <c r="N81" s="29" t="str">
        <f aca="false">IF($M81="","",IF($M81="Critical",3000,IF($M81="Warning",2000,1000))+$L81+ROW()/100000)</f>
        <v/>
      </c>
      <c r="O81" s="29" t="str">
        <f aca="false">IF($K81="Open",IF($C81="Conflict","decide "&amp;$A81&amp;": &lt;which version stands&gt;","decide "&amp;$A81&amp;": &lt;outcome&gt;"),IF($K81="Unconfirmed","confirm "&amp;$A81,""))</f>
        <v/>
      </c>
    </row>
    <row r="82" customFormat="false" ht="15" hidden="false" customHeight="false" outlineLevel="0" collapsed="false">
      <c r="A82" s="24"/>
      <c r="B82" s="27"/>
      <c r="C82" s="28"/>
      <c r="D82" s="24"/>
      <c r="E82" s="24"/>
      <c r="F82" s="24"/>
      <c r="G82" s="28"/>
      <c r="H82" s="28"/>
      <c r="I82" s="24"/>
      <c r="J82" s="24"/>
      <c r="K82" s="29" t="str">
        <f aca="false">IF($A82="","",IF(OR($C82="Decision",$C82="Conflict"),IF(COUNTIFS($I$2:$I$1001,$A82,$C$2:$C$1001,"Resolved")=0,"Open","Closed"),IF(AND($H82="Unconfirmed",OR($C82="New",$C82="Know")),IF(COUNTIFS($I$2:$I$1001,$A82,$C$2:$C$1001,"Confirmed")=0,"Unconfirmed","Confirmed"),"Logged")))</f>
        <v/>
      </c>
      <c r="L82" s="29" t="str">
        <f aca="false">IF($A82="","",AsOf-$B82)</f>
        <v/>
      </c>
      <c r="M82" s="29" t="str">
        <f aca="false">IF($K82="Open",IF($C82="Conflict","Critical",IF($L82&gt;=DecisionCritical,"Critical",IF($L82&gt;=DecisionWarn,"Warning","On track"))),IF($K82="Unconfirmed",IF($L82&gt;=UnconfirmedWarn,"Warning","On track"),""))</f>
        <v/>
      </c>
      <c r="N82" s="29" t="str">
        <f aca="false">IF($M82="","",IF($M82="Critical",3000,IF($M82="Warning",2000,1000))+$L82+ROW()/100000)</f>
        <v/>
      </c>
      <c r="O82" s="29" t="str">
        <f aca="false">IF($K82="Open",IF($C82="Conflict","decide "&amp;$A82&amp;": &lt;which version stands&gt;","decide "&amp;$A82&amp;": &lt;outcome&gt;"),IF($K82="Unconfirmed","confirm "&amp;$A82,""))</f>
        <v/>
      </c>
    </row>
    <row r="83" customFormat="false" ht="15" hidden="false" customHeight="false" outlineLevel="0" collapsed="false">
      <c r="A83" s="24"/>
      <c r="B83" s="27"/>
      <c r="C83" s="28"/>
      <c r="D83" s="24"/>
      <c r="E83" s="24"/>
      <c r="F83" s="24"/>
      <c r="G83" s="28"/>
      <c r="H83" s="28"/>
      <c r="I83" s="24"/>
      <c r="J83" s="24"/>
      <c r="K83" s="29" t="str">
        <f aca="false">IF($A83="","",IF(OR($C83="Decision",$C83="Conflict"),IF(COUNTIFS($I$2:$I$1001,$A83,$C$2:$C$1001,"Resolved")=0,"Open","Closed"),IF(AND($H83="Unconfirmed",OR($C83="New",$C83="Know")),IF(COUNTIFS($I$2:$I$1001,$A83,$C$2:$C$1001,"Confirmed")=0,"Unconfirmed","Confirmed"),"Logged")))</f>
        <v/>
      </c>
      <c r="L83" s="29" t="str">
        <f aca="false">IF($A83="","",AsOf-$B83)</f>
        <v/>
      </c>
      <c r="M83" s="29" t="str">
        <f aca="false">IF($K83="Open",IF($C83="Conflict","Critical",IF($L83&gt;=DecisionCritical,"Critical",IF($L83&gt;=DecisionWarn,"Warning","On track"))),IF($K83="Unconfirmed",IF($L83&gt;=UnconfirmedWarn,"Warning","On track"),""))</f>
        <v/>
      </c>
      <c r="N83" s="29" t="str">
        <f aca="false">IF($M83="","",IF($M83="Critical",3000,IF($M83="Warning",2000,1000))+$L83+ROW()/100000)</f>
        <v/>
      </c>
      <c r="O83" s="29" t="str">
        <f aca="false">IF($K83="Open",IF($C83="Conflict","decide "&amp;$A83&amp;": &lt;which version stands&gt;","decide "&amp;$A83&amp;": &lt;outcome&gt;"),IF($K83="Unconfirmed","confirm "&amp;$A83,""))</f>
        <v/>
      </c>
    </row>
    <row r="84" customFormat="false" ht="15" hidden="false" customHeight="false" outlineLevel="0" collapsed="false">
      <c r="A84" s="24"/>
      <c r="B84" s="27"/>
      <c r="C84" s="28"/>
      <c r="D84" s="24"/>
      <c r="E84" s="24"/>
      <c r="F84" s="24"/>
      <c r="G84" s="28"/>
      <c r="H84" s="28"/>
      <c r="I84" s="24"/>
      <c r="J84" s="24"/>
      <c r="K84" s="29" t="str">
        <f aca="false">IF($A84="","",IF(OR($C84="Decision",$C84="Conflict"),IF(COUNTIFS($I$2:$I$1001,$A84,$C$2:$C$1001,"Resolved")=0,"Open","Closed"),IF(AND($H84="Unconfirmed",OR($C84="New",$C84="Know")),IF(COUNTIFS($I$2:$I$1001,$A84,$C$2:$C$1001,"Confirmed")=0,"Unconfirmed","Confirmed"),"Logged")))</f>
        <v/>
      </c>
      <c r="L84" s="29" t="str">
        <f aca="false">IF($A84="","",AsOf-$B84)</f>
        <v/>
      </c>
      <c r="M84" s="29" t="str">
        <f aca="false">IF($K84="Open",IF($C84="Conflict","Critical",IF($L84&gt;=DecisionCritical,"Critical",IF($L84&gt;=DecisionWarn,"Warning","On track"))),IF($K84="Unconfirmed",IF($L84&gt;=UnconfirmedWarn,"Warning","On track"),""))</f>
        <v/>
      </c>
      <c r="N84" s="29" t="str">
        <f aca="false">IF($M84="","",IF($M84="Critical",3000,IF($M84="Warning",2000,1000))+$L84+ROW()/100000)</f>
        <v/>
      </c>
      <c r="O84" s="29" t="str">
        <f aca="false">IF($K84="Open",IF($C84="Conflict","decide "&amp;$A84&amp;": &lt;which version stands&gt;","decide "&amp;$A84&amp;": &lt;outcome&gt;"),IF($K84="Unconfirmed","confirm "&amp;$A84,""))</f>
        <v/>
      </c>
    </row>
    <row r="85" customFormat="false" ht="15" hidden="false" customHeight="false" outlineLevel="0" collapsed="false">
      <c r="A85" s="24"/>
      <c r="B85" s="27"/>
      <c r="C85" s="28"/>
      <c r="D85" s="24"/>
      <c r="E85" s="24"/>
      <c r="F85" s="24"/>
      <c r="G85" s="28"/>
      <c r="H85" s="28"/>
      <c r="I85" s="24"/>
      <c r="J85" s="24"/>
      <c r="K85" s="29" t="str">
        <f aca="false">IF($A85="","",IF(OR($C85="Decision",$C85="Conflict"),IF(COUNTIFS($I$2:$I$1001,$A85,$C$2:$C$1001,"Resolved")=0,"Open","Closed"),IF(AND($H85="Unconfirmed",OR($C85="New",$C85="Know")),IF(COUNTIFS($I$2:$I$1001,$A85,$C$2:$C$1001,"Confirmed")=0,"Unconfirmed","Confirmed"),"Logged")))</f>
        <v/>
      </c>
      <c r="L85" s="29" t="str">
        <f aca="false">IF($A85="","",AsOf-$B85)</f>
        <v/>
      </c>
      <c r="M85" s="29" t="str">
        <f aca="false">IF($K85="Open",IF($C85="Conflict","Critical",IF($L85&gt;=DecisionCritical,"Critical",IF($L85&gt;=DecisionWarn,"Warning","On track"))),IF($K85="Unconfirmed",IF($L85&gt;=UnconfirmedWarn,"Warning","On track"),""))</f>
        <v/>
      </c>
      <c r="N85" s="29" t="str">
        <f aca="false">IF($M85="","",IF($M85="Critical",3000,IF($M85="Warning",2000,1000))+$L85+ROW()/100000)</f>
        <v/>
      </c>
      <c r="O85" s="29" t="str">
        <f aca="false">IF($K85="Open",IF($C85="Conflict","decide "&amp;$A85&amp;": &lt;which version stands&gt;","decide "&amp;$A85&amp;": &lt;outcome&gt;"),IF($K85="Unconfirmed","confirm "&amp;$A85,""))</f>
        <v/>
      </c>
    </row>
    <row r="86" customFormat="false" ht="15" hidden="false" customHeight="false" outlineLevel="0" collapsed="false">
      <c r="A86" s="24"/>
      <c r="B86" s="27"/>
      <c r="C86" s="28"/>
      <c r="D86" s="24"/>
      <c r="E86" s="24"/>
      <c r="F86" s="24"/>
      <c r="G86" s="28"/>
      <c r="H86" s="28"/>
      <c r="I86" s="24"/>
      <c r="J86" s="24"/>
      <c r="K86" s="29" t="str">
        <f aca="false">IF($A86="","",IF(OR($C86="Decision",$C86="Conflict"),IF(COUNTIFS($I$2:$I$1001,$A86,$C$2:$C$1001,"Resolved")=0,"Open","Closed"),IF(AND($H86="Unconfirmed",OR($C86="New",$C86="Know")),IF(COUNTIFS($I$2:$I$1001,$A86,$C$2:$C$1001,"Confirmed")=0,"Unconfirmed","Confirmed"),"Logged")))</f>
        <v/>
      </c>
      <c r="L86" s="29" t="str">
        <f aca="false">IF($A86="","",AsOf-$B86)</f>
        <v/>
      </c>
      <c r="M86" s="29" t="str">
        <f aca="false">IF($K86="Open",IF($C86="Conflict","Critical",IF($L86&gt;=DecisionCritical,"Critical",IF($L86&gt;=DecisionWarn,"Warning","On track"))),IF($K86="Unconfirmed",IF($L86&gt;=UnconfirmedWarn,"Warning","On track"),""))</f>
        <v/>
      </c>
      <c r="N86" s="29" t="str">
        <f aca="false">IF($M86="","",IF($M86="Critical",3000,IF($M86="Warning",2000,1000))+$L86+ROW()/100000)</f>
        <v/>
      </c>
      <c r="O86" s="29" t="str">
        <f aca="false">IF($K86="Open",IF($C86="Conflict","decide "&amp;$A86&amp;": &lt;which version stands&gt;","decide "&amp;$A86&amp;": &lt;outcome&gt;"),IF($K86="Unconfirmed","confirm "&amp;$A86,""))</f>
        <v/>
      </c>
    </row>
    <row r="87" customFormat="false" ht="15" hidden="false" customHeight="false" outlineLevel="0" collapsed="false">
      <c r="A87" s="24"/>
      <c r="B87" s="27"/>
      <c r="C87" s="28"/>
      <c r="D87" s="24"/>
      <c r="E87" s="24"/>
      <c r="F87" s="24"/>
      <c r="G87" s="28"/>
      <c r="H87" s="28"/>
      <c r="I87" s="24"/>
      <c r="J87" s="24"/>
      <c r="K87" s="29" t="str">
        <f aca="false">IF($A87="","",IF(OR($C87="Decision",$C87="Conflict"),IF(COUNTIFS($I$2:$I$1001,$A87,$C$2:$C$1001,"Resolved")=0,"Open","Closed"),IF(AND($H87="Unconfirmed",OR($C87="New",$C87="Know")),IF(COUNTIFS($I$2:$I$1001,$A87,$C$2:$C$1001,"Confirmed")=0,"Unconfirmed","Confirmed"),"Logged")))</f>
        <v/>
      </c>
      <c r="L87" s="29" t="str">
        <f aca="false">IF($A87="","",AsOf-$B87)</f>
        <v/>
      </c>
      <c r="M87" s="29" t="str">
        <f aca="false">IF($K87="Open",IF($C87="Conflict","Critical",IF($L87&gt;=DecisionCritical,"Critical",IF($L87&gt;=DecisionWarn,"Warning","On track"))),IF($K87="Unconfirmed",IF($L87&gt;=UnconfirmedWarn,"Warning","On track"),""))</f>
        <v/>
      </c>
      <c r="N87" s="29" t="str">
        <f aca="false">IF($M87="","",IF($M87="Critical",3000,IF($M87="Warning",2000,1000))+$L87+ROW()/100000)</f>
        <v/>
      </c>
      <c r="O87" s="29" t="str">
        <f aca="false">IF($K87="Open",IF($C87="Conflict","decide "&amp;$A87&amp;": &lt;which version stands&gt;","decide "&amp;$A87&amp;": &lt;outcome&gt;"),IF($K87="Unconfirmed","confirm "&amp;$A87,""))</f>
        <v/>
      </c>
    </row>
    <row r="88" customFormat="false" ht="15" hidden="false" customHeight="false" outlineLevel="0" collapsed="false">
      <c r="A88" s="24"/>
      <c r="B88" s="27"/>
      <c r="C88" s="28"/>
      <c r="D88" s="24"/>
      <c r="E88" s="24"/>
      <c r="F88" s="24"/>
      <c r="G88" s="28"/>
      <c r="H88" s="28"/>
      <c r="I88" s="24"/>
      <c r="J88" s="24"/>
      <c r="K88" s="29" t="str">
        <f aca="false">IF($A88="","",IF(OR($C88="Decision",$C88="Conflict"),IF(COUNTIFS($I$2:$I$1001,$A88,$C$2:$C$1001,"Resolved")=0,"Open","Closed"),IF(AND($H88="Unconfirmed",OR($C88="New",$C88="Know")),IF(COUNTIFS($I$2:$I$1001,$A88,$C$2:$C$1001,"Confirmed")=0,"Unconfirmed","Confirmed"),"Logged")))</f>
        <v/>
      </c>
      <c r="L88" s="29" t="str">
        <f aca="false">IF($A88="","",AsOf-$B88)</f>
        <v/>
      </c>
      <c r="M88" s="29" t="str">
        <f aca="false">IF($K88="Open",IF($C88="Conflict","Critical",IF($L88&gt;=DecisionCritical,"Critical",IF($L88&gt;=DecisionWarn,"Warning","On track"))),IF($K88="Unconfirmed",IF($L88&gt;=UnconfirmedWarn,"Warning","On track"),""))</f>
        <v/>
      </c>
      <c r="N88" s="29" t="str">
        <f aca="false">IF($M88="","",IF($M88="Critical",3000,IF($M88="Warning",2000,1000))+$L88+ROW()/100000)</f>
        <v/>
      </c>
      <c r="O88" s="29" t="str">
        <f aca="false">IF($K88="Open",IF($C88="Conflict","decide "&amp;$A88&amp;": &lt;which version stands&gt;","decide "&amp;$A88&amp;": &lt;outcome&gt;"),IF($K88="Unconfirmed","confirm "&amp;$A88,""))</f>
        <v/>
      </c>
    </row>
    <row r="89" customFormat="false" ht="15" hidden="false" customHeight="false" outlineLevel="0" collapsed="false">
      <c r="A89" s="24"/>
      <c r="B89" s="27"/>
      <c r="C89" s="28"/>
      <c r="D89" s="24"/>
      <c r="E89" s="24"/>
      <c r="F89" s="24"/>
      <c r="G89" s="28"/>
      <c r="H89" s="28"/>
      <c r="I89" s="24"/>
      <c r="J89" s="24"/>
      <c r="K89" s="29" t="str">
        <f aca="false">IF($A89="","",IF(OR($C89="Decision",$C89="Conflict"),IF(COUNTIFS($I$2:$I$1001,$A89,$C$2:$C$1001,"Resolved")=0,"Open","Closed"),IF(AND($H89="Unconfirmed",OR($C89="New",$C89="Know")),IF(COUNTIFS($I$2:$I$1001,$A89,$C$2:$C$1001,"Confirmed")=0,"Unconfirmed","Confirmed"),"Logged")))</f>
        <v/>
      </c>
      <c r="L89" s="29" t="str">
        <f aca="false">IF($A89="","",AsOf-$B89)</f>
        <v/>
      </c>
      <c r="M89" s="29" t="str">
        <f aca="false">IF($K89="Open",IF($C89="Conflict","Critical",IF($L89&gt;=DecisionCritical,"Critical",IF($L89&gt;=DecisionWarn,"Warning","On track"))),IF($K89="Unconfirmed",IF($L89&gt;=UnconfirmedWarn,"Warning","On track"),""))</f>
        <v/>
      </c>
      <c r="N89" s="29" t="str">
        <f aca="false">IF($M89="","",IF($M89="Critical",3000,IF($M89="Warning",2000,1000))+$L89+ROW()/100000)</f>
        <v/>
      </c>
      <c r="O89" s="29" t="str">
        <f aca="false">IF($K89="Open",IF($C89="Conflict","decide "&amp;$A89&amp;": &lt;which version stands&gt;","decide "&amp;$A89&amp;": &lt;outcome&gt;"),IF($K89="Unconfirmed","confirm "&amp;$A89,""))</f>
        <v/>
      </c>
    </row>
    <row r="90" customFormat="false" ht="15" hidden="false" customHeight="false" outlineLevel="0" collapsed="false">
      <c r="A90" s="24"/>
      <c r="B90" s="27"/>
      <c r="C90" s="28"/>
      <c r="D90" s="24"/>
      <c r="E90" s="24"/>
      <c r="F90" s="24"/>
      <c r="G90" s="28"/>
      <c r="H90" s="28"/>
      <c r="I90" s="24"/>
      <c r="J90" s="24"/>
      <c r="K90" s="29" t="str">
        <f aca="false">IF($A90="","",IF(OR($C90="Decision",$C90="Conflict"),IF(COUNTIFS($I$2:$I$1001,$A90,$C$2:$C$1001,"Resolved")=0,"Open","Closed"),IF(AND($H90="Unconfirmed",OR($C90="New",$C90="Know")),IF(COUNTIFS($I$2:$I$1001,$A90,$C$2:$C$1001,"Confirmed")=0,"Unconfirmed","Confirmed"),"Logged")))</f>
        <v/>
      </c>
      <c r="L90" s="29" t="str">
        <f aca="false">IF($A90="","",AsOf-$B90)</f>
        <v/>
      </c>
      <c r="M90" s="29" t="str">
        <f aca="false">IF($K90="Open",IF($C90="Conflict","Critical",IF($L90&gt;=DecisionCritical,"Critical",IF($L90&gt;=DecisionWarn,"Warning","On track"))),IF($K90="Unconfirmed",IF($L90&gt;=UnconfirmedWarn,"Warning","On track"),""))</f>
        <v/>
      </c>
      <c r="N90" s="29" t="str">
        <f aca="false">IF($M90="","",IF($M90="Critical",3000,IF($M90="Warning",2000,1000))+$L90+ROW()/100000)</f>
        <v/>
      </c>
      <c r="O90" s="29" t="str">
        <f aca="false">IF($K90="Open",IF($C90="Conflict","decide "&amp;$A90&amp;": &lt;which version stands&gt;","decide "&amp;$A90&amp;": &lt;outcome&gt;"),IF($K90="Unconfirmed","confirm "&amp;$A90,""))</f>
        <v/>
      </c>
    </row>
    <row r="91" customFormat="false" ht="15" hidden="false" customHeight="false" outlineLevel="0" collapsed="false">
      <c r="A91" s="24"/>
      <c r="B91" s="27"/>
      <c r="C91" s="28"/>
      <c r="D91" s="24"/>
      <c r="E91" s="24"/>
      <c r="F91" s="24"/>
      <c r="G91" s="28"/>
      <c r="H91" s="28"/>
      <c r="I91" s="24"/>
      <c r="J91" s="24"/>
      <c r="K91" s="29" t="str">
        <f aca="false">IF($A91="","",IF(OR($C91="Decision",$C91="Conflict"),IF(COUNTIFS($I$2:$I$1001,$A91,$C$2:$C$1001,"Resolved")=0,"Open","Closed"),IF(AND($H91="Unconfirmed",OR($C91="New",$C91="Know")),IF(COUNTIFS($I$2:$I$1001,$A91,$C$2:$C$1001,"Confirmed")=0,"Unconfirmed","Confirmed"),"Logged")))</f>
        <v/>
      </c>
      <c r="L91" s="29" t="str">
        <f aca="false">IF($A91="","",AsOf-$B91)</f>
        <v/>
      </c>
      <c r="M91" s="29" t="str">
        <f aca="false">IF($K91="Open",IF($C91="Conflict","Critical",IF($L91&gt;=DecisionCritical,"Critical",IF($L91&gt;=DecisionWarn,"Warning","On track"))),IF($K91="Unconfirmed",IF($L91&gt;=UnconfirmedWarn,"Warning","On track"),""))</f>
        <v/>
      </c>
      <c r="N91" s="29" t="str">
        <f aca="false">IF($M91="","",IF($M91="Critical",3000,IF($M91="Warning",2000,1000))+$L91+ROW()/100000)</f>
        <v/>
      </c>
      <c r="O91" s="29" t="str">
        <f aca="false">IF($K91="Open",IF($C91="Conflict","decide "&amp;$A91&amp;": &lt;which version stands&gt;","decide "&amp;$A91&amp;": &lt;outcome&gt;"),IF($K91="Unconfirmed","confirm "&amp;$A91,""))</f>
        <v/>
      </c>
    </row>
    <row r="92" customFormat="false" ht="15" hidden="false" customHeight="false" outlineLevel="0" collapsed="false">
      <c r="A92" s="24"/>
      <c r="B92" s="27"/>
      <c r="C92" s="28"/>
      <c r="D92" s="24"/>
      <c r="E92" s="24"/>
      <c r="F92" s="24"/>
      <c r="G92" s="28"/>
      <c r="H92" s="28"/>
      <c r="I92" s="24"/>
      <c r="J92" s="24"/>
      <c r="K92" s="29" t="str">
        <f aca="false">IF($A92="","",IF(OR($C92="Decision",$C92="Conflict"),IF(COUNTIFS($I$2:$I$1001,$A92,$C$2:$C$1001,"Resolved")=0,"Open","Closed"),IF(AND($H92="Unconfirmed",OR($C92="New",$C92="Know")),IF(COUNTIFS($I$2:$I$1001,$A92,$C$2:$C$1001,"Confirmed")=0,"Unconfirmed","Confirmed"),"Logged")))</f>
        <v/>
      </c>
      <c r="L92" s="29" t="str">
        <f aca="false">IF($A92="","",AsOf-$B92)</f>
        <v/>
      </c>
      <c r="M92" s="29" t="str">
        <f aca="false">IF($K92="Open",IF($C92="Conflict","Critical",IF($L92&gt;=DecisionCritical,"Critical",IF($L92&gt;=DecisionWarn,"Warning","On track"))),IF($K92="Unconfirmed",IF($L92&gt;=UnconfirmedWarn,"Warning","On track"),""))</f>
        <v/>
      </c>
      <c r="N92" s="29" t="str">
        <f aca="false">IF($M92="","",IF($M92="Critical",3000,IF($M92="Warning",2000,1000))+$L92+ROW()/100000)</f>
        <v/>
      </c>
      <c r="O92" s="29" t="str">
        <f aca="false">IF($K92="Open",IF($C92="Conflict","decide "&amp;$A92&amp;": &lt;which version stands&gt;","decide "&amp;$A92&amp;": &lt;outcome&gt;"),IF($K92="Unconfirmed","confirm "&amp;$A92,""))</f>
        <v/>
      </c>
    </row>
    <row r="93" customFormat="false" ht="15" hidden="false" customHeight="false" outlineLevel="0" collapsed="false">
      <c r="A93" s="24"/>
      <c r="B93" s="27"/>
      <c r="C93" s="28"/>
      <c r="D93" s="24"/>
      <c r="E93" s="24"/>
      <c r="F93" s="24"/>
      <c r="G93" s="28"/>
      <c r="H93" s="28"/>
      <c r="I93" s="24"/>
      <c r="J93" s="24"/>
      <c r="K93" s="29" t="str">
        <f aca="false">IF($A93="","",IF(OR($C93="Decision",$C93="Conflict"),IF(COUNTIFS($I$2:$I$1001,$A93,$C$2:$C$1001,"Resolved")=0,"Open","Closed"),IF(AND($H93="Unconfirmed",OR($C93="New",$C93="Know")),IF(COUNTIFS($I$2:$I$1001,$A93,$C$2:$C$1001,"Confirmed")=0,"Unconfirmed","Confirmed"),"Logged")))</f>
        <v/>
      </c>
      <c r="L93" s="29" t="str">
        <f aca="false">IF($A93="","",AsOf-$B93)</f>
        <v/>
      </c>
      <c r="M93" s="29" t="str">
        <f aca="false">IF($K93="Open",IF($C93="Conflict","Critical",IF($L93&gt;=DecisionCritical,"Critical",IF($L93&gt;=DecisionWarn,"Warning","On track"))),IF($K93="Unconfirmed",IF($L93&gt;=UnconfirmedWarn,"Warning","On track"),""))</f>
        <v/>
      </c>
      <c r="N93" s="29" t="str">
        <f aca="false">IF($M93="","",IF($M93="Critical",3000,IF($M93="Warning",2000,1000))+$L93+ROW()/100000)</f>
        <v/>
      </c>
      <c r="O93" s="29" t="str">
        <f aca="false">IF($K93="Open",IF($C93="Conflict","decide "&amp;$A93&amp;": &lt;which version stands&gt;","decide "&amp;$A93&amp;": &lt;outcome&gt;"),IF($K93="Unconfirmed","confirm "&amp;$A93,""))</f>
        <v/>
      </c>
    </row>
    <row r="94" customFormat="false" ht="15" hidden="false" customHeight="false" outlineLevel="0" collapsed="false">
      <c r="A94" s="24"/>
      <c r="B94" s="27"/>
      <c r="C94" s="28"/>
      <c r="D94" s="24"/>
      <c r="E94" s="24"/>
      <c r="F94" s="24"/>
      <c r="G94" s="28"/>
      <c r="H94" s="28"/>
      <c r="I94" s="24"/>
      <c r="J94" s="24"/>
      <c r="K94" s="29" t="str">
        <f aca="false">IF($A94="","",IF(OR($C94="Decision",$C94="Conflict"),IF(COUNTIFS($I$2:$I$1001,$A94,$C$2:$C$1001,"Resolved")=0,"Open","Closed"),IF(AND($H94="Unconfirmed",OR($C94="New",$C94="Know")),IF(COUNTIFS($I$2:$I$1001,$A94,$C$2:$C$1001,"Confirmed")=0,"Unconfirmed","Confirmed"),"Logged")))</f>
        <v/>
      </c>
      <c r="L94" s="29" t="str">
        <f aca="false">IF($A94="","",AsOf-$B94)</f>
        <v/>
      </c>
      <c r="M94" s="29" t="str">
        <f aca="false">IF($K94="Open",IF($C94="Conflict","Critical",IF($L94&gt;=DecisionCritical,"Critical",IF($L94&gt;=DecisionWarn,"Warning","On track"))),IF($K94="Unconfirmed",IF($L94&gt;=UnconfirmedWarn,"Warning","On track"),""))</f>
        <v/>
      </c>
      <c r="N94" s="29" t="str">
        <f aca="false">IF($M94="","",IF($M94="Critical",3000,IF($M94="Warning",2000,1000))+$L94+ROW()/100000)</f>
        <v/>
      </c>
      <c r="O94" s="29" t="str">
        <f aca="false">IF($K94="Open",IF($C94="Conflict","decide "&amp;$A94&amp;": &lt;which version stands&gt;","decide "&amp;$A94&amp;": &lt;outcome&gt;"),IF($K94="Unconfirmed","confirm "&amp;$A94,""))</f>
        <v/>
      </c>
    </row>
    <row r="95" customFormat="false" ht="15" hidden="false" customHeight="false" outlineLevel="0" collapsed="false">
      <c r="A95" s="24"/>
      <c r="B95" s="27"/>
      <c r="C95" s="28"/>
      <c r="D95" s="24"/>
      <c r="E95" s="24"/>
      <c r="F95" s="24"/>
      <c r="G95" s="28"/>
      <c r="H95" s="28"/>
      <c r="I95" s="24"/>
      <c r="J95" s="24"/>
      <c r="K95" s="29" t="str">
        <f aca="false">IF($A95="","",IF(OR($C95="Decision",$C95="Conflict"),IF(COUNTIFS($I$2:$I$1001,$A95,$C$2:$C$1001,"Resolved")=0,"Open","Closed"),IF(AND($H95="Unconfirmed",OR($C95="New",$C95="Know")),IF(COUNTIFS($I$2:$I$1001,$A95,$C$2:$C$1001,"Confirmed")=0,"Unconfirmed","Confirmed"),"Logged")))</f>
        <v/>
      </c>
      <c r="L95" s="29" t="str">
        <f aca="false">IF($A95="","",AsOf-$B95)</f>
        <v/>
      </c>
      <c r="M95" s="29" t="str">
        <f aca="false">IF($K95="Open",IF($C95="Conflict","Critical",IF($L95&gt;=DecisionCritical,"Critical",IF($L95&gt;=DecisionWarn,"Warning","On track"))),IF($K95="Unconfirmed",IF($L95&gt;=UnconfirmedWarn,"Warning","On track"),""))</f>
        <v/>
      </c>
      <c r="N95" s="29" t="str">
        <f aca="false">IF($M95="","",IF($M95="Critical",3000,IF($M95="Warning",2000,1000))+$L95+ROW()/100000)</f>
        <v/>
      </c>
      <c r="O95" s="29" t="str">
        <f aca="false">IF($K95="Open",IF($C95="Conflict","decide "&amp;$A95&amp;": &lt;which version stands&gt;","decide "&amp;$A95&amp;": &lt;outcome&gt;"),IF($K95="Unconfirmed","confirm "&amp;$A95,""))</f>
        <v/>
      </c>
    </row>
    <row r="96" customFormat="false" ht="15" hidden="false" customHeight="false" outlineLevel="0" collapsed="false">
      <c r="A96" s="24"/>
      <c r="B96" s="27"/>
      <c r="C96" s="28"/>
      <c r="D96" s="24"/>
      <c r="E96" s="24"/>
      <c r="F96" s="24"/>
      <c r="G96" s="28"/>
      <c r="H96" s="28"/>
      <c r="I96" s="24"/>
      <c r="J96" s="24"/>
      <c r="K96" s="29" t="str">
        <f aca="false">IF($A96="","",IF(OR($C96="Decision",$C96="Conflict"),IF(COUNTIFS($I$2:$I$1001,$A96,$C$2:$C$1001,"Resolved")=0,"Open","Closed"),IF(AND($H96="Unconfirmed",OR($C96="New",$C96="Know")),IF(COUNTIFS($I$2:$I$1001,$A96,$C$2:$C$1001,"Confirmed")=0,"Unconfirmed","Confirmed"),"Logged")))</f>
        <v/>
      </c>
      <c r="L96" s="29" t="str">
        <f aca="false">IF($A96="","",AsOf-$B96)</f>
        <v/>
      </c>
      <c r="M96" s="29" t="str">
        <f aca="false">IF($K96="Open",IF($C96="Conflict","Critical",IF($L96&gt;=DecisionCritical,"Critical",IF($L96&gt;=DecisionWarn,"Warning","On track"))),IF($K96="Unconfirmed",IF($L96&gt;=UnconfirmedWarn,"Warning","On track"),""))</f>
        <v/>
      </c>
      <c r="N96" s="29" t="str">
        <f aca="false">IF($M96="","",IF($M96="Critical",3000,IF($M96="Warning",2000,1000))+$L96+ROW()/100000)</f>
        <v/>
      </c>
      <c r="O96" s="29" t="str">
        <f aca="false">IF($K96="Open",IF($C96="Conflict","decide "&amp;$A96&amp;": &lt;which version stands&gt;","decide "&amp;$A96&amp;": &lt;outcome&gt;"),IF($K96="Unconfirmed","confirm "&amp;$A96,""))</f>
        <v/>
      </c>
    </row>
    <row r="97" customFormat="false" ht="15" hidden="false" customHeight="false" outlineLevel="0" collapsed="false">
      <c r="A97" s="24"/>
      <c r="B97" s="27"/>
      <c r="C97" s="28"/>
      <c r="D97" s="24"/>
      <c r="E97" s="24"/>
      <c r="F97" s="24"/>
      <c r="G97" s="28"/>
      <c r="H97" s="28"/>
      <c r="I97" s="24"/>
      <c r="J97" s="24"/>
      <c r="K97" s="29" t="str">
        <f aca="false">IF($A97="","",IF(OR($C97="Decision",$C97="Conflict"),IF(COUNTIFS($I$2:$I$1001,$A97,$C$2:$C$1001,"Resolved")=0,"Open","Closed"),IF(AND($H97="Unconfirmed",OR($C97="New",$C97="Know")),IF(COUNTIFS($I$2:$I$1001,$A97,$C$2:$C$1001,"Confirmed")=0,"Unconfirmed","Confirmed"),"Logged")))</f>
        <v/>
      </c>
      <c r="L97" s="29" t="str">
        <f aca="false">IF($A97="","",AsOf-$B97)</f>
        <v/>
      </c>
      <c r="M97" s="29" t="str">
        <f aca="false">IF($K97="Open",IF($C97="Conflict","Critical",IF($L97&gt;=DecisionCritical,"Critical",IF($L97&gt;=DecisionWarn,"Warning","On track"))),IF($K97="Unconfirmed",IF($L97&gt;=UnconfirmedWarn,"Warning","On track"),""))</f>
        <v/>
      </c>
      <c r="N97" s="29" t="str">
        <f aca="false">IF($M97="","",IF($M97="Critical",3000,IF($M97="Warning",2000,1000))+$L97+ROW()/100000)</f>
        <v/>
      </c>
      <c r="O97" s="29" t="str">
        <f aca="false">IF($K97="Open",IF($C97="Conflict","decide "&amp;$A97&amp;": &lt;which version stands&gt;","decide "&amp;$A97&amp;": &lt;outcome&gt;"),IF($K97="Unconfirmed","confirm "&amp;$A97,""))</f>
        <v/>
      </c>
    </row>
    <row r="98" customFormat="false" ht="15" hidden="false" customHeight="false" outlineLevel="0" collapsed="false">
      <c r="A98" s="24"/>
      <c r="B98" s="27"/>
      <c r="C98" s="28"/>
      <c r="D98" s="24"/>
      <c r="E98" s="24"/>
      <c r="F98" s="24"/>
      <c r="G98" s="28"/>
      <c r="H98" s="28"/>
      <c r="I98" s="24"/>
      <c r="J98" s="24"/>
      <c r="K98" s="29" t="str">
        <f aca="false">IF($A98="","",IF(OR($C98="Decision",$C98="Conflict"),IF(COUNTIFS($I$2:$I$1001,$A98,$C$2:$C$1001,"Resolved")=0,"Open","Closed"),IF(AND($H98="Unconfirmed",OR($C98="New",$C98="Know")),IF(COUNTIFS($I$2:$I$1001,$A98,$C$2:$C$1001,"Confirmed")=0,"Unconfirmed","Confirmed"),"Logged")))</f>
        <v/>
      </c>
      <c r="L98" s="29" t="str">
        <f aca="false">IF($A98="","",AsOf-$B98)</f>
        <v/>
      </c>
      <c r="M98" s="29" t="str">
        <f aca="false">IF($K98="Open",IF($C98="Conflict","Critical",IF($L98&gt;=DecisionCritical,"Critical",IF($L98&gt;=DecisionWarn,"Warning","On track"))),IF($K98="Unconfirmed",IF($L98&gt;=UnconfirmedWarn,"Warning","On track"),""))</f>
        <v/>
      </c>
      <c r="N98" s="29" t="str">
        <f aca="false">IF($M98="","",IF($M98="Critical",3000,IF($M98="Warning",2000,1000))+$L98+ROW()/100000)</f>
        <v/>
      </c>
      <c r="O98" s="29" t="str">
        <f aca="false">IF($K98="Open",IF($C98="Conflict","decide "&amp;$A98&amp;": &lt;which version stands&gt;","decide "&amp;$A98&amp;": &lt;outcome&gt;"),IF($K98="Unconfirmed","confirm "&amp;$A98,""))</f>
        <v/>
      </c>
    </row>
    <row r="99" customFormat="false" ht="15" hidden="false" customHeight="false" outlineLevel="0" collapsed="false">
      <c r="A99" s="24"/>
      <c r="B99" s="27"/>
      <c r="C99" s="28"/>
      <c r="D99" s="24"/>
      <c r="E99" s="24"/>
      <c r="F99" s="24"/>
      <c r="G99" s="28"/>
      <c r="H99" s="28"/>
      <c r="I99" s="24"/>
      <c r="J99" s="24"/>
      <c r="K99" s="29" t="str">
        <f aca="false">IF($A99="","",IF(OR($C99="Decision",$C99="Conflict"),IF(COUNTIFS($I$2:$I$1001,$A99,$C$2:$C$1001,"Resolved")=0,"Open","Closed"),IF(AND($H99="Unconfirmed",OR($C99="New",$C99="Know")),IF(COUNTIFS($I$2:$I$1001,$A99,$C$2:$C$1001,"Confirmed")=0,"Unconfirmed","Confirmed"),"Logged")))</f>
        <v/>
      </c>
      <c r="L99" s="29" t="str">
        <f aca="false">IF($A99="","",AsOf-$B99)</f>
        <v/>
      </c>
      <c r="M99" s="29" t="str">
        <f aca="false">IF($K99="Open",IF($C99="Conflict","Critical",IF($L99&gt;=DecisionCritical,"Critical",IF($L99&gt;=DecisionWarn,"Warning","On track"))),IF($K99="Unconfirmed",IF($L99&gt;=UnconfirmedWarn,"Warning","On track"),""))</f>
        <v/>
      </c>
      <c r="N99" s="29" t="str">
        <f aca="false">IF($M99="","",IF($M99="Critical",3000,IF($M99="Warning",2000,1000))+$L99+ROW()/100000)</f>
        <v/>
      </c>
      <c r="O99" s="29" t="str">
        <f aca="false">IF($K99="Open",IF($C99="Conflict","decide "&amp;$A99&amp;": &lt;which version stands&gt;","decide "&amp;$A99&amp;": &lt;outcome&gt;"),IF($K99="Unconfirmed","confirm "&amp;$A99,""))</f>
        <v/>
      </c>
    </row>
    <row r="100" customFormat="false" ht="15" hidden="false" customHeight="false" outlineLevel="0" collapsed="false">
      <c r="A100" s="24"/>
      <c r="B100" s="27"/>
      <c r="C100" s="28"/>
      <c r="D100" s="24"/>
      <c r="E100" s="24"/>
      <c r="F100" s="24"/>
      <c r="G100" s="28"/>
      <c r="H100" s="28"/>
      <c r="I100" s="24"/>
      <c r="J100" s="24"/>
      <c r="K100" s="29" t="str">
        <f aca="false">IF($A100="","",IF(OR($C100="Decision",$C100="Conflict"),IF(COUNTIFS($I$2:$I$1001,$A100,$C$2:$C$1001,"Resolved")=0,"Open","Closed"),IF(AND($H100="Unconfirmed",OR($C100="New",$C100="Know")),IF(COUNTIFS($I$2:$I$1001,$A100,$C$2:$C$1001,"Confirmed")=0,"Unconfirmed","Confirmed"),"Logged")))</f>
        <v/>
      </c>
      <c r="L100" s="29" t="str">
        <f aca="false">IF($A100="","",AsOf-$B100)</f>
        <v/>
      </c>
      <c r="M100" s="29" t="str">
        <f aca="false">IF($K100="Open",IF($C100="Conflict","Critical",IF($L100&gt;=DecisionCritical,"Critical",IF($L100&gt;=DecisionWarn,"Warning","On track"))),IF($K100="Unconfirmed",IF($L100&gt;=UnconfirmedWarn,"Warning","On track"),""))</f>
        <v/>
      </c>
      <c r="N100" s="29" t="str">
        <f aca="false">IF($M100="","",IF($M100="Critical",3000,IF($M100="Warning",2000,1000))+$L100+ROW()/100000)</f>
        <v/>
      </c>
      <c r="O100" s="29" t="str">
        <f aca="false">IF($K100="Open",IF($C100="Conflict","decide "&amp;$A100&amp;": &lt;which version stands&gt;","decide "&amp;$A100&amp;": &lt;outcome&gt;"),IF($K100="Unconfirmed","confirm "&amp;$A100,""))</f>
        <v/>
      </c>
    </row>
    <row r="101" customFormat="false" ht="15" hidden="false" customHeight="false" outlineLevel="0" collapsed="false">
      <c r="A101" s="24"/>
      <c r="B101" s="27"/>
      <c r="C101" s="28"/>
      <c r="D101" s="24"/>
      <c r="E101" s="24"/>
      <c r="F101" s="24"/>
      <c r="G101" s="28"/>
      <c r="H101" s="28"/>
      <c r="I101" s="24"/>
      <c r="J101" s="24"/>
      <c r="K101" s="29" t="str">
        <f aca="false">IF($A101="","",IF(OR($C101="Decision",$C101="Conflict"),IF(COUNTIFS($I$2:$I$1001,$A101,$C$2:$C$1001,"Resolved")=0,"Open","Closed"),IF(AND($H101="Unconfirmed",OR($C101="New",$C101="Know")),IF(COUNTIFS($I$2:$I$1001,$A101,$C$2:$C$1001,"Confirmed")=0,"Unconfirmed","Confirmed"),"Logged")))</f>
        <v/>
      </c>
      <c r="L101" s="29" t="str">
        <f aca="false">IF($A101="","",AsOf-$B101)</f>
        <v/>
      </c>
      <c r="M101" s="29" t="str">
        <f aca="false">IF($K101="Open",IF($C101="Conflict","Critical",IF($L101&gt;=DecisionCritical,"Critical",IF($L101&gt;=DecisionWarn,"Warning","On track"))),IF($K101="Unconfirmed",IF($L101&gt;=UnconfirmedWarn,"Warning","On track"),""))</f>
        <v/>
      </c>
      <c r="N101" s="29" t="str">
        <f aca="false">IF($M101="","",IF($M101="Critical",3000,IF($M101="Warning",2000,1000))+$L101+ROW()/100000)</f>
        <v/>
      </c>
      <c r="O101" s="29" t="str">
        <f aca="false">IF($K101="Open",IF($C101="Conflict","decide "&amp;$A101&amp;": &lt;which version stands&gt;","decide "&amp;$A101&amp;": &lt;outcome&gt;"),IF($K101="Unconfirmed","confirm "&amp;$A101,""))</f>
        <v/>
      </c>
    </row>
    <row r="102" customFormat="false" ht="15" hidden="false" customHeight="false" outlineLevel="0" collapsed="false">
      <c r="A102" s="24"/>
      <c r="B102" s="27"/>
      <c r="C102" s="28"/>
      <c r="D102" s="24"/>
      <c r="E102" s="24"/>
      <c r="F102" s="24"/>
      <c r="G102" s="28"/>
      <c r="H102" s="28"/>
      <c r="I102" s="24"/>
      <c r="J102" s="24"/>
      <c r="K102" s="29" t="str">
        <f aca="false">IF($A102="","",IF(OR($C102="Decision",$C102="Conflict"),IF(COUNTIFS($I$2:$I$1001,$A102,$C$2:$C$1001,"Resolved")=0,"Open","Closed"),IF(AND($H102="Unconfirmed",OR($C102="New",$C102="Know")),IF(COUNTIFS($I$2:$I$1001,$A102,$C$2:$C$1001,"Confirmed")=0,"Unconfirmed","Confirmed"),"Logged")))</f>
        <v/>
      </c>
      <c r="L102" s="29" t="str">
        <f aca="false">IF($A102="","",AsOf-$B102)</f>
        <v/>
      </c>
      <c r="M102" s="29" t="str">
        <f aca="false">IF($K102="Open",IF($C102="Conflict","Critical",IF($L102&gt;=DecisionCritical,"Critical",IF($L102&gt;=DecisionWarn,"Warning","On track"))),IF($K102="Unconfirmed",IF($L102&gt;=UnconfirmedWarn,"Warning","On track"),""))</f>
        <v/>
      </c>
      <c r="N102" s="29" t="str">
        <f aca="false">IF($M102="","",IF($M102="Critical",3000,IF($M102="Warning",2000,1000))+$L102+ROW()/100000)</f>
        <v/>
      </c>
      <c r="O102" s="29" t="str">
        <f aca="false">IF($K102="Open",IF($C102="Conflict","decide "&amp;$A102&amp;": &lt;which version stands&gt;","decide "&amp;$A102&amp;": &lt;outcome&gt;"),IF($K102="Unconfirmed","confirm "&amp;$A102,""))</f>
        <v/>
      </c>
    </row>
    <row r="103" customFormat="false" ht="15" hidden="false" customHeight="false" outlineLevel="0" collapsed="false">
      <c r="A103" s="24"/>
      <c r="B103" s="27"/>
      <c r="C103" s="28"/>
      <c r="D103" s="24"/>
      <c r="E103" s="24"/>
      <c r="F103" s="24"/>
      <c r="G103" s="28"/>
      <c r="H103" s="28"/>
      <c r="I103" s="24"/>
      <c r="J103" s="24"/>
      <c r="K103" s="29" t="str">
        <f aca="false">IF($A103="","",IF(OR($C103="Decision",$C103="Conflict"),IF(COUNTIFS($I$2:$I$1001,$A103,$C$2:$C$1001,"Resolved")=0,"Open","Closed"),IF(AND($H103="Unconfirmed",OR($C103="New",$C103="Know")),IF(COUNTIFS($I$2:$I$1001,$A103,$C$2:$C$1001,"Confirmed")=0,"Unconfirmed","Confirmed"),"Logged")))</f>
        <v/>
      </c>
      <c r="L103" s="29" t="str">
        <f aca="false">IF($A103="","",AsOf-$B103)</f>
        <v/>
      </c>
      <c r="M103" s="29" t="str">
        <f aca="false">IF($K103="Open",IF($C103="Conflict","Critical",IF($L103&gt;=DecisionCritical,"Critical",IF($L103&gt;=DecisionWarn,"Warning","On track"))),IF($K103="Unconfirmed",IF($L103&gt;=UnconfirmedWarn,"Warning","On track"),""))</f>
        <v/>
      </c>
      <c r="N103" s="29" t="str">
        <f aca="false">IF($M103="","",IF($M103="Critical",3000,IF($M103="Warning",2000,1000))+$L103+ROW()/100000)</f>
        <v/>
      </c>
      <c r="O103" s="29" t="str">
        <f aca="false">IF($K103="Open",IF($C103="Conflict","decide "&amp;$A103&amp;": &lt;which version stands&gt;","decide "&amp;$A103&amp;": &lt;outcome&gt;"),IF($K103="Unconfirmed","confirm "&amp;$A103,""))</f>
        <v/>
      </c>
    </row>
    <row r="104" customFormat="false" ht="15" hidden="false" customHeight="false" outlineLevel="0" collapsed="false">
      <c r="A104" s="24"/>
      <c r="B104" s="27"/>
      <c r="C104" s="28"/>
      <c r="D104" s="24"/>
      <c r="E104" s="24"/>
      <c r="F104" s="24"/>
      <c r="G104" s="28"/>
      <c r="H104" s="28"/>
      <c r="I104" s="24"/>
      <c r="J104" s="24"/>
      <c r="K104" s="29" t="str">
        <f aca="false">IF($A104="","",IF(OR($C104="Decision",$C104="Conflict"),IF(COUNTIFS($I$2:$I$1001,$A104,$C$2:$C$1001,"Resolved")=0,"Open","Closed"),IF(AND($H104="Unconfirmed",OR($C104="New",$C104="Know")),IF(COUNTIFS($I$2:$I$1001,$A104,$C$2:$C$1001,"Confirmed")=0,"Unconfirmed","Confirmed"),"Logged")))</f>
        <v/>
      </c>
      <c r="L104" s="29" t="str">
        <f aca="false">IF($A104="","",AsOf-$B104)</f>
        <v/>
      </c>
      <c r="M104" s="29" t="str">
        <f aca="false">IF($K104="Open",IF($C104="Conflict","Critical",IF($L104&gt;=DecisionCritical,"Critical",IF($L104&gt;=DecisionWarn,"Warning","On track"))),IF($K104="Unconfirmed",IF($L104&gt;=UnconfirmedWarn,"Warning","On track"),""))</f>
        <v/>
      </c>
      <c r="N104" s="29" t="str">
        <f aca="false">IF($M104="","",IF($M104="Critical",3000,IF($M104="Warning",2000,1000))+$L104+ROW()/100000)</f>
        <v/>
      </c>
      <c r="O104" s="29" t="str">
        <f aca="false">IF($K104="Open",IF($C104="Conflict","decide "&amp;$A104&amp;": &lt;which version stands&gt;","decide "&amp;$A104&amp;": &lt;outcome&gt;"),IF($K104="Unconfirmed","confirm "&amp;$A104,""))</f>
        <v/>
      </c>
    </row>
    <row r="105" customFormat="false" ht="15" hidden="false" customHeight="false" outlineLevel="0" collapsed="false">
      <c r="A105" s="24"/>
      <c r="B105" s="27"/>
      <c r="C105" s="28"/>
      <c r="D105" s="24"/>
      <c r="E105" s="24"/>
      <c r="F105" s="24"/>
      <c r="G105" s="28"/>
      <c r="H105" s="28"/>
      <c r="I105" s="24"/>
      <c r="J105" s="24"/>
      <c r="K105" s="29" t="str">
        <f aca="false">IF($A105="","",IF(OR($C105="Decision",$C105="Conflict"),IF(COUNTIFS($I$2:$I$1001,$A105,$C$2:$C$1001,"Resolved")=0,"Open","Closed"),IF(AND($H105="Unconfirmed",OR($C105="New",$C105="Know")),IF(COUNTIFS($I$2:$I$1001,$A105,$C$2:$C$1001,"Confirmed")=0,"Unconfirmed","Confirmed"),"Logged")))</f>
        <v/>
      </c>
      <c r="L105" s="29" t="str">
        <f aca="false">IF($A105="","",AsOf-$B105)</f>
        <v/>
      </c>
      <c r="M105" s="29" t="str">
        <f aca="false">IF($K105="Open",IF($C105="Conflict","Critical",IF($L105&gt;=DecisionCritical,"Critical",IF($L105&gt;=DecisionWarn,"Warning","On track"))),IF($K105="Unconfirmed",IF($L105&gt;=UnconfirmedWarn,"Warning","On track"),""))</f>
        <v/>
      </c>
      <c r="N105" s="29" t="str">
        <f aca="false">IF($M105="","",IF($M105="Critical",3000,IF($M105="Warning",2000,1000))+$L105+ROW()/100000)</f>
        <v/>
      </c>
      <c r="O105" s="29" t="str">
        <f aca="false">IF($K105="Open",IF($C105="Conflict","decide "&amp;$A105&amp;": &lt;which version stands&gt;","decide "&amp;$A105&amp;": &lt;outcome&gt;"),IF($K105="Unconfirmed","confirm "&amp;$A105,""))</f>
        <v/>
      </c>
    </row>
    <row r="106" customFormat="false" ht="15" hidden="false" customHeight="false" outlineLevel="0" collapsed="false">
      <c r="A106" s="24"/>
      <c r="B106" s="27"/>
      <c r="C106" s="28"/>
      <c r="D106" s="24"/>
      <c r="E106" s="24"/>
      <c r="F106" s="24"/>
      <c r="G106" s="28"/>
      <c r="H106" s="28"/>
      <c r="I106" s="24"/>
      <c r="J106" s="24"/>
      <c r="K106" s="29" t="str">
        <f aca="false">IF($A106="","",IF(OR($C106="Decision",$C106="Conflict"),IF(COUNTIFS($I$2:$I$1001,$A106,$C$2:$C$1001,"Resolved")=0,"Open","Closed"),IF(AND($H106="Unconfirmed",OR($C106="New",$C106="Know")),IF(COUNTIFS($I$2:$I$1001,$A106,$C$2:$C$1001,"Confirmed")=0,"Unconfirmed","Confirmed"),"Logged")))</f>
        <v/>
      </c>
      <c r="L106" s="29" t="str">
        <f aca="false">IF($A106="","",AsOf-$B106)</f>
        <v/>
      </c>
      <c r="M106" s="29" t="str">
        <f aca="false">IF($K106="Open",IF($C106="Conflict","Critical",IF($L106&gt;=DecisionCritical,"Critical",IF($L106&gt;=DecisionWarn,"Warning","On track"))),IF($K106="Unconfirmed",IF($L106&gt;=UnconfirmedWarn,"Warning","On track"),""))</f>
        <v/>
      </c>
      <c r="N106" s="29" t="str">
        <f aca="false">IF($M106="","",IF($M106="Critical",3000,IF($M106="Warning",2000,1000))+$L106+ROW()/100000)</f>
        <v/>
      </c>
      <c r="O106" s="29" t="str">
        <f aca="false">IF($K106="Open",IF($C106="Conflict","decide "&amp;$A106&amp;": &lt;which version stands&gt;","decide "&amp;$A106&amp;": &lt;outcome&gt;"),IF($K106="Unconfirmed","confirm "&amp;$A106,""))</f>
        <v/>
      </c>
    </row>
    <row r="107" customFormat="false" ht="15" hidden="false" customHeight="false" outlineLevel="0" collapsed="false">
      <c r="A107" s="24"/>
      <c r="B107" s="27"/>
      <c r="C107" s="28"/>
      <c r="D107" s="24"/>
      <c r="E107" s="24"/>
      <c r="F107" s="24"/>
      <c r="G107" s="28"/>
      <c r="H107" s="28"/>
      <c r="I107" s="24"/>
      <c r="J107" s="24"/>
      <c r="K107" s="29" t="str">
        <f aca="false">IF($A107="","",IF(OR($C107="Decision",$C107="Conflict"),IF(COUNTIFS($I$2:$I$1001,$A107,$C$2:$C$1001,"Resolved")=0,"Open","Closed"),IF(AND($H107="Unconfirmed",OR($C107="New",$C107="Know")),IF(COUNTIFS($I$2:$I$1001,$A107,$C$2:$C$1001,"Confirmed")=0,"Unconfirmed","Confirmed"),"Logged")))</f>
        <v/>
      </c>
      <c r="L107" s="29" t="str">
        <f aca="false">IF($A107="","",AsOf-$B107)</f>
        <v/>
      </c>
      <c r="M107" s="29" t="str">
        <f aca="false">IF($K107="Open",IF($C107="Conflict","Critical",IF($L107&gt;=DecisionCritical,"Critical",IF($L107&gt;=DecisionWarn,"Warning","On track"))),IF($K107="Unconfirmed",IF($L107&gt;=UnconfirmedWarn,"Warning","On track"),""))</f>
        <v/>
      </c>
      <c r="N107" s="29" t="str">
        <f aca="false">IF($M107="","",IF($M107="Critical",3000,IF($M107="Warning",2000,1000))+$L107+ROW()/100000)</f>
        <v/>
      </c>
      <c r="O107" s="29" t="str">
        <f aca="false">IF($K107="Open",IF($C107="Conflict","decide "&amp;$A107&amp;": &lt;which version stands&gt;","decide "&amp;$A107&amp;": &lt;outcome&gt;"),IF($K107="Unconfirmed","confirm "&amp;$A107,""))</f>
        <v/>
      </c>
    </row>
    <row r="108" customFormat="false" ht="15" hidden="false" customHeight="false" outlineLevel="0" collapsed="false">
      <c r="A108" s="24"/>
      <c r="B108" s="27"/>
      <c r="C108" s="28"/>
      <c r="D108" s="24"/>
      <c r="E108" s="24"/>
      <c r="F108" s="24"/>
      <c r="G108" s="28"/>
      <c r="H108" s="28"/>
      <c r="I108" s="24"/>
      <c r="J108" s="24"/>
      <c r="K108" s="29" t="str">
        <f aca="false">IF($A108="","",IF(OR($C108="Decision",$C108="Conflict"),IF(COUNTIFS($I$2:$I$1001,$A108,$C$2:$C$1001,"Resolved")=0,"Open","Closed"),IF(AND($H108="Unconfirmed",OR($C108="New",$C108="Know")),IF(COUNTIFS($I$2:$I$1001,$A108,$C$2:$C$1001,"Confirmed")=0,"Unconfirmed","Confirmed"),"Logged")))</f>
        <v/>
      </c>
      <c r="L108" s="29" t="str">
        <f aca="false">IF($A108="","",AsOf-$B108)</f>
        <v/>
      </c>
      <c r="M108" s="29" t="str">
        <f aca="false">IF($K108="Open",IF($C108="Conflict","Critical",IF($L108&gt;=DecisionCritical,"Critical",IF($L108&gt;=DecisionWarn,"Warning","On track"))),IF($K108="Unconfirmed",IF($L108&gt;=UnconfirmedWarn,"Warning","On track"),""))</f>
        <v/>
      </c>
      <c r="N108" s="29" t="str">
        <f aca="false">IF($M108="","",IF($M108="Critical",3000,IF($M108="Warning",2000,1000))+$L108+ROW()/100000)</f>
        <v/>
      </c>
      <c r="O108" s="29" t="str">
        <f aca="false">IF($K108="Open",IF($C108="Conflict","decide "&amp;$A108&amp;": &lt;which version stands&gt;","decide "&amp;$A108&amp;": &lt;outcome&gt;"),IF($K108="Unconfirmed","confirm "&amp;$A108,""))</f>
        <v/>
      </c>
    </row>
    <row r="109" customFormat="false" ht="15" hidden="false" customHeight="false" outlineLevel="0" collapsed="false">
      <c r="A109" s="24"/>
      <c r="B109" s="27"/>
      <c r="C109" s="28"/>
      <c r="D109" s="24"/>
      <c r="E109" s="24"/>
      <c r="F109" s="24"/>
      <c r="G109" s="28"/>
      <c r="H109" s="28"/>
      <c r="I109" s="24"/>
      <c r="J109" s="24"/>
      <c r="K109" s="29" t="str">
        <f aca="false">IF($A109="","",IF(OR($C109="Decision",$C109="Conflict"),IF(COUNTIFS($I$2:$I$1001,$A109,$C$2:$C$1001,"Resolved")=0,"Open","Closed"),IF(AND($H109="Unconfirmed",OR($C109="New",$C109="Know")),IF(COUNTIFS($I$2:$I$1001,$A109,$C$2:$C$1001,"Confirmed")=0,"Unconfirmed","Confirmed"),"Logged")))</f>
        <v/>
      </c>
      <c r="L109" s="29" t="str">
        <f aca="false">IF($A109="","",AsOf-$B109)</f>
        <v/>
      </c>
      <c r="M109" s="29" t="str">
        <f aca="false">IF($K109="Open",IF($C109="Conflict","Critical",IF($L109&gt;=DecisionCritical,"Critical",IF($L109&gt;=DecisionWarn,"Warning","On track"))),IF($K109="Unconfirmed",IF($L109&gt;=UnconfirmedWarn,"Warning","On track"),""))</f>
        <v/>
      </c>
      <c r="N109" s="29" t="str">
        <f aca="false">IF($M109="","",IF($M109="Critical",3000,IF($M109="Warning",2000,1000))+$L109+ROW()/100000)</f>
        <v/>
      </c>
      <c r="O109" s="29" t="str">
        <f aca="false">IF($K109="Open",IF($C109="Conflict","decide "&amp;$A109&amp;": &lt;which version stands&gt;","decide "&amp;$A109&amp;": &lt;outcome&gt;"),IF($K109="Unconfirmed","confirm "&amp;$A109,""))</f>
        <v/>
      </c>
    </row>
    <row r="110" customFormat="false" ht="15" hidden="false" customHeight="false" outlineLevel="0" collapsed="false">
      <c r="A110" s="24"/>
      <c r="B110" s="27"/>
      <c r="C110" s="28"/>
      <c r="D110" s="24"/>
      <c r="E110" s="24"/>
      <c r="F110" s="24"/>
      <c r="G110" s="28"/>
      <c r="H110" s="28"/>
      <c r="I110" s="24"/>
      <c r="J110" s="24"/>
      <c r="K110" s="29" t="str">
        <f aca="false">IF($A110="","",IF(OR($C110="Decision",$C110="Conflict"),IF(COUNTIFS($I$2:$I$1001,$A110,$C$2:$C$1001,"Resolved")=0,"Open","Closed"),IF(AND($H110="Unconfirmed",OR($C110="New",$C110="Know")),IF(COUNTIFS($I$2:$I$1001,$A110,$C$2:$C$1001,"Confirmed")=0,"Unconfirmed","Confirmed"),"Logged")))</f>
        <v/>
      </c>
      <c r="L110" s="29" t="str">
        <f aca="false">IF($A110="","",AsOf-$B110)</f>
        <v/>
      </c>
      <c r="M110" s="29" t="str">
        <f aca="false">IF($K110="Open",IF($C110="Conflict","Critical",IF($L110&gt;=DecisionCritical,"Critical",IF($L110&gt;=DecisionWarn,"Warning","On track"))),IF($K110="Unconfirmed",IF($L110&gt;=UnconfirmedWarn,"Warning","On track"),""))</f>
        <v/>
      </c>
      <c r="N110" s="29" t="str">
        <f aca="false">IF($M110="","",IF($M110="Critical",3000,IF($M110="Warning",2000,1000))+$L110+ROW()/100000)</f>
        <v/>
      </c>
      <c r="O110" s="29" t="str">
        <f aca="false">IF($K110="Open",IF($C110="Conflict","decide "&amp;$A110&amp;": &lt;which version stands&gt;","decide "&amp;$A110&amp;": &lt;outcome&gt;"),IF($K110="Unconfirmed","confirm "&amp;$A110,""))</f>
        <v/>
      </c>
    </row>
    <row r="111" customFormat="false" ht="15" hidden="false" customHeight="false" outlineLevel="0" collapsed="false">
      <c r="A111" s="24"/>
      <c r="B111" s="27"/>
      <c r="C111" s="28"/>
      <c r="D111" s="24"/>
      <c r="E111" s="24"/>
      <c r="F111" s="24"/>
      <c r="G111" s="28"/>
      <c r="H111" s="28"/>
      <c r="I111" s="24"/>
      <c r="J111" s="24"/>
      <c r="K111" s="29" t="str">
        <f aca="false">IF($A111="","",IF(OR($C111="Decision",$C111="Conflict"),IF(COUNTIFS($I$2:$I$1001,$A111,$C$2:$C$1001,"Resolved")=0,"Open","Closed"),IF(AND($H111="Unconfirmed",OR($C111="New",$C111="Know")),IF(COUNTIFS($I$2:$I$1001,$A111,$C$2:$C$1001,"Confirmed")=0,"Unconfirmed","Confirmed"),"Logged")))</f>
        <v/>
      </c>
      <c r="L111" s="29" t="str">
        <f aca="false">IF($A111="","",AsOf-$B111)</f>
        <v/>
      </c>
      <c r="M111" s="29" t="str">
        <f aca="false">IF($K111="Open",IF($C111="Conflict","Critical",IF($L111&gt;=DecisionCritical,"Critical",IF($L111&gt;=DecisionWarn,"Warning","On track"))),IF($K111="Unconfirmed",IF($L111&gt;=UnconfirmedWarn,"Warning","On track"),""))</f>
        <v/>
      </c>
      <c r="N111" s="29" t="str">
        <f aca="false">IF($M111="","",IF($M111="Critical",3000,IF($M111="Warning",2000,1000))+$L111+ROW()/100000)</f>
        <v/>
      </c>
      <c r="O111" s="29" t="str">
        <f aca="false">IF($K111="Open",IF($C111="Conflict","decide "&amp;$A111&amp;": &lt;which version stands&gt;","decide "&amp;$A111&amp;": &lt;outcome&gt;"),IF($K111="Unconfirmed","confirm "&amp;$A111,""))</f>
        <v/>
      </c>
    </row>
    <row r="112" customFormat="false" ht="15" hidden="false" customHeight="false" outlineLevel="0" collapsed="false">
      <c r="A112" s="24"/>
      <c r="B112" s="27"/>
      <c r="C112" s="28"/>
      <c r="D112" s="24"/>
      <c r="E112" s="24"/>
      <c r="F112" s="24"/>
      <c r="G112" s="28"/>
      <c r="H112" s="28"/>
      <c r="I112" s="24"/>
      <c r="J112" s="24"/>
      <c r="K112" s="29" t="str">
        <f aca="false">IF($A112="","",IF(OR($C112="Decision",$C112="Conflict"),IF(COUNTIFS($I$2:$I$1001,$A112,$C$2:$C$1001,"Resolved")=0,"Open","Closed"),IF(AND($H112="Unconfirmed",OR($C112="New",$C112="Know")),IF(COUNTIFS($I$2:$I$1001,$A112,$C$2:$C$1001,"Confirmed")=0,"Unconfirmed","Confirmed"),"Logged")))</f>
        <v/>
      </c>
      <c r="L112" s="29" t="str">
        <f aca="false">IF($A112="","",AsOf-$B112)</f>
        <v/>
      </c>
      <c r="M112" s="29" t="str">
        <f aca="false">IF($K112="Open",IF($C112="Conflict","Critical",IF($L112&gt;=DecisionCritical,"Critical",IF($L112&gt;=DecisionWarn,"Warning","On track"))),IF($K112="Unconfirmed",IF($L112&gt;=UnconfirmedWarn,"Warning","On track"),""))</f>
        <v/>
      </c>
      <c r="N112" s="29" t="str">
        <f aca="false">IF($M112="","",IF($M112="Critical",3000,IF($M112="Warning",2000,1000))+$L112+ROW()/100000)</f>
        <v/>
      </c>
      <c r="O112" s="29" t="str">
        <f aca="false">IF($K112="Open",IF($C112="Conflict","decide "&amp;$A112&amp;": &lt;which version stands&gt;","decide "&amp;$A112&amp;": &lt;outcome&gt;"),IF($K112="Unconfirmed","confirm "&amp;$A112,""))</f>
        <v/>
      </c>
    </row>
    <row r="113" customFormat="false" ht="15" hidden="false" customHeight="false" outlineLevel="0" collapsed="false">
      <c r="A113" s="24"/>
      <c r="B113" s="27"/>
      <c r="C113" s="28"/>
      <c r="D113" s="24"/>
      <c r="E113" s="24"/>
      <c r="F113" s="24"/>
      <c r="G113" s="28"/>
      <c r="H113" s="28"/>
      <c r="I113" s="24"/>
      <c r="J113" s="24"/>
      <c r="K113" s="29" t="str">
        <f aca="false">IF($A113="","",IF(OR($C113="Decision",$C113="Conflict"),IF(COUNTIFS($I$2:$I$1001,$A113,$C$2:$C$1001,"Resolved")=0,"Open","Closed"),IF(AND($H113="Unconfirmed",OR($C113="New",$C113="Know")),IF(COUNTIFS($I$2:$I$1001,$A113,$C$2:$C$1001,"Confirmed")=0,"Unconfirmed","Confirmed"),"Logged")))</f>
        <v/>
      </c>
      <c r="L113" s="29" t="str">
        <f aca="false">IF($A113="","",AsOf-$B113)</f>
        <v/>
      </c>
      <c r="M113" s="29" t="str">
        <f aca="false">IF($K113="Open",IF($C113="Conflict","Critical",IF($L113&gt;=DecisionCritical,"Critical",IF($L113&gt;=DecisionWarn,"Warning","On track"))),IF($K113="Unconfirmed",IF($L113&gt;=UnconfirmedWarn,"Warning","On track"),""))</f>
        <v/>
      </c>
      <c r="N113" s="29" t="str">
        <f aca="false">IF($M113="","",IF($M113="Critical",3000,IF($M113="Warning",2000,1000))+$L113+ROW()/100000)</f>
        <v/>
      </c>
      <c r="O113" s="29" t="str">
        <f aca="false">IF($K113="Open",IF($C113="Conflict","decide "&amp;$A113&amp;": &lt;which version stands&gt;","decide "&amp;$A113&amp;": &lt;outcome&gt;"),IF($K113="Unconfirmed","confirm "&amp;$A113,""))</f>
        <v/>
      </c>
    </row>
    <row r="114" customFormat="false" ht="15" hidden="false" customHeight="false" outlineLevel="0" collapsed="false">
      <c r="A114" s="24"/>
      <c r="B114" s="27"/>
      <c r="C114" s="28"/>
      <c r="D114" s="24"/>
      <c r="E114" s="24"/>
      <c r="F114" s="24"/>
      <c r="G114" s="28"/>
      <c r="H114" s="28"/>
      <c r="I114" s="24"/>
      <c r="J114" s="24"/>
      <c r="K114" s="29" t="str">
        <f aca="false">IF($A114="","",IF(OR($C114="Decision",$C114="Conflict"),IF(COUNTIFS($I$2:$I$1001,$A114,$C$2:$C$1001,"Resolved")=0,"Open","Closed"),IF(AND($H114="Unconfirmed",OR($C114="New",$C114="Know")),IF(COUNTIFS($I$2:$I$1001,$A114,$C$2:$C$1001,"Confirmed")=0,"Unconfirmed","Confirmed"),"Logged")))</f>
        <v/>
      </c>
      <c r="L114" s="29" t="str">
        <f aca="false">IF($A114="","",AsOf-$B114)</f>
        <v/>
      </c>
      <c r="M114" s="29" t="str">
        <f aca="false">IF($K114="Open",IF($C114="Conflict","Critical",IF($L114&gt;=DecisionCritical,"Critical",IF($L114&gt;=DecisionWarn,"Warning","On track"))),IF($K114="Unconfirmed",IF($L114&gt;=UnconfirmedWarn,"Warning","On track"),""))</f>
        <v/>
      </c>
      <c r="N114" s="29" t="str">
        <f aca="false">IF($M114="","",IF($M114="Critical",3000,IF($M114="Warning",2000,1000))+$L114+ROW()/100000)</f>
        <v/>
      </c>
      <c r="O114" s="29" t="str">
        <f aca="false">IF($K114="Open",IF($C114="Conflict","decide "&amp;$A114&amp;": &lt;which version stands&gt;","decide "&amp;$A114&amp;": &lt;outcome&gt;"),IF($K114="Unconfirmed","confirm "&amp;$A114,""))</f>
        <v/>
      </c>
    </row>
    <row r="115" customFormat="false" ht="15" hidden="false" customHeight="false" outlineLevel="0" collapsed="false">
      <c r="A115" s="24"/>
      <c r="B115" s="27"/>
      <c r="C115" s="28"/>
      <c r="D115" s="24"/>
      <c r="E115" s="24"/>
      <c r="F115" s="24"/>
      <c r="G115" s="28"/>
      <c r="H115" s="28"/>
      <c r="I115" s="24"/>
      <c r="J115" s="24"/>
      <c r="K115" s="29" t="str">
        <f aca="false">IF($A115="","",IF(OR($C115="Decision",$C115="Conflict"),IF(COUNTIFS($I$2:$I$1001,$A115,$C$2:$C$1001,"Resolved")=0,"Open","Closed"),IF(AND($H115="Unconfirmed",OR($C115="New",$C115="Know")),IF(COUNTIFS($I$2:$I$1001,$A115,$C$2:$C$1001,"Confirmed")=0,"Unconfirmed","Confirmed"),"Logged")))</f>
        <v/>
      </c>
      <c r="L115" s="29" t="str">
        <f aca="false">IF($A115="","",AsOf-$B115)</f>
        <v/>
      </c>
      <c r="M115" s="29" t="str">
        <f aca="false">IF($K115="Open",IF($C115="Conflict","Critical",IF($L115&gt;=DecisionCritical,"Critical",IF($L115&gt;=DecisionWarn,"Warning","On track"))),IF($K115="Unconfirmed",IF($L115&gt;=UnconfirmedWarn,"Warning","On track"),""))</f>
        <v/>
      </c>
      <c r="N115" s="29" t="str">
        <f aca="false">IF($M115="","",IF($M115="Critical",3000,IF($M115="Warning",2000,1000))+$L115+ROW()/100000)</f>
        <v/>
      </c>
      <c r="O115" s="29" t="str">
        <f aca="false">IF($K115="Open",IF($C115="Conflict","decide "&amp;$A115&amp;": &lt;which version stands&gt;","decide "&amp;$A115&amp;": &lt;outcome&gt;"),IF($K115="Unconfirmed","confirm "&amp;$A115,""))</f>
        <v/>
      </c>
    </row>
    <row r="116" customFormat="false" ht="15" hidden="false" customHeight="false" outlineLevel="0" collapsed="false">
      <c r="A116" s="24"/>
      <c r="B116" s="27"/>
      <c r="C116" s="28"/>
      <c r="D116" s="24"/>
      <c r="E116" s="24"/>
      <c r="F116" s="24"/>
      <c r="G116" s="28"/>
      <c r="H116" s="28"/>
      <c r="I116" s="24"/>
      <c r="J116" s="24"/>
      <c r="K116" s="29" t="str">
        <f aca="false">IF($A116="","",IF(OR($C116="Decision",$C116="Conflict"),IF(COUNTIFS($I$2:$I$1001,$A116,$C$2:$C$1001,"Resolved")=0,"Open","Closed"),IF(AND($H116="Unconfirmed",OR($C116="New",$C116="Know")),IF(COUNTIFS($I$2:$I$1001,$A116,$C$2:$C$1001,"Confirmed")=0,"Unconfirmed","Confirmed"),"Logged")))</f>
        <v/>
      </c>
      <c r="L116" s="29" t="str">
        <f aca="false">IF($A116="","",AsOf-$B116)</f>
        <v/>
      </c>
      <c r="M116" s="29" t="str">
        <f aca="false">IF($K116="Open",IF($C116="Conflict","Critical",IF($L116&gt;=DecisionCritical,"Critical",IF($L116&gt;=DecisionWarn,"Warning","On track"))),IF($K116="Unconfirmed",IF($L116&gt;=UnconfirmedWarn,"Warning","On track"),""))</f>
        <v/>
      </c>
      <c r="N116" s="29" t="str">
        <f aca="false">IF($M116="","",IF($M116="Critical",3000,IF($M116="Warning",2000,1000))+$L116+ROW()/100000)</f>
        <v/>
      </c>
      <c r="O116" s="29" t="str">
        <f aca="false">IF($K116="Open",IF($C116="Conflict","decide "&amp;$A116&amp;": &lt;which version stands&gt;","decide "&amp;$A116&amp;": &lt;outcome&gt;"),IF($K116="Unconfirmed","confirm "&amp;$A116,""))</f>
        <v/>
      </c>
    </row>
    <row r="117" customFormat="false" ht="15" hidden="false" customHeight="false" outlineLevel="0" collapsed="false">
      <c r="A117" s="24"/>
      <c r="B117" s="27"/>
      <c r="C117" s="28"/>
      <c r="D117" s="24"/>
      <c r="E117" s="24"/>
      <c r="F117" s="24"/>
      <c r="G117" s="28"/>
      <c r="H117" s="28"/>
      <c r="I117" s="24"/>
      <c r="J117" s="24"/>
      <c r="K117" s="29" t="str">
        <f aca="false">IF($A117="","",IF(OR($C117="Decision",$C117="Conflict"),IF(COUNTIFS($I$2:$I$1001,$A117,$C$2:$C$1001,"Resolved")=0,"Open","Closed"),IF(AND($H117="Unconfirmed",OR($C117="New",$C117="Know")),IF(COUNTIFS($I$2:$I$1001,$A117,$C$2:$C$1001,"Confirmed")=0,"Unconfirmed","Confirmed"),"Logged")))</f>
        <v/>
      </c>
      <c r="L117" s="29" t="str">
        <f aca="false">IF($A117="","",AsOf-$B117)</f>
        <v/>
      </c>
      <c r="M117" s="29" t="str">
        <f aca="false">IF($K117="Open",IF($C117="Conflict","Critical",IF($L117&gt;=DecisionCritical,"Critical",IF($L117&gt;=DecisionWarn,"Warning","On track"))),IF($K117="Unconfirmed",IF($L117&gt;=UnconfirmedWarn,"Warning","On track"),""))</f>
        <v/>
      </c>
      <c r="N117" s="29" t="str">
        <f aca="false">IF($M117="","",IF($M117="Critical",3000,IF($M117="Warning",2000,1000))+$L117+ROW()/100000)</f>
        <v/>
      </c>
      <c r="O117" s="29" t="str">
        <f aca="false">IF($K117="Open",IF($C117="Conflict","decide "&amp;$A117&amp;": &lt;which version stands&gt;","decide "&amp;$A117&amp;": &lt;outcome&gt;"),IF($K117="Unconfirmed","confirm "&amp;$A117,""))</f>
        <v/>
      </c>
    </row>
    <row r="118" customFormat="false" ht="15" hidden="false" customHeight="false" outlineLevel="0" collapsed="false">
      <c r="A118" s="24"/>
      <c r="B118" s="27"/>
      <c r="C118" s="28"/>
      <c r="D118" s="24"/>
      <c r="E118" s="24"/>
      <c r="F118" s="24"/>
      <c r="G118" s="28"/>
      <c r="H118" s="28"/>
      <c r="I118" s="24"/>
      <c r="J118" s="24"/>
      <c r="K118" s="29" t="str">
        <f aca="false">IF($A118="","",IF(OR($C118="Decision",$C118="Conflict"),IF(COUNTIFS($I$2:$I$1001,$A118,$C$2:$C$1001,"Resolved")=0,"Open","Closed"),IF(AND($H118="Unconfirmed",OR($C118="New",$C118="Know")),IF(COUNTIFS($I$2:$I$1001,$A118,$C$2:$C$1001,"Confirmed")=0,"Unconfirmed","Confirmed"),"Logged")))</f>
        <v/>
      </c>
      <c r="L118" s="29" t="str">
        <f aca="false">IF($A118="","",AsOf-$B118)</f>
        <v/>
      </c>
      <c r="M118" s="29" t="str">
        <f aca="false">IF($K118="Open",IF($C118="Conflict","Critical",IF($L118&gt;=DecisionCritical,"Critical",IF($L118&gt;=DecisionWarn,"Warning","On track"))),IF($K118="Unconfirmed",IF($L118&gt;=UnconfirmedWarn,"Warning","On track"),""))</f>
        <v/>
      </c>
      <c r="N118" s="29" t="str">
        <f aca="false">IF($M118="","",IF($M118="Critical",3000,IF($M118="Warning",2000,1000))+$L118+ROW()/100000)</f>
        <v/>
      </c>
      <c r="O118" s="29" t="str">
        <f aca="false">IF($K118="Open",IF($C118="Conflict","decide "&amp;$A118&amp;": &lt;which version stands&gt;","decide "&amp;$A118&amp;": &lt;outcome&gt;"),IF($K118="Unconfirmed","confirm "&amp;$A118,""))</f>
        <v/>
      </c>
    </row>
    <row r="119" customFormat="false" ht="15" hidden="false" customHeight="false" outlineLevel="0" collapsed="false">
      <c r="A119" s="24"/>
      <c r="B119" s="27"/>
      <c r="C119" s="28"/>
      <c r="D119" s="24"/>
      <c r="E119" s="24"/>
      <c r="F119" s="24"/>
      <c r="G119" s="28"/>
      <c r="H119" s="28"/>
      <c r="I119" s="24"/>
      <c r="J119" s="24"/>
      <c r="K119" s="29" t="str">
        <f aca="false">IF($A119="","",IF(OR($C119="Decision",$C119="Conflict"),IF(COUNTIFS($I$2:$I$1001,$A119,$C$2:$C$1001,"Resolved")=0,"Open","Closed"),IF(AND($H119="Unconfirmed",OR($C119="New",$C119="Know")),IF(COUNTIFS($I$2:$I$1001,$A119,$C$2:$C$1001,"Confirmed")=0,"Unconfirmed","Confirmed"),"Logged")))</f>
        <v/>
      </c>
      <c r="L119" s="29" t="str">
        <f aca="false">IF($A119="","",AsOf-$B119)</f>
        <v/>
      </c>
      <c r="M119" s="29" t="str">
        <f aca="false">IF($K119="Open",IF($C119="Conflict","Critical",IF($L119&gt;=DecisionCritical,"Critical",IF($L119&gt;=DecisionWarn,"Warning","On track"))),IF($K119="Unconfirmed",IF($L119&gt;=UnconfirmedWarn,"Warning","On track"),""))</f>
        <v/>
      </c>
      <c r="N119" s="29" t="str">
        <f aca="false">IF($M119="","",IF($M119="Critical",3000,IF($M119="Warning",2000,1000))+$L119+ROW()/100000)</f>
        <v/>
      </c>
      <c r="O119" s="29" t="str">
        <f aca="false">IF($K119="Open",IF($C119="Conflict","decide "&amp;$A119&amp;": &lt;which version stands&gt;","decide "&amp;$A119&amp;": &lt;outcome&gt;"),IF($K119="Unconfirmed","confirm "&amp;$A119,""))</f>
        <v/>
      </c>
    </row>
    <row r="120" customFormat="false" ht="15" hidden="false" customHeight="false" outlineLevel="0" collapsed="false">
      <c r="A120" s="24"/>
      <c r="B120" s="27"/>
      <c r="C120" s="28"/>
      <c r="D120" s="24"/>
      <c r="E120" s="24"/>
      <c r="F120" s="24"/>
      <c r="G120" s="28"/>
      <c r="H120" s="28"/>
      <c r="I120" s="24"/>
      <c r="J120" s="24"/>
      <c r="K120" s="29" t="str">
        <f aca="false">IF($A120="","",IF(OR($C120="Decision",$C120="Conflict"),IF(COUNTIFS($I$2:$I$1001,$A120,$C$2:$C$1001,"Resolved")=0,"Open","Closed"),IF(AND($H120="Unconfirmed",OR($C120="New",$C120="Know")),IF(COUNTIFS($I$2:$I$1001,$A120,$C$2:$C$1001,"Confirmed")=0,"Unconfirmed","Confirmed"),"Logged")))</f>
        <v/>
      </c>
      <c r="L120" s="29" t="str">
        <f aca="false">IF($A120="","",AsOf-$B120)</f>
        <v/>
      </c>
      <c r="M120" s="29" t="str">
        <f aca="false">IF($K120="Open",IF($C120="Conflict","Critical",IF($L120&gt;=DecisionCritical,"Critical",IF($L120&gt;=DecisionWarn,"Warning","On track"))),IF($K120="Unconfirmed",IF($L120&gt;=UnconfirmedWarn,"Warning","On track"),""))</f>
        <v/>
      </c>
      <c r="N120" s="29" t="str">
        <f aca="false">IF($M120="","",IF($M120="Critical",3000,IF($M120="Warning",2000,1000))+$L120+ROW()/100000)</f>
        <v/>
      </c>
      <c r="O120" s="29" t="str">
        <f aca="false">IF($K120="Open",IF($C120="Conflict","decide "&amp;$A120&amp;": &lt;which version stands&gt;","decide "&amp;$A120&amp;": &lt;outcome&gt;"),IF($K120="Unconfirmed","confirm "&amp;$A120,""))</f>
        <v/>
      </c>
    </row>
    <row r="121" customFormat="false" ht="15" hidden="false" customHeight="false" outlineLevel="0" collapsed="false">
      <c r="A121" s="24"/>
      <c r="B121" s="27"/>
      <c r="C121" s="28"/>
      <c r="D121" s="24"/>
      <c r="E121" s="24"/>
      <c r="F121" s="24"/>
      <c r="G121" s="28"/>
      <c r="H121" s="28"/>
      <c r="I121" s="24"/>
      <c r="J121" s="24"/>
      <c r="K121" s="29" t="str">
        <f aca="false">IF($A121="","",IF(OR($C121="Decision",$C121="Conflict"),IF(COUNTIFS($I$2:$I$1001,$A121,$C$2:$C$1001,"Resolved")=0,"Open","Closed"),IF(AND($H121="Unconfirmed",OR($C121="New",$C121="Know")),IF(COUNTIFS($I$2:$I$1001,$A121,$C$2:$C$1001,"Confirmed")=0,"Unconfirmed","Confirmed"),"Logged")))</f>
        <v/>
      </c>
      <c r="L121" s="29" t="str">
        <f aca="false">IF($A121="","",AsOf-$B121)</f>
        <v/>
      </c>
      <c r="M121" s="29" t="str">
        <f aca="false">IF($K121="Open",IF($C121="Conflict","Critical",IF($L121&gt;=DecisionCritical,"Critical",IF($L121&gt;=DecisionWarn,"Warning","On track"))),IF($K121="Unconfirmed",IF($L121&gt;=UnconfirmedWarn,"Warning","On track"),""))</f>
        <v/>
      </c>
      <c r="N121" s="29" t="str">
        <f aca="false">IF($M121="","",IF($M121="Critical",3000,IF($M121="Warning",2000,1000))+$L121+ROW()/100000)</f>
        <v/>
      </c>
      <c r="O121" s="29" t="str">
        <f aca="false">IF($K121="Open",IF($C121="Conflict","decide "&amp;$A121&amp;": &lt;which version stands&gt;","decide "&amp;$A121&amp;": &lt;outcome&gt;"),IF($K121="Unconfirmed","confirm "&amp;$A121,""))</f>
        <v/>
      </c>
    </row>
    <row r="122" customFormat="false" ht="15" hidden="false" customHeight="false" outlineLevel="0" collapsed="false">
      <c r="A122" s="24"/>
      <c r="B122" s="27"/>
      <c r="C122" s="28"/>
      <c r="D122" s="24"/>
      <c r="E122" s="24"/>
      <c r="F122" s="24"/>
      <c r="G122" s="28"/>
      <c r="H122" s="28"/>
      <c r="I122" s="24"/>
      <c r="J122" s="24"/>
      <c r="K122" s="29" t="str">
        <f aca="false">IF($A122="","",IF(OR($C122="Decision",$C122="Conflict"),IF(COUNTIFS($I$2:$I$1001,$A122,$C$2:$C$1001,"Resolved")=0,"Open","Closed"),IF(AND($H122="Unconfirmed",OR($C122="New",$C122="Know")),IF(COUNTIFS($I$2:$I$1001,$A122,$C$2:$C$1001,"Confirmed")=0,"Unconfirmed","Confirmed"),"Logged")))</f>
        <v/>
      </c>
      <c r="L122" s="29" t="str">
        <f aca="false">IF($A122="","",AsOf-$B122)</f>
        <v/>
      </c>
      <c r="M122" s="29" t="str">
        <f aca="false">IF($K122="Open",IF($C122="Conflict","Critical",IF($L122&gt;=DecisionCritical,"Critical",IF($L122&gt;=DecisionWarn,"Warning","On track"))),IF($K122="Unconfirmed",IF($L122&gt;=UnconfirmedWarn,"Warning","On track"),""))</f>
        <v/>
      </c>
      <c r="N122" s="29" t="str">
        <f aca="false">IF($M122="","",IF($M122="Critical",3000,IF($M122="Warning",2000,1000))+$L122+ROW()/100000)</f>
        <v/>
      </c>
      <c r="O122" s="29" t="str">
        <f aca="false">IF($K122="Open",IF($C122="Conflict","decide "&amp;$A122&amp;": &lt;which version stands&gt;","decide "&amp;$A122&amp;": &lt;outcome&gt;"),IF($K122="Unconfirmed","confirm "&amp;$A122,""))</f>
        <v/>
      </c>
    </row>
    <row r="123" customFormat="false" ht="15" hidden="false" customHeight="false" outlineLevel="0" collapsed="false">
      <c r="A123" s="24"/>
      <c r="B123" s="27"/>
      <c r="C123" s="28"/>
      <c r="D123" s="24"/>
      <c r="E123" s="24"/>
      <c r="F123" s="24"/>
      <c r="G123" s="28"/>
      <c r="H123" s="28"/>
      <c r="I123" s="24"/>
      <c r="J123" s="24"/>
      <c r="K123" s="29" t="str">
        <f aca="false">IF($A123="","",IF(OR($C123="Decision",$C123="Conflict"),IF(COUNTIFS($I$2:$I$1001,$A123,$C$2:$C$1001,"Resolved")=0,"Open","Closed"),IF(AND($H123="Unconfirmed",OR($C123="New",$C123="Know")),IF(COUNTIFS($I$2:$I$1001,$A123,$C$2:$C$1001,"Confirmed")=0,"Unconfirmed","Confirmed"),"Logged")))</f>
        <v/>
      </c>
      <c r="L123" s="29" t="str">
        <f aca="false">IF($A123="","",AsOf-$B123)</f>
        <v/>
      </c>
      <c r="M123" s="29" t="str">
        <f aca="false">IF($K123="Open",IF($C123="Conflict","Critical",IF($L123&gt;=DecisionCritical,"Critical",IF($L123&gt;=DecisionWarn,"Warning","On track"))),IF($K123="Unconfirmed",IF($L123&gt;=UnconfirmedWarn,"Warning","On track"),""))</f>
        <v/>
      </c>
      <c r="N123" s="29" t="str">
        <f aca="false">IF($M123="","",IF($M123="Critical",3000,IF($M123="Warning",2000,1000))+$L123+ROW()/100000)</f>
        <v/>
      </c>
      <c r="O123" s="29" t="str">
        <f aca="false">IF($K123="Open",IF($C123="Conflict","decide "&amp;$A123&amp;": &lt;which version stands&gt;","decide "&amp;$A123&amp;": &lt;outcome&gt;"),IF($K123="Unconfirmed","confirm "&amp;$A123,""))</f>
        <v/>
      </c>
    </row>
    <row r="124" customFormat="false" ht="15" hidden="false" customHeight="false" outlineLevel="0" collapsed="false">
      <c r="A124" s="24"/>
      <c r="B124" s="27"/>
      <c r="C124" s="28"/>
      <c r="D124" s="24"/>
      <c r="E124" s="24"/>
      <c r="F124" s="24"/>
      <c r="G124" s="28"/>
      <c r="H124" s="28"/>
      <c r="I124" s="24"/>
      <c r="J124" s="24"/>
      <c r="K124" s="29" t="str">
        <f aca="false">IF($A124="","",IF(OR($C124="Decision",$C124="Conflict"),IF(COUNTIFS($I$2:$I$1001,$A124,$C$2:$C$1001,"Resolved")=0,"Open","Closed"),IF(AND($H124="Unconfirmed",OR($C124="New",$C124="Know")),IF(COUNTIFS($I$2:$I$1001,$A124,$C$2:$C$1001,"Confirmed")=0,"Unconfirmed","Confirmed"),"Logged")))</f>
        <v/>
      </c>
      <c r="L124" s="29" t="str">
        <f aca="false">IF($A124="","",AsOf-$B124)</f>
        <v/>
      </c>
      <c r="M124" s="29" t="str">
        <f aca="false">IF($K124="Open",IF($C124="Conflict","Critical",IF($L124&gt;=DecisionCritical,"Critical",IF($L124&gt;=DecisionWarn,"Warning","On track"))),IF($K124="Unconfirmed",IF($L124&gt;=UnconfirmedWarn,"Warning","On track"),""))</f>
        <v/>
      </c>
      <c r="N124" s="29" t="str">
        <f aca="false">IF($M124="","",IF($M124="Critical",3000,IF($M124="Warning",2000,1000))+$L124+ROW()/100000)</f>
        <v/>
      </c>
      <c r="O124" s="29" t="str">
        <f aca="false">IF($K124="Open",IF($C124="Conflict","decide "&amp;$A124&amp;": &lt;which version stands&gt;","decide "&amp;$A124&amp;": &lt;outcome&gt;"),IF($K124="Unconfirmed","confirm "&amp;$A124,""))</f>
        <v/>
      </c>
    </row>
    <row r="125" customFormat="false" ht="15" hidden="false" customHeight="false" outlineLevel="0" collapsed="false">
      <c r="A125" s="24"/>
      <c r="B125" s="27"/>
      <c r="C125" s="28"/>
      <c r="D125" s="24"/>
      <c r="E125" s="24"/>
      <c r="F125" s="24"/>
      <c r="G125" s="28"/>
      <c r="H125" s="28"/>
      <c r="I125" s="24"/>
      <c r="J125" s="24"/>
      <c r="K125" s="29" t="str">
        <f aca="false">IF($A125="","",IF(OR($C125="Decision",$C125="Conflict"),IF(COUNTIFS($I$2:$I$1001,$A125,$C$2:$C$1001,"Resolved")=0,"Open","Closed"),IF(AND($H125="Unconfirmed",OR($C125="New",$C125="Know")),IF(COUNTIFS($I$2:$I$1001,$A125,$C$2:$C$1001,"Confirmed")=0,"Unconfirmed","Confirmed"),"Logged")))</f>
        <v/>
      </c>
      <c r="L125" s="29" t="str">
        <f aca="false">IF($A125="","",AsOf-$B125)</f>
        <v/>
      </c>
      <c r="M125" s="29" t="str">
        <f aca="false">IF($K125="Open",IF($C125="Conflict","Critical",IF($L125&gt;=DecisionCritical,"Critical",IF($L125&gt;=DecisionWarn,"Warning","On track"))),IF($K125="Unconfirmed",IF($L125&gt;=UnconfirmedWarn,"Warning","On track"),""))</f>
        <v/>
      </c>
      <c r="N125" s="29" t="str">
        <f aca="false">IF($M125="","",IF($M125="Critical",3000,IF($M125="Warning",2000,1000))+$L125+ROW()/100000)</f>
        <v/>
      </c>
      <c r="O125" s="29" t="str">
        <f aca="false">IF($K125="Open",IF($C125="Conflict","decide "&amp;$A125&amp;": &lt;which version stands&gt;","decide "&amp;$A125&amp;": &lt;outcome&gt;"),IF($K125="Unconfirmed","confirm "&amp;$A125,""))</f>
        <v/>
      </c>
    </row>
    <row r="126" customFormat="false" ht="15" hidden="false" customHeight="false" outlineLevel="0" collapsed="false">
      <c r="A126" s="24"/>
      <c r="B126" s="27"/>
      <c r="C126" s="28"/>
      <c r="D126" s="24"/>
      <c r="E126" s="24"/>
      <c r="F126" s="24"/>
      <c r="G126" s="28"/>
      <c r="H126" s="28"/>
      <c r="I126" s="24"/>
      <c r="J126" s="24"/>
      <c r="K126" s="29" t="str">
        <f aca="false">IF($A126="","",IF(OR($C126="Decision",$C126="Conflict"),IF(COUNTIFS($I$2:$I$1001,$A126,$C$2:$C$1001,"Resolved")=0,"Open","Closed"),IF(AND($H126="Unconfirmed",OR($C126="New",$C126="Know")),IF(COUNTIFS($I$2:$I$1001,$A126,$C$2:$C$1001,"Confirmed")=0,"Unconfirmed","Confirmed"),"Logged")))</f>
        <v/>
      </c>
      <c r="L126" s="29" t="str">
        <f aca="false">IF($A126="","",AsOf-$B126)</f>
        <v/>
      </c>
      <c r="M126" s="29" t="str">
        <f aca="false">IF($K126="Open",IF($C126="Conflict","Critical",IF($L126&gt;=DecisionCritical,"Critical",IF($L126&gt;=DecisionWarn,"Warning","On track"))),IF($K126="Unconfirmed",IF($L126&gt;=UnconfirmedWarn,"Warning","On track"),""))</f>
        <v/>
      </c>
      <c r="N126" s="29" t="str">
        <f aca="false">IF($M126="","",IF($M126="Critical",3000,IF($M126="Warning",2000,1000))+$L126+ROW()/100000)</f>
        <v/>
      </c>
      <c r="O126" s="29" t="str">
        <f aca="false">IF($K126="Open",IF($C126="Conflict","decide "&amp;$A126&amp;": &lt;which version stands&gt;","decide "&amp;$A126&amp;": &lt;outcome&gt;"),IF($K126="Unconfirmed","confirm "&amp;$A126,""))</f>
        <v/>
      </c>
    </row>
    <row r="127" customFormat="false" ht="15" hidden="false" customHeight="false" outlineLevel="0" collapsed="false">
      <c r="A127" s="24"/>
      <c r="B127" s="27"/>
      <c r="C127" s="28"/>
      <c r="D127" s="24"/>
      <c r="E127" s="24"/>
      <c r="F127" s="24"/>
      <c r="G127" s="28"/>
      <c r="H127" s="28"/>
      <c r="I127" s="24"/>
      <c r="J127" s="24"/>
      <c r="K127" s="29" t="str">
        <f aca="false">IF($A127="","",IF(OR($C127="Decision",$C127="Conflict"),IF(COUNTIFS($I$2:$I$1001,$A127,$C$2:$C$1001,"Resolved")=0,"Open","Closed"),IF(AND($H127="Unconfirmed",OR($C127="New",$C127="Know")),IF(COUNTIFS($I$2:$I$1001,$A127,$C$2:$C$1001,"Confirmed")=0,"Unconfirmed","Confirmed"),"Logged")))</f>
        <v/>
      </c>
      <c r="L127" s="29" t="str">
        <f aca="false">IF($A127="","",AsOf-$B127)</f>
        <v/>
      </c>
      <c r="M127" s="29" t="str">
        <f aca="false">IF($K127="Open",IF($C127="Conflict","Critical",IF($L127&gt;=DecisionCritical,"Critical",IF($L127&gt;=DecisionWarn,"Warning","On track"))),IF($K127="Unconfirmed",IF($L127&gt;=UnconfirmedWarn,"Warning","On track"),""))</f>
        <v/>
      </c>
      <c r="N127" s="29" t="str">
        <f aca="false">IF($M127="","",IF($M127="Critical",3000,IF($M127="Warning",2000,1000))+$L127+ROW()/100000)</f>
        <v/>
      </c>
      <c r="O127" s="29" t="str">
        <f aca="false">IF($K127="Open",IF($C127="Conflict","decide "&amp;$A127&amp;": &lt;which version stands&gt;","decide "&amp;$A127&amp;": &lt;outcome&gt;"),IF($K127="Unconfirmed","confirm "&amp;$A127,""))</f>
        <v/>
      </c>
    </row>
    <row r="128" customFormat="false" ht="15" hidden="false" customHeight="false" outlineLevel="0" collapsed="false">
      <c r="A128" s="24"/>
      <c r="B128" s="27"/>
      <c r="C128" s="28"/>
      <c r="D128" s="24"/>
      <c r="E128" s="24"/>
      <c r="F128" s="24"/>
      <c r="G128" s="28"/>
      <c r="H128" s="28"/>
      <c r="I128" s="24"/>
      <c r="J128" s="24"/>
      <c r="K128" s="29" t="str">
        <f aca="false">IF($A128="","",IF(OR($C128="Decision",$C128="Conflict"),IF(COUNTIFS($I$2:$I$1001,$A128,$C$2:$C$1001,"Resolved")=0,"Open","Closed"),IF(AND($H128="Unconfirmed",OR($C128="New",$C128="Know")),IF(COUNTIFS($I$2:$I$1001,$A128,$C$2:$C$1001,"Confirmed")=0,"Unconfirmed","Confirmed"),"Logged")))</f>
        <v/>
      </c>
      <c r="L128" s="29" t="str">
        <f aca="false">IF($A128="","",AsOf-$B128)</f>
        <v/>
      </c>
      <c r="M128" s="29" t="str">
        <f aca="false">IF($K128="Open",IF($C128="Conflict","Critical",IF($L128&gt;=DecisionCritical,"Critical",IF($L128&gt;=DecisionWarn,"Warning","On track"))),IF($K128="Unconfirmed",IF($L128&gt;=UnconfirmedWarn,"Warning","On track"),""))</f>
        <v/>
      </c>
      <c r="N128" s="29" t="str">
        <f aca="false">IF($M128="","",IF($M128="Critical",3000,IF($M128="Warning",2000,1000))+$L128+ROW()/100000)</f>
        <v/>
      </c>
      <c r="O128" s="29" t="str">
        <f aca="false">IF($K128="Open",IF($C128="Conflict","decide "&amp;$A128&amp;": &lt;which version stands&gt;","decide "&amp;$A128&amp;": &lt;outcome&gt;"),IF($K128="Unconfirmed","confirm "&amp;$A128,""))</f>
        <v/>
      </c>
    </row>
    <row r="129" customFormat="false" ht="15" hidden="false" customHeight="false" outlineLevel="0" collapsed="false">
      <c r="A129" s="24"/>
      <c r="B129" s="27"/>
      <c r="C129" s="28"/>
      <c r="D129" s="24"/>
      <c r="E129" s="24"/>
      <c r="F129" s="24"/>
      <c r="G129" s="28"/>
      <c r="H129" s="28"/>
      <c r="I129" s="24"/>
      <c r="J129" s="24"/>
      <c r="K129" s="29" t="str">
        <f aca="false">IF($A129="","",IF(OR($C129="Decision",$C129="Conflict"),IF(COUNTIFS($I$2:$I$1001,$A129,$C$2:$C$1001,"Resolved")=0,"Open","Closed"),IF(AND($H129="Unconfirmed",OR($C129="New",$C129="Know")),IF(COUNTIFS($I$2:$I$1001,$A129,$C$2:$C$1001,"Confirmed")=0,"Unconfirmed","Confirmed"),"Logged")))</f>
        <v/>
      </c>
      <c r="L129" s="29" t="str">
        <f aca="false">IF($A129="","",AsOf-$B129)</f>
        <v/>
      </c>
      <c r="M129" s="29" t="str">
        <f aca="false">IF($K129="Open",IF($C129="Conflict","Critical",IF($L129&gt;=DecisionCritical,"Critical",IF($L129&gt;=DecisionWarn,"Warning","On track"))),IF($K129="Unconfirmed",IF($L129&gt;=UnconfirmedWarn,"Warning","On track"),""))</f>
        <v/>
      </c>
      <c r="N129" s="29" t="str">
        <f aca="false">IF($M129="","",IF($M129="Critical",3000,IF($M129="Warning",2000,1000))+$L129+ROW()/100000)</f>
        <v/>
      </c>
      <c r="O129" s="29" t="str">
        <f aca="false">IF($K129="Open",IF($C129="Conflict","decide "&amp;$A129&amp;": &lt;which version stands&gt;","decide "&amp;$A129&amp;": &lt;outcome&gt;"),IF($K129="Unconfirmed","confirm "&amp;$A129,""))</f>
        <v/>
      </c>
    </row>
    <row r="130" customFormat="false" ht="15" hidden="false" customHeight="false" outlineLevel="0" collapsed="false">
      <c r="A130" s="24"/>
      <c r="B130" s="27"/>
      <c r="C130" s="28"/>
      <c r="D130" s="24"/>
      <c r="E130" s="24"/>
      <c r="F130" s="24"/>
      <c r="G130" s="28"/>
      <c r="H130" s="28"/>
      <c r="I130" s="24"/>
      <c r="J130" s="24"/>
      <c r="K130" s="29" t="str">
        <f aca="false">IF($A130="","",IF(OR($C130="Decision",$C130="Conflict"),IF(COUNTIFS($I$2:$I$1001,$A130,$C$2:$C$1001,"Resolved")=0,"Open","Closed"),IF(AND($H130="Unconfirmed",OR($C130="New",$C130="Know")),IF(COUNTIFS($I$2:$I$1001,$A130,$C$2:$C$1001,"Confirmed")=0,"Unconfirmed","Confirmed"),"Logged")))</f>
        <v/>
      </c>
      <c r="L130" s="29" t="str">
        <f aca="false">IF($A130="","",AsOf-$B130)</f>
        <v/>
      </c>
      <c r="M130" s="29" t="str">
        <f aca="false">IF($K130="Open",IF($C130="Conflict","Critical",IF($L130&gt;=DecisionCritical,"Critical",IF($L130&gt;=DecisionWarn,"Warning","On track"))),IF($K130="Unconfirmed",IF($L130&gt;=UnconfirmedWarn,"Warning","On track"),""))</f>
        <v/>
      </c>
      <c r="N130" s="29" t="str">
        <f aca="false">IF($M130="","",IF($M130="Critical",3000,IF($M130="Warning",2000,1000))+$L130+ROW()/100000)</f>
        <v/>
      </c>
      <c r="O130" s="29" t="str">
        <f aca="false">IF($K130="Open",IF($C130="Conflict","decide "&amp;$A130&amp;": &lt;which version stands&gt;","decide "&amp;$A130&amp;": &lt;outcome&gt;"),IF($K130="Unconfirmed","confirm "&amp;$A130,""))</f>
        <v/>
      </c>
    </row>
    <row r="131" customFormat="false" ht="15" hidden="false" customHeight="false" outlineLevel="0" collapsed="false">
      <c r="A131" s="24"/>
      <c r="B131" s="27"/>
      <c r="C131" s="28"/>
      <c r="D131" s="24"/>
      <c r="E131" s="24"/>
      <c r="F131" s="24"/>
      <c r="G131" s="28"/>
      <c r="H131" s="28"/>
      <c r="I131" s="24"/>
      <c r="J131" s="24"/>
      <c r="K131" s="29" t="str">
        <f aca="false">IF($A131="","",IF(OR($C131="Decision",$C131="Conflict"),IF(COUNTIFS($I$2:$I$1001,$A131,$C$2:$C$1001,"Resolved")=0,"Open","Closed"),IF(AND($H131="Unconfirmed",OR($C131="New",$C131="Know")),IF(COUNTIFS($I$2:$I$1001,$A131,$C$2:$C$1001,"Confirmed")=0,"Unconfirmed","Confirmed"),"Logged")))</f>
        <v/>
      </c>
      <c r="L131" s="29" t="str">
        <f aca="false">IF($A131="","",AsOf-$B131)</f>
        <v/>
      </c>
      <c r="M131" s="29" t="str">
        <f aca="false">IF($K131="Open",IF($C131="Conflict","Critical",IF($L131&gt;=DecisionCritical,"Critical",IF($L131&gt;=DecisionWarn,"Warning","On track"))),IF($K131="Unconfirmed",IF($L131&gt;=UnconfirmedWarn,"Warning","On track"),""))</f>
        <v/>
      </c>
      <c r="N131" s="29" t="str">
        <f aca="false">IF($M131="","",IF($M131="Critical",3000,IF($M131="Warning",2000,1000))+$L131+ROW()/100000)</f>
        <v/>
      </c>
      <c r="O131" s="29" t="str">
        <f aca="false">IF($K131="Open",IF($C131="Conflict","decide "&amp;$A131&amp;": &lt;which version stands&gt;","decide "&amp;$A131&amp;": &lt;outcome&gt;"),IF($K131="Unconfirmed","confirm "&amp;$A131,""))</f>
        <v/>
      </c>
    </row>
    <row r="132" customFormat="false" ht="15" hidden="false" customHeight="false" outlineLevel="0" collapsed="false">
      <c r="A132" s="24"/>
      <c r="B132" s="27"/>
      <c r="C132" s="28"/>
      <c r="D132" s="24"/>
      <c r="E132" s="24"/>
      <c r="F132" s="24"/>
      <c r="G132" s="28"/>
      <c r="H132" s="28"/>
      <c r="I132" s="24"/>
      <c r="J132" s="24"/>
      <c r="K132" s="29" t="str">
        <f aca="false">IF($A132="","",IF(OR($C132="Decision",$C132="Conflict"),IF(COUNTIFS($I$2:$I$1001,$A132,$C$2:$C$1001,"Resolved")=0,"Open","Closed"),IF(AND($H132="Unconfirmed",OR($C132="New",$C132="Know")),IF(COUNTIFS($I$2:$I$1001,$A132,$C$2:$C$1001,"Confirmed")=0,"Unconfirmed","Confirmed"),"Logged")))</f>
        <v/>
      </c>
      <c r="L132" s="29" t="str">
        <f aca="false">IF($A132="","",AsOf-$B132)</f>
        <v/>
      </c>
      <c r="M132" s="29" t="str">
        <f aca="false">IF($K132="Open",IF($C132="Conflict","Critical",IF($L132&gt;=DecisionCritical,"Critical",IF($L132&gt;=DecisionWarn,"Warning","On track"))),IF($K132="Unconfirmed",IF($L132&gt;=UnconfirmedWarn,"Warning","On track"),""))</f>
        <v/>
      </c>
      <c r="N132" s="29" t="str">
        <f aca="false">IF($M132="","",IF($M132="Critical",3000,IF($M132="Warning",2000,1000))+$L132+ROW()/100000)</f>
        <v/>
      </c>
      <c r="O132" s="29" t="str">
        <f aca="false">IF($K132="Open",IF($C132="Conflict","decide "&amp;$A132&amp;": &lt;which version stands&gt;","decide "&amp;$A132&amp;": &lt;outcome&gt;"),IF($K132="Unconfirmed","confirm "&amp;$A132,""))</f>
        <v/>
      </c>
    </row>
    <row r="133" customFormat="false" ht="15" hidden="false" customHeight="false" outlineLevel="0" collapsed="false">
      <c r="A133" s="24"/>
      <c r="B133" s="27"/>
      <c r="C133" s="28"/>
      <c r="D133" s="24"/>
      <c r="E133" s="24"/>
      <c r="F133" s="24"/>
      <c r="G133" s="28"/>
      <c r="H133" s="28"/>
      <c r="I133" s="24"/>
      <c r="J133" s="24"/>
      <c r="K133" s="29" t="str">
        <f aca="false">IF($A133="","",IF(OR($C133="Decision",$C133="Conflict"),IF(COUNTIFS($I$2:$I$1001,$A133,$C$2:$C$1001,"Resolved")=0,"Open","Closed"),IF(AND($H133="Unconfirmed",OR($C133="New",$C133="Know")),IF(COUNTIFS($I$2:$I$1001,$A133,$C$2:$C$1001,"Confirmed")=0,"Unconfirmed","Confirmed"),"Logged")))</f>
        <v/>
      </c>
      <c r="L133" s="29" t="str">
        <f aca="false">IF($A133="","",AsOf-$B133)</f>
        <v/>
      </c>
      <c r="M133" s="29" t="str">
        <f aca="false">IF($K133="Open",IF($C133="Conflict","Critical",IF($L133&gt;=DecisionCritical,"Critical",IF($L133&gt;=DecisionWarn,"Warning","On track"))),IF($K133="Unconfirmed",IF($L133&gt;=UnconfirmedWarn,"Warning","On track"),""))</f>
        <v/>
      </c>
      <c r="N133" s="29" t="str">
        <f aca="false">IF($M133="","",IF($M133="Critical",3000,IF($M133="Warning",2000,1000))+$L133+ROW()/100000)</f>
        <v/>
      </c>
      <c r="O133" s="29" t="str">
        <f aca="false">IF($K133="Open",IF($C133="Conflict","decide "&amp;$A133&amp;": &lt;which version stands&gt;","decide "&amp;$A133&amp;": &lt;outcome&gt;"),IF($K133="Unconfirmed","confirm "&amp;$A133,""))</f>
        <v/>
      </c>
    </row>
    <row r="134" customFormat="false" ht="15" hidden="false" customHeight="false" outlineLevel="0" collapsed="false">
      <c r="A134" s="24"/>
      <c r="B134" s="27"/>
      <c r="C134" s="28"/>
      <c r="D134" s="24"/>
      <c r="E134" s="24"/>
      <c r="F134" s="24"/>
      <c r="G134" s="28"/>
      <c r="H134" s="28"/>
      <c r="I134" s="24"/>
      <c r="J134" s="24"/>
      <c r="K134" s="29" t="str">
        <f aca="false">IF($A134="","",IF(OR($C134="Decision",$C134="Conflict"),IF(COUNTIFS($I$2:$I$1001,$A134,$C$2:$C$1001,"Resolved")=0,"Open","Closed"),IF(AND($H134="Unconfirmed",OR($C134="New",$C134="Know")),IF(COUNTIFS($I$2:$I$1001,$A134,$C$2:$C$1001,"Confirmed")=0,"Unconfirmed","Confirmed"),"Logged")))</f>
        <v/>
      </c>
      <c r="L134" s="29" t="str">
        <f aca="false">IF($A134="","",AsOf-$B134)</f>
        <v/>
      </c>
      <c r="M134" s="29" t="str">
        <f aca="false">IF($K134="Open",IF($C134="Conflict","Critical",IF($L134&gt;=DecisionCritical,"Critical",IF($L134&gt;=DecisionWarn,"Warning","On track"))),IF($K134="Unconfirmed",IF($L134&gt;=UnconfirmedWarn,"Warning","On track"),""))</f>
        <v/>
      </c>
      <c r="N134" s="29" t="str">
        <f aca="false">IF($M134="","",IF($M134="Critical",3000,IF($M134="Warning",2000,1000))+$L134+ROW()/100000)</f>
        <v/>
      </c>
      <c r="O134" s="29" t="str">
        <f aca="false">IF($K134="Open",IF($C134="Conflict","decide "&amp;$A134&amp;": &lt;which version stands&gt;","decide "&amp;$A134&amp;": &lt;outcome&gt;"),IF($K134="Unconfirmed","confirm "&amp;$A134,""))</f>
        <v/>
      </c>
    </row>
    <row r="135" customFormat="false" ht="15" hidden="false" customHeight="false" outlineLevel="0" collapsed="false">
      <c r="A135" s="24"/>
      <c r="B135" s="27"/>
      <c r="C135" s="28"/>
      <c r="D135" s="24"/>
      <c r="E135" s="24"/>
      <c r="F135" s="24"/>
      <c r="G135" s="28"/>
      <c r="H135" s="28"/>
      <c r="I135" s="24"/>
      <c r="J135" s="24"/>
      <c r="K135" s="29" t="str">
        <f aca="false">IF($A135="","",IF(OR($C135="Decision",$C135="Conflict"),IF(COUNTIFS($I$2:$I$1001,$A135,$C$2:$C$1001,"Resolved")=0,"Open","Closed"),IF(AND($H135="Unconfirmed",OR($C135="New",$C135="Know")),IF(COUNTIFS($I$2:$I$1001,$A135,$C$2:$C$1001,"Confirmed")=0,"Unconfirmed","Confirmed"),"Logged")))</f>
        <v/>
      </c>
      <c r="L135" s="29" t="str">
        <f aca="false">IF($A135="","",AsOf-$B135)</f>
        <v/>
      </c>
      <c r="M135" s="29" t="str">
        <f aca="false">IF($K135="Open",IF($C135="Conflict","Critical",IF($L135&gt;=DecisionCritical,"Critical",IF($L135&gt;=DecisionWarn,"Warning","On track"))),IF($K135="Unconfirmed",IF($L135&gt;=UnconfirmedWarn,"Warning","On track"),""))</f>
        <v/>
      </c>
      <c r="N135" s="29" t="str">
        <f aca="false">IF($M135="","",IF($M135="Critical",3000,IF($M135="Warning",2000,1000))+$L135+ROW()/100000)</f>
        <v/>
      </c>
      <c r="O135" s="29" t="str">
        <f aca="false">IF($K135="Open",IF($C135="Conflict","decide "&amp;$A135&amp;": &lt;which version stands&gt;","decide "&amp;$A135&amp;": &lt;outcome&gt;"),IF($K135="Unconfirmed","confirm "&amp;$A135,""))</f>
        <v/>
      </c>
    </row>
    <row r="136" customFormat="false" ht="15" hidden="false" customHeight="false" outlineLevel="0" collapsed="false">
      <c r="A136" s="24"/>
      <c r="B136" s="27"/>
      <c r="C136" s="28"/>
      <c r="D136" s="24"/>
      <c r="E136" s="24"/>
      <c r="F136" s="24"/>
      <c r="G136" s="28"/>
      <c r="H136" s="28"/>
      <c r="I136" s="24"/>
      <c r="J136" s="24"/>
      <c r="K136" s="29" t="str">
        <f aca="false">IF($A136="","",IF(OR($C136="Decision",$C136="Conflict"),IF(COUNTIFS($I$2:$I$1001,$A136,$C$2:$C$1001,"Resolved")=0,"Open","Closed"),IF(AND($H136="Unconfirmed",OR($C136="New",$C136="Know")),IF(COUNTIFS($I$2:$I$1001,$A136,$C$2:$C$1001,"Confirmed")=0,"Unconfirmed","Confirmed"),"Logged")))</f>
        <v/>
      </c>
      <c r="L136" s="29" t="str">
        <f aca="false">IF($A136="","",AsOf-$B136)</f>
        <v/>
      </c>
      <c r="M136" s="29" t="str">
        <f aca="false">IF($K136="Open",IF($C136="Conflict","Critical",IF($L136&gt;=DecisionCritical,"Critical",IF($L136&gt;=DecisionWarn,"Warning","On track"))),IF($K136="Unconfirmed",IF($L136&gt;=UnconfirmedWarn,"Warning","On track"),""))</f>
        <v/>
      </c>
      <c r="N136" s="29" t="str">
        <f aca="false">IF($M136="","",IF($M136="Critical",3000,IF($M136="Warning",2000,1000))+$L136+ROW()/100000)</f>
        <v/>
      </c>
      <c r="O136" s="29" t="str">
        <f aca="false">IF($K136="Open",IF($C136="Conflict","decide "&amp;$A136&amp;": &lt;which version stands&gt;","decide "&amp;$A136&amp;": &lt;outcome&gt;"),IF($K136="Unconfirmed","confirm "&amp;$A136,""))</f>
        <v/>
      </c>
    </row>
    <row r="137" customFormat="false" ht="15" hidden="false" customHeight="false" outlineLevel="0" collapsed="false">
      <c r="A137" s="24"/>
      <c r="B137" s="27"/>
      <c r="C137" s="28"/>
      <c r="D137" s="24"/>
      <c r="E137" s="24"/>
      <c r="F137" s="24"/>
      <c r="G137" s="28"/>
      <c r="H137" s="28"/>
      <c r="I137" s="24"/>
      <c r="J137" s="24"/>
      <c r="K137" s="29" t="str">
        <f aca="false">IF($A137="","",IF(OR($C137="Decision",$C137="Conflict"),IF(COUNTIFS($I$2:$I$1001,$A137,$C$2:$C$1001,"Resolved")=0,"Open","Closed"),IF(AND($H137="Unconfirmed",OR($C137="New",$C137="Know")),IF(COUNTIFS($I$2:$I$1001,$A137,$C$2:$C$1001,"Confirmed")=0,"Unconfirmed","Confirmed"),"Logged")))</f>
        <v/>
      </c>
      <c r="L137" s="29" t="str">
        <f aca="false">IF($A137="","",AsOf-$B137)</f>
        <v/>
      </c>
      <c r="M137" s="29" t="str">
        <f aca="false">IF($K137="Open",IF($C137="Conflict","Critical",IF($L137&gt;=DecisionCritical,"Critical",IF($L137&gt;=DecisionWarn,"Warning","On track"))),IF($K137="Unconfirmed",IF($L137&gt;=UnconfirmedWarn,"Warning","On track"),""))</f>
        <v/>
      </c>
      <c r="N137" s="29" t="str">
        <f aca="false">IF($M137="","",IF($M137="Critical",3000,IF($M137="Warning",2000,1000))+$L137+ROW()/100000)</f>
        <v/>
      </c>
      <c r="O137" s="29" t="str">
        <f aca="false">IF($K137="Open",IF($C137="Conflict","decide "&amp;$A137&amp;": &lt;which version stands&gt;","decide "&amp;$A137&amp;": &lt;outcome&gt;"),IF($K137="Unconfirmed","confirm "&amp;$A137,""))</f>
        <v/>
      </c>
    </row>
    <row r="138" customFormat="false" ht="15" hidden="false" customHeight="false" outlineLevel="0" collapsed="false">
      <c r="A138" s="24"/>
      <c r="B138" s="27"/>
      <c r="C138" s="28"/>
      <c r="D138" s="24"/>
      <c r="E138" s="24"/>
      <c r="F138" s="24"/>
      <c r="G138" s="28"/>
      <c r="H138" s="28"/>
      <c r="I138" s="24"/>
      <c r="J138" s="24"/>
      <c r="K138" s="29" t="str">
        <f aca="false">IF($A138="","",IF(OR($C138="Decision",$C138="Conflict"),IF(COUNTIFS($I$2:$I$1001,$A138,$C$2:$C$1001,"Resolved")=0,"Open","Closed"),IF(AND($H138="Unconfirmed",OR($C138="New",$C138="Know")),IF(COUNTIFS($I$2:$I$1001,$A138,$C$2:$C$1001,"Confirmed")=0,"Unconfirmed","Confirmed"),"Logged")))</f>
        <v/>
      </c>
      <c r="L138" s="29" t="str">
        <f aca="false">IF($A138="","",AsOf-$B138)</f>
        <v/>
      </c>
      <c r="M138" s="29" t="str">
        <f aca="false">IF($K138="Open",IF($C138="Conflict","Critical",IF($L138&gt;=DecisionCritical,"Critical",IF($L138&gt;=DecisionWarn,"Warning","On track"))),IF($K138="Unconfirmed",IF($L138&gt;=UnconfirmedWarn,"Warning","On track"),""))</f>
        <v/>
      </c>
      <c r="N138" s="29" t="str">
        <f aca="false">IF($M138="","",IF($M138="Critical",3000,IF($M138="Warning",2000,1000))+$L138+ROW()/100000)</f>
        <v/>
      </c>
      <c r="O138" s="29" t="str">
        <f aca="false">IF($K138="Open",IF($C138="Conflict","decide "&amp;$A138&amp;": &lt;which version stands&gt;","decide "&amp;$A138&amp;": &lt;outcome&gt;"),IF($K138="Unconfirmed","confirm "&amp;$A138,""))</f>
        <v/>
      </c>
    </row>
    <row r="139" customFormat="false" ht="15" hidden="false" customHeight="false" outlineLevel="0" collapsed="false">
      <c r="A139" s="24"/>
      <c r="B139" s="27"/>
      <c r="C139" s="28"/>
      <c r="D139" s="24"/>
      <c r="E139" s="24"/>
      <c r="F139" s="24"/>
      <c r="G139" s="28"/>
      <c r="H139" s="28"/>
      <c r="I139" s="24"/>
      <c r="J139" s="24"/>
      <c r="K139" s="29" t="str">
        <f aca="false">IF($A139="","",IF(OR($C139="Decision",$C139="Conflict"),IF(COUNTIFS($I$2:$I$1001,$A139,$C$2:$C$1001,"Resolved")=0,"Open","Closed"),IF(AND($H139="Unconfirmed",OR($C139="New",$C139="Know")),IF(COUNTIFS($I$2:$I$1001,$A139,$C$2:$C$1001,"Confirmed")=0,"Unconfirmed","Confirmed"),"Logged")))</f>
        <v/>
      </c>
      <c r="L139" s="29" t="str">
        <f aca="false">IF($A139="","",AsOf-$B139)</f>
        <v/>
      </c>
      <c r="M139" s="29" t="str">
        <f aca="false">IF($K139="Open",IF($C139="Conflict","Critical",IF($L139&gt;=DecisionCritical,"Critical",IF($L139&gt;=DecisionWarn,"Warning","On track"))),IF($K139="Unconfirmed",IF($L139&gt;=UnconfirmedWarn,"Warning","On track"),""))</f>
        <v/>
      </c>
      <c r="N139" s="29" t="str">
        <f aca="false">IF($M139="","",IF($M139="Critical",3000,IF($M139="Warning",2000,1000))+$L139+ROW()/100000)</f>
        <v/>
      </c>
      <c r="O139" s="29" t="str">
        <f aca="false">IF($K139="Open",IF($C139="Conflict","decide "&amp;$A139&amp;": &lt;which version stands&gt;","decide "&amp;$A139&amp;": &lt;outcome&gt;"),IF($K139="Unconfirmed","confirm "&amp;$A139,""))</f>
        <v/>
      </c>
    </row>
    <row r="140" customFormat="false" ht="15" hidden="false" customHeight="false" outlineLevel="0" collapsed="false">
      <c r="A140" s="24"/>
      <c r="B140" s="27"/>
      <c r="C140" s="28"/>
      <c r="D140" s="24"/>
      <c r="E140" s="24"/>
      <c r="F140" s="24"/>
      <c r="G140" s="28"/>
      <c r="H140" s="28"/>
      <c r="I140" s="24"/>
      <c r="J140" s="24"/>
      <c r="K140" s="29" t="str">
        <f aca="false">IF($A140="","",IF(OR($C140="Decision",$C140="Conflict"),IF(COUNTIFS($I$2:$I$1001,$A140,$C$2:$C$1001,"Resolved")=0,"Open","Closed"),IF(AND($H140="Unconfirmed",OR($C140="New",$C140="Know")),IF(COUNTIFS($I$2:$I$1001,$A140,$C$2:$C$1001,"Confirmed")=0,"Unconfirmed","Confirmed"),"Logged")))</f>
        <v/>
      </c>
      <c r="L140" s="29" t="str">
        <f aca="false">IF($A140="","",AsOf-$B140)</f>
        <v/>
      </c>
      <c r="M140" s="29" t="str">
        <f aca="false">IF($K140="Open",IF($C140="Conflict","Critical",IF($L140&gt;=DecisionCritical,"Critical",IF($L140&gt;=DecisionWarn,"Warning","On track"))),IF($K140="Unconfirmed",IF($L140&gt;=UnconfirmedWarn,"Warning","On track"),""))</f>
        <v/>
      </c>
      <c r="N140" s="29" t="str">
        <f aca="false">IF($M140="","",IF($M140="Critical",3000,IF($M140="Warning",2000,1000))+$L140+ROW()/100000)</f>
        <v/>
      </c>
      <c r="O140" s="29" t="str">
        <f aca="false">IF($K140="Open",IF($C140="Conflict","decide "&amp;$A140&amp;": &lt;which version stands&gt;","decide "&amp;$A140&amp;": &lt;outcome&gt;"),IF($K140="Unconfirmed","confirm "&amp;$A140,""))</f>
        <v/>
      </c>
    </row>
    <row r="141" customFormat="false" ht="15" hidden="false" customHeight="false" outlineLevel="0" collapsed="false">
      <c r="A141" s="24"/>
      <c r="B141" s="27"/>
      <c r="C141" s="28"/>
      <c r="D141" s="24"/>
      <c r="E141" s="24"/>
      <c r="F141" s="24"/>
      <c r="G141" s="28"/>
      <c r="H141" s="28"/>
      <c r="I141" s="24"/>
      <c r="J141" s="24"/>
      <c r="K141" s="29" t="str">
        <f aca="false">IF($A141="","",IF(OR($C141="Decision",$C141="Conflict"),IF(COUNTIFS($I$2:$I$1001,$A141,$C$2:$C$1001,"Resolved")=0,"Open","Closed"),IF(AND($H141="Unconfirmed",OR($C141="New",$C141="Know")),IF(COUNTIFS($I$2:$I$1001,$A141,$C$2:$C$1001,"Confirmed")=0,"Unconfirmed","Confirmed"),"Logged")))</f>
        <v/>
      </c>
      <c r="L141" s="29" t="str">
        <f aca="false">IF($A141="","",AsOf-$B141)</f>
        <v/>
      </c>
      <c r="M141" s="29" t="str">
        <f aca="false">IF($K141="Open",IF($C141="Conflict","Critical",IF($L141&gt;=DecisionCritical,"Critical",IF($L141&gt;=DecisionWarn,"Warning","On track"))),IF($K141="Unconfirmed",IF($L141&gt;=UnconfirmedWarn,"Warning","On track"),""))</f>
        <v/>
      </c>
      <c r="N141" s="29" t="str">
        <f aca="false">IF($M141="","",IF($M141="Critical",3000,IF($M141="Warning",2000,1000))+$L141+ROW()/100000)</f>
        <v/>
      </c>
      <c r="O141" s="29" t="str">
        <f aca="false">IF($K141="Open",IF($C141="Conflict","decide "&amp;$A141&amp;": &lt;which version stands&gt;","decide "&amp;$A141&amp;": &lt;outcome&gt;"),IF($K141="Unconfirmed","confirm "&amp;$A141,""))</f>
        <v/>
      </c>
    </row>
    <row r="142" customFormat="false" ht="15" hidden="false" customHeight="false" outlineLevel="0" collapsed="false">
      <c r="A142" s="24"/>
      <c r="B142" s="27"/>
      <c r="C142" s="28"/>
      <c r="D142" s="24"/>
      <c r="E142" s="24"/>
      <c r="F142" s="24"/>
      <c r="G142" s="28"/>
      <c r="H142" s="28"/>
      <c r="I142" s="24"/>
      <c r="J142" s="24"/>
      <c r="K142" s="29" t="str">
        <f aca="false">IF($A142="","",IF(OR($C142="Decision",$C142="Conflict"),IF(COUNTIFS($I$2:$I$1001,$A142,$C$2:$C$1001,"Resolved")=0,"Open","Closed"),IF(AND($H142="Unconfirmed",OR($C142="New",$C142="Know")),IF(COUNTIFS($I$2:$I$1001,$A142,$C$2:$C$1001,"Confirmed")=0,"Unconfirmed","Confirmed"),"Logged")))</f>
        <v/>
      </c>
      <c r="L142" s="29" t="str">
        <f aca="false">IF($A142="","",AsOf-$B142)</f>
        <v/>
      </c>
      <c r="M142" s="29" t="str">
        <f aca="false">IF($K142="Open",IF($C142="Conflict","Critical",IF($L142&gt;=DecisionCritical,"Critical",IF($L142&gt;=DecisionWarn,"Warning","On track"))),IF($K142="Unconfirmed",IF($L142&gt;=UnconfirmedWarn,"Warning","On track"),""))</f>
        <v/>
      </c>
      <c r="N142" s="29" t="str">
        <f aca="false">IF($M142="","",IF($M142="Critical",3000,IF($M142="Warning",2000,1000))+$L142+ROW()/100000)</f>
        <v/>
      </c>
      <c r="O142" s="29" t="str">
        <f aca="false">IF($K142="Open",IF($C142="Conflict","decide "&amp;$A142&amp;": &lt;which version stands&gt;","decide "&amp;$A142&amp;": &lt;outcome&gt;"),IF($K142="Unconfirmed","confirm "&amp;$A142,""))</f>
        <v/>
      </c>
    </row>
    <row r="143" customFormat="false" ht="15" hidden="false" customHeight="false" outlineLevel="0" collapsed="false">
      <c r="A143" s="24"/>
      <c r="B143" s="27"/>
      <c r="C143" s="28"/>
      <c r="D143" s="24"/>
      <c r="E143" s="24"/>
      <c r="F143" s="24"/>
      <c r="G143" s="28"/>
      <c r="H143" s="28"/>
      <c r="I143" s="24"/>
      <c r="J143" s="24"/>
      <c r="K143" s="29" t="str">
        <f aca="false">IF($A143="","",IF(OR($C143="Decision",$C143="Conflict"),IF(COUNTIFS($I$2:$I$1001,$A143,$C$2:$C$1001,"Resolved")=0,"Open","Closed"),IF(AND($H143="Unconfirmed",OR($C143="New",$C143="Know")),IF(COUNTIFS($I$2:$I$1001,$A143,$C$2:$C$1001,"Confirmed")=0,"Unconfirmed","Confirmed"),"Logged")))</f>
        <v/>
      </c>
      <c r="L143" s="29" t="str">
        <f aca="false">IF($A143="","",AsOf-$B143)</f>
        <v/>
      </c>
      <c r="M143" s="29" t="str">
        <f aca="false">IF($K143="Open",IF($C143="Conflict","Critical",IF($L143&gt;=DecisionCritical,"Critical",IF($L143&gt;=DecisionWarn,"Warning","On track"))),IF($K143="Unconfirmed",IF($L143&gt;=UnconfirmedWarn,"Warning","On track"),""))</f>
        <v/>
      </c>
      <c r="N143" s="29" t="str">
        <f aca="false">IF($M143="","",IF($M143="Critical",3000,IF($M143="Warning",2000,1000))+$L143+ROW()/100000)</f>
        <v/>
      </c>
      <c r="O143" s="29" t="str">
        <f aca="false">IF($K143="Open",IF($C143="Conflict","decide "&amp;$A143&amp;": &lt;which version stands&gt;","decide "&amp;$A143&amp;": &lt;outcome&gt;"),IF($K143="Unconfirmed","confirm "&amp;$A143,""))</f>
        <v/>
      </c>
    </row>
    <row r="144" customFormat="false" ht="15" hidden="false" customHeight="false" outlineLevel="0" collapsed="false">
      <c r="A144" s="24"/>
      <c r="B144" s="27"/>
      <c r="C144" s="28"/>
      <c r="D144" s="24"/>
      <c r="E144" s="24"/>
      <c r="F144" s="24"/>
      <c r="G144" s="28"/>
      <c r="H144" s="28"/>
      <c r="I144" s="24"/>
      <c r="J144" s="24"/>
      <c r="K144" s="29" t="str">
        <f aca="false">IF($A144="","",IF(OR($C144="Decision",$C144="Conflict"),IF(COUNTIFS($I$2:$I$1001,$A144,$C$2:$C$1001,"Resolved")=0,"Open","Closed"),IF(AND($H144="Unconfirmed",OR($C144="New",$C144="Know")),IF(COUNTIFS($I$2:$I$1001,$A144,$C$2:$C$1001,"Confirmed")=0,"Unconfirmed","Confirmed"),"Logged")))</f>
        <v/>
      </c>
      <c r="L144" s="29" t="str">
        <f aca="false">IF($A144="","",AsOf-$B144)</f>
        <v/>
      </c>
      <c r="M144" s="29" t="str">
        <f aca="false">IF($K144="Open",IF($C144="Conflict","Critical",IF($L144&gt;=DecisionCritical,"Critical",IF($L144&gt;=DecisionWarn,"Warning","On track"))),IF($K144="Unconfirmed",IF($L144&gt;=UnconfirmedWarn,"Warning","On track"),""))</f>
        <v/>
      </c>
      <c r="N144" s="29" t="str">
        <f aca="false">IF($M144="","",IF($M144="Critical",3000,IF($M144="Warning",2000,1000))+$L144+ROW()/100000)</f>
        <v/>
      </c>
      <c r="O144" s="29" t="str">
        <f aca="false">IF($K144="Open",IF($C144="Conflict","decide "&amp;$A144&amp;": &lt;which version stands&gt;","decide "&amp;$A144&amp;": &lt;outcome&gt;"),IF($K144="Unconfirmed","confirm "&amp;$A144,""))</f>
        <v/>
      </c>
    </row>
    <row r="145" customFormat="false" ht="15" hidden="false" customHeight="false" outlineLevel="0" collapsed="false">
      <c r="A145" s="24"/>
      <c r="B145" s="27"/>
      <c r="C145" s="28"/>
      <c r="D145" s="24"/>
      <c r="E145" s="24"/>
      <c r="F145" s="24"/>
      <c r="G145" s="28"/>
      <c r="H145" s="28"/>
      <c r="I145" s="24"/>
      <c r="J145" s="24"/>
      <c r="K145" s="29" t="str">
        <f aca="false">IF($A145="","",IF(OR($C145="Decision",$C145="Conflict"),IF(COUNTIFS($I$2:$I$1001,$A145,$C$2:$C$1001,"Resolved")=0,"Open","Closed"),IF(AND($H145="Unconfirmed",OR($C145="New",$C145="Know")),IF(COUNTIFS($I$2:$I$1001,$A145,$C$2:$C$1001,"Confirmed")=0,"Unconfirmed","Confirmed"),"Logged")))</f>
        <v/>
      </c>
      <c r="L145" s="29" t="str">
        <f aca="false">IF($A145="","",AsOf-$B145)</f>
        <v/>
      </c>
      <c r="M145" s="29" t="str">
        <f aca="false">IF($K145="Open",IF($C145="Conflict","Critical",IF($L145&gt;=DecisionCritical,"Critical",IF($L145&gt;=DecisionWarn,"Warning","On track"))),IF($K145="Unconfirmed",IF($L145&gt;=UnconfirmedWarn,"Warning","On track"),""))</f>
        <v/>
      </c>
      <c r="N145" s="29" t="str">
        <f aca="false">IF($M145="","",IF($M145="Critical",3000,IF($M145="Warning",2000,1000))+$L145+ROW()/100000)</f>
        <v/>
      </c>
      <c r="O145" s="29" t="str">
        <f aca="false">IF($K145="Open",IF($C145="Conflict","decide "&amp;$A145&amp;": &lt;which version stands&gt;","decide "&amp;$A145&amp;": &lt;outcome&gt;"),IF($K145="Unconfirmed","confirm "&amp;$A145,""))</f>
        <v/>
      </c>
    </row>
    <row r="146" customFormat="false" ht="15" hidden="false" customHeight="false" outlineLevel="0" collapsed="false">
      <c r="A146" s="24"/>
      <c r="B146" s="27"/>
      <c r="C146" s="28"/>
      <c r="D146" s="24"/>
      <c r="E146" s="24"/>
      <c r="F146" s="24"/>
      <c r="G146" s="28"/>
      <c r="H146" s="28"/>
      <c r="I146" s="24"/>
      <c r="J146" s="24"/>
      <c r="K146" s="29" t="str">
        <f aca="false">IF($A146="","",IF(OR($C146="Decision",$C146="Conflict"),IF(COUNTIFS($I$2:$I$1001,$A146,$C$2:$C$1001,"Resolved")=0,"Open","Closed"),IF(AND($H146="Unconfirmed",OR($C146="New",$C146="Know")),IF(COUNTIFS($I$2:$I$1001,$A146,$C$2:$C$1001,"Confirmed")=0,"Unconfirmed","Confirmed"),"Logged")))</f>
        <v/>
      </c>
      <c r="L146" s="29" t="str">
        <f aca="false">IF($A146="","",AsOf-$B146)</f>
        <v/>
      </c>
      <c r="M146" s="29" t="str">
        <f aca="false">IF($K146="Open",IF($C146="Conflict","Critical",IF($L146&gt;=DecisionCritical,"Critical",IF($L146&gt;=DecisionWarn,"Warning","On track"))),IF($K146="Unconfirmed",IF($L146&gt;=UnconfirmedWarn,"Warning","On track"),""))</f>
        <v/>
      </c>
      <c r="N146" s="29" t="str">
        <f aca="false">IF($M146="","",IF($M146="Critical",3000,IF($M146="Warning",2000,1000))+$L146+ROW()/100000)</f>
        <v/>
      </c>
      <c r="O146" s="29" t="str">
        <f aca="false">IF($K146="Open",IF($C146="Conflict","decide "&amp;$A146&amp;": &lt;which version stands&gt;","decide "&amp;$A146&amp;": &lt;outcome&gt;"),IF($K146="Unconfirmed","confirm "&amp;$A146,""))</f>
        <v/>
      </c>
    </row>
    <row r="147" customFormat="false" ht="15" hidden="false" customHeight="false" outlineLevel="0" collapsed="false">
      <c r="A147" s="24"/>
      <c r="B147" s="27"/>
      <c r="C147" s="28"/>
      <c r="D147" s="24"/>
      <c r="E147" s="24"/>
      <c r="F147" s="24"/>
      <c r="G147" s="28"/>
      <c r="H147" s="28"/>
      <c r="I147" s="24"/>
      <c r="J147" s="24"/>
      <c r="K147" s="29" t="str">
        <f aca="false">IF($A147="","",IF(OR($C147="Decision",$C147="Conflict"),IF(COUNTIFS($I$2:$I$1001,$A147,$C$2:$C$1001,"Resolved")=0,"Open","Closed"),IF(AND($H147="Unconfirmed",OR($C147="New",$C147="Know")),IF(COUNTIFS($I$2:$I$1001,$A147,$C$2:$C$1001,"Confirmed")=0,"Unconfirmed","Confirmed"),"Logged")))</f>
        <v/>
      </c>
      <c r="L147" s="29" t="str">
        <f aca="false">IF($A147="","",AsOf-$B147)</f>
        <v/>
      </c>
      <c r="M147" s="29" t="str">
        <f aca="false">IF($K147="Open",IF($C147="Conflict","Critical",IF($L147&gt;=DecisionCritical,"Critical",IF($L147&gt;=DecisionWarn,"Warning","On track"))),IF($K147="Unconfirmed",IF($L147&gt;=UnconfirmedWarn,"Warning","On track"),""))</f>
        <v/>
      </c>
      <c r="N147" s="29" t="str">
        <f aca="false">IF($M147="","",IF($M147="Critical",3000,IF($M147="Warning",2000,1000))+$L147+ROW()/100000)</f>
        <v/>
      </c>
      <c r="O147" s="29" t="str">
        <f aca="false">IF($K147="Open",IF($C147="Conflict","decide "&amp;$A147&amp;": &lt;which version stands&gt;","decide "&amp;$A147&amp;": &lt;outcome&gt;"),IF($K147="Unconfirmed","confirm "&amp;$A147,""))</f>
        <v/>
      </c>
    </row>
    <row r="148" customFormat="false" ht="15" hidden="false" customHeight="false" outlineLevel="0" collapsed="false">
      <c r="A148" s="24"/>
      <c r="B148" s="27"/>
      <c r="C148" s="28"/>
      <c r="D148" s="24"/>
      <c r="E148" s="24"/>
      <c r="F148" s="24"/>
      <c r="G148" s="28"/>
      <c r="H148" s="28"/>
      <c r="I148" s="24"/>
      <c r="J148" s="24"/>
      <c r="K148" s="29" t="str">
        <f aca="false">IF($A148="","",IF(OR($C148="Decision",$C148="Conflict"),IF(COUNTIFS($I$2:$I$1001,$A148,$C$2:$C$1001,"Resolved")=0,"Open","Closed"),IF(AND($H148="Unconfirmed",OR($C148="New",$C148="Know")),IF(COUNTIFS($I$2:$I$1001,$A148,$C$2:$C$1001,"Confirmed")=0,"Unconfirmed","Confirmed"),"Logged")))</f>
        <v/>
      </c>
      <c r="L148" s="29" t="str">
        <f aca="false">IF($A148="","",AsOf-$B148)</f>
        <v/>
      </c>
      <c r="M148" s="29" t="str">
        <f aca="false">IF($K148="Open",IF($C148="Conflict","Critical",IF($L148&gt;=DecisionCritical,"Critical",IF($L148&gt;=DecisionWarn,"Warning","On track"))),IF($K148="Unconfirmed",IF($L148&gt;=UnconfirmedWarn,"Warning","On track"),""))</f>
        <v/>
      </c>
      <c r="N148" s="29" t="str">
        <f aca="false">IF($M148="","",IF($M148="Critical",3000,IF($M148="Warning",2000,1000))+$L148+ROW()/100000)</f>
        <v/>
      </c>
      <c r="O148" s="29" t="str">
        <f aca="false">IF($K148="Open",IF($C148="Conflict","decide "&amp;$A148&amp;": &lt;which version stands&gt;","decide "&amp;$A148&amp;": &lt;outcome&gt;"),IF($K148="Unconfirmed","confirm "&amp;$A148,""))</f>
        <v/>
      </c>
    </row>
    <row r="149" customFormat="false" ht="15" hidden="false" customHeight="false" outlineLevel="0" collapsed="false">
      <c r="A149" s="24"/>
      <c r="B149" s="27"/>
      <c r="C149" s="28"/>
      <c r="D149" s="24"/>
      <c r="E149" s="24"/>
      <c r="F149" s="24"/>
      <c r="G149" s="28"/>
      <c r="H149" s="28"/>
      <c r="I149" s="24"/>
      <c r="J149" s="24"/>
      <c r="K149" s="29" t="str">
        <f aca="false">IF($A149="","",IF(OR($C149="Decision",$C149="Conflict"),IF(COUNTIFS($I$2:$I$1001,$A149,$C$2:$C$1001,"Resolved")=0,"Open","Closed"),IF(AND($H149="Unconfirmed",OR($C149="New",$C149="Know")),IF(COUNTIFS($I$2:$I$1001,$A149,$C$2:$C$1001,"Confirmed")=0,"Unconfirmed","Confirmed"),"Logged")))</f>
        <v/>
      </c>
      <c r="L149" s="29" t="str">
        <f aca="false">IF($A149="","",AsOf-$B149)</f>
        <v/>
      </c>
      <c r="M149" s="29" t="str">
        <f aca="false">IF($K149="Open",IF($C149="Conflict","Critical",IF($L149&gt;=DecisionCritical,"Critical",IF($L149&gt;=DecisionWarn,"Warning","On track"))),IF($K149="Unconfirmed",IF($L149&gt;=UnconfirmedWarn,"Warning","On track"),""))</f>
        <v/>
      </c>
      <c r="N149" s="29" t="str">
        <f aca="false">IF($M149="","",IF($M149="Critical",3000,IF($M149="Warning",2000,1000))+$L149+ROW()/100000)</f>
        <v/>
      </c>
      <c r="O149" s="29" t="str">
        <f aca="false">IF($K149="Open",IF($C149="Conflict","decide "&amp;$A149&amp;": &lt;which version stands&gt;","decide "&amp;$A149&amp;": &lt;outcome&gt;"),IF($K149="Unconfirmed","confirm "&amp;$A149,""))</f>
        <v/>
      </c>
    </row>
    <row r="150" customFormat="false" ht="15" hidden="false" customHeight="false" outlineLevel="0" collapsed="false">
      <c r="A150" s="24"/>
      <c r="B150" s="27"/>
      <c r="C150" s="28"/>
      <c r="D150" s="24"/>
      <c r="E150" s="24"/>
      <c r="F150" s="24"/>
      <c r="G150" s="28"/>
      <c r="H150" s="28"/>
      <c r="I150" s="24"/>
      <c r="J150" s="24"/>
      <c r="K150" s="29" t="str">
        <f aca="false">IF($A150="","",IF(OR($C150="Decision",$C150="Conflict"),IF(COUNTIFS($I$2:$I$1001,$A150,$C$2:$C$1001,"Resolved")=0,"Open","Closed"),IF(AND($H150="Unconfirmed",OR($C150="New",$C150="Know")),IF(COUNTIFS($I$2:$I$1001,$A150,$C$2:$C$1001,"Confirmed")=0,"Unconfirmed","Confirmed"),"Logged")))</f>
        <v/>
      </c>
      <c r="L150" s="29" t="str">
        <f aca="false">IF($A150="","",AsOf-$B150)</f>
        <v/>
      </c>
      <c r="M150" s="29" t="str">
        <f aca="false">IF($K150="Open",IF($C150="Conflict","Critical",IF($L150&gt;=DecisionCritical,"Critical",IF($L150&gt;=DecisionWarn,"Warning","On track"))),IF($K150="Unconfirmed",IF($L150&gt;=UnconfirmedWarn,"Warning","On track"),""))</f>
        <v/>
      </c>
      <c r="N150" s="29" t="str">
        <f aca="false">IF($M150="","",IF($M150="Critical",3000,IF($M150="Warning",2000,1000))+$L150+ROW()/100000)</f>
        <v/>
      </c>
      <c r="O150" s="29" t="str">
        <f aca="false">IF($K150="Open",IF($C150="Conflict","decide "&amp;$A150&amp;": &lt;which version stands&gt;","decide "&amp;$A150&amp;": &lt;outcome&gt;"),IF($K150="Unconfirmed","confirm "&amp;$A150,""))</f>
        <v/>
      </c>
    </row>
    <row r="151" customFormat="false" ht="15" hidden="false" customHeight="false" outlineLevel="0" collapsed="false">
      <c r="A151" s="24"/>
      <c r="B151" s="27"/>
      <c r="C151" s="28"/>
      <c r="D151" s="24"/>
      <c r="E151" s="24"/>
      <c r="F151" s="24"/>
      <c r="G151" s="28"/>
      <c r="H151" s="28"/>
      <c r="I151" s="24"/>
      <c r="J151" s="24"/>
      <c r="K151" s="29" t="str">
        <f aca="false">IF($A151="","",IF(OR($C151="Decision",$C151="Conflict"),IF(COUNTIFS($I$2:$I$1001,$A151,$C$2:$C$1001,"Resolved")=0,"Open","Closed"),IF(AND($H151="Unconfirmed",OR($C151="New",$C151="Know")),IF(COUNTIFS($I$2:$I$1001,$A151,$C$2:$C$1001,"Confirmed")=0,"Unconfirmed","Confirmed"),"Logged")))</f>
        <v/>
      </c>
      <c r="L151" s="29" t="str">
        <f aca="false">IF($A151="","",AsOf-$B151)</f>
        <v/>
      </c>
      <c r="M151" s="29" t="str">
        <f aca="false">IF($K151="Open",IF($C151="Conflict","Critical",IF($L151&gt;=DecisionCritical,"Critical",IF($L151&gt;=DecisionWarn,"Warning","On track"))),IF($K151="Unconfirmed",IF($L151&gt;=UnconfirmedWarn,"Warning","On track"),""))</f>
        <v/>
      </c>
      <c r="N151" s="29" t="str">
        <f aca="false">IF($M151="","",IF($M151="Critical",3000,IF($M151="Warning",2000,1000))+$L151+ROW()/100000)</f>
        <v/>
      </c>
      <c r="O151" s="29" t="str">
        <f aca="false">IF($K151="Open",IF($C151="Conflict","decide "&amp;$A151&amp;": &lt;which version stands&gt;","decide "&amp;$A151&amp;": &lt;outcome&gt;"),IF($K151="Unconfirmed","confirm "&amp;$A151,""))</f>
        <v/>
      </c>
    </row>
    <row r="152" customFormat="false" ht="15" hidden="false" customHeight="false" outlineLevel="0" collapsed="false">
      <c r="A152" s="24"/>
      <c r="B152" s="27"/>
      <c r="C152" s="28"/>
      <c r="D152" s="24"/>
      <c r="E152" s="24"/>
      <c r="F152" s="24"/>
      <c r="G152" s="28"/>
      <c r="H152" s="28"/>
      <c r="I152" s="24"/>
      <c r="J152" s="24"/>
      <c r="K152" s="29" t="str">
        <f aca="false">IF($A152="","",IF(OR($C152="Decision",$C152="Conflict"),IF(COUNTIFS($I$2:$I$1001,$A152,$C$2:$C$1001,"Resolved")=0,"Open","Closed"),IF(AND($H152="Unconfirmed",OR($C152="New",$C152="Know")),IF(COUNTIFS($I$2:$I$1001,$A152,$C$2:$C$1001,"Confirmed")=0,"Unconfirmed","Confirmed"),"Logged")))</f>
        <v/>
      </c>
      <c r="L152" s="29" t="str">
        <f aca="false">IF($A152="","",AsOf-$B152)</f>
        <v/>
      </c>
      <c r="M152" s="29" t="str">
        <f aca="false">IF($K152="Open",IF($C152="Conflict","Critical",IF($L152&gt;=DecisionCritical,"Critical",IF($L152&gt;=DecisionWarn,"Warning","On track"))),IF($K152="Unconfirmed",IF($L152&gt;=UnconfirmedWarn,"Warning","On track"),""))</f>
        <v/>
      </c>
      <c r="N152" s="29" t="str">
        <f aca="false">IF($M152="","",IF($M152="Critical",3000,IF($M152="Warning",2000,1000))+$L152+ROW()/100000)</f>
        <v/>
      </c>
      <c r="O152" s="29" t="str">
        <f aca="false">IF($K152="Open",IF($C152="Conflict","decide "&amp;$A152&amp;": &lt;which version stands&gt;","decide "&amp;$A152&amp;": &lt;outcome&gt;"),IF($K152="Unconfirmed","confirm "&amp;$A152,""))</f>
        <v/>
      </c>
    </row>
    <row r="153" customFormat="false" ht="15" hidden="false" customHeight="false" outlineLevel="0" collapsed="false">
      <c r="A153" s="24"/>
      <c r="B153" s="27"/>
      <c r="C153" s="28"/>
      <c r="D153" s="24"/>
      <c r="E153" s="24"/>
      <c r="F153" s="24"/>
      <c r="G153" s="28"/>
      <c r="H153" s="28"/>
      <c r="I153" s="24"/>
      <c r="J153" s="24"/>
      <c r="K153" s="29" t="str">
        <f aca="false">IF($A153="","",IF(OR($C153="Decision",$C153="Conflict"),IF(COUNTIFS($I$2:$I$1001,$A153,$C$2:$C$1001,"Resolved")=0,"Open","Closed"),IF(AND($H153="Unconfirmed",OR($C153="New",$C153="Know")),IF(COUNTIFS($I$2:$I$1001,$A153,$C$2:$C$1001,"Confirmed")=0,"Unconfirmed","Confirmed"),"Logged")))</f>
        <v/>
      </c>
      <c r="L153" s="29" t="str">
        <f aca="false">IF($A153="","",AsOf-$B153)</f>
        <v/>
      </c>
      <c r="M153" s="29" t="str">
        <f aca="false">IF($K153="Open",IF($C153="Conflict","Critical",IF($L153&gt;=DecisionCritical,"Critical",IF($L153&gt;=DecisionWarn,"Warning","On track"))),IF($K153="Unconfirmed",IF($L153&gt;=UnconfirmedWarn,"Warning","On track"),""))</f>
        <v/>
      </c>
      <c r="N153" s="29" t="str">
        <f aca="false">IF($M153="","",IF($M153="Critical",3000,IF($M153="Warning",2000,1000))+$L153+ROW()/100000)</f>
        <v/>
      </c>
      <c r="O153" s="29" t="str">
        <f aca="false">IF($K153="Open",IF($C153="Conflict","decide "&amp;$A153&amp;": &lt;which version stands&gt;","decide "&amp;$A153&amp;": &lt;outcome&gt;"),IF($K153="Unconfirmed","confirm "&amp;$A153,""))</f>
        <v/>
      </c>
    </row>
    <row r="154" customFormat="false" ht="15" hidden="false" customHeight="false" outlineLevel="0" collapsed="false">
      <c r="A154" s="24"/>
      <c r="B154" s="27"/>
      <c r="C154" s="28"/>
      <c r="D154" s="24"/>
      <c r="E154" s="24"/>
      <c r="F154" s="24"/>
      <c r="G154" s="28"/>
      <c r="H154" s="28"/>
      <c r="I154" s="24"/>
      <c r="J154" s="24"/>
      <c r="K154" s="29" t="str">
        <f aca="false">IF($A154="","",IF(OR($C154="Decision",$C154="Conflict"),IF(COUNTIFS($I$2:$I$1001,$A154,$C$2:$C$1001,"Resolved")=0,"Open","Closed"),IF(AND($H154="Unconfirmed",OR($C154="New",$C154="Know")),IF(COUNTIFS($I$2:$I$1001,$A154,$C$2:$C$1001,"Confirmed")=0,"Unconfirmed","Confirmed"),"Logged")))</f>
        <v/>
      </c>
      <c r="L154" s="29" t="str">
        <f aca="false">IF($A154="","",AsOf-$B154)</f>
        <v/>
      </c>
      <c r="M154" s="29" t="str">
        <f aca="false">IF($K154="Open",IF($C154="Conflict","Critical",IF($L154&gt;=DecisionCritical,"Critical",IF($L154&gt;=DecisionWarn,"Warning","On track"))),IF($K154="Unconfirmed",IF($L154&gt;=UnconfirmedWarn,"Warning","On track"),""))</f>
        <v/>
      </c>
      <c r="N154" s="29" t="str">
        <f aca="false">IF($M154="","",IF($M154="Critical",3000,IF($M154="Warning",2000,1000))+$L154+ROW()/100000)</f>
        <v/>
      </c>
      <c r="O154" s="29" t="str">
        <f aca="false">IF($K154="Open",IF($C154="Conflict","decide "&amp;$A154&amp;": &lt;which version stands&gt;","decide "&amp;$A154&amp;": &lt;outcome&gt;"),IF($K154="Unconfirmed","confirm "&amp;$A154,""))</f>
        <v/>
      </c>
    </row>
    <row r="155" customFormat="false" ht="15" hidden="false" customHeight="false" outlineLevel="0" collapsed="false">
      <c r="A155" s="24"/>
      <c r="B155" s="27"/>
      <c r="C155" s="28"/>
      <c r="D155" s="24"/>
      <c r="E155" s="24"/>
      <c r="F155" s="24"/>
      <c r="G155" s="28"/>
      <c r="H155" s="28"/>
      <c r="I155" s="24"/>
      <c r="J155" s="24"/>
      <c r="K155" s="29" t="str">
        <f aca="false">IF($A155="","",IF(OR($C155="Decision",$C155="Conflict"),IF(COUNTIFS($I$2:$I$1001,$A155,$C$2:$C$1001,"Resolved")=0,"Open","Closed"),IF(AND($H155="Unconfirmed",OR($C155="New",$C155="Know")),IF(COUNTIFS($I$2:$I$1001,$A155,$C$2:$C$1001,"Confirmed")=0,"Unconfirmed","Confirmed"),"Logged")))</f>
        <v/>
      </c>
      <c r="L155" s="29" t="str">
        <f aca="false">IF($A155="","",AsOf-$B155)</f>
        <v/>
      </c>
      <c r="M155" s="29" t="str">
        <f aca="false">IF($K155="Open",IF($C155="Conflict","Critical",IF($L155&gt;=DecisionCritical,"Critical",IF($L155&gt;=DecisionWarn,"Warning","On track"))),IF($K155="Unconfirmed",IF($L155&gt;=UnconfirmedWarn,"Warning","On track"),""))</f>
        <v/>
      </c>
      <c r="N155" s="29" t="str">
        <f aca="false">IF($M155="","",IF($M155="Critical",3000,IF($M155="Warning",2000,1000))+$L155+ROW()/100000)</f>
        <v/>
      </c>
      <c r="O155" s="29" t="str">
        <f aca="false">IF($K155="Open",IF($C155="Conflict","decide "&amp;$A155&amp;": &lt;which version stands&gt;","decide "&amp;$A155&amp;": &lt;outcome&gt;"),IF($K155="Unconfirmed","confirm "&amp;$A155,""))</f>
        <v/>
      </c>
    </row>
    <row r="156" customFormat="false" ht="15" hidden="false" customHeight="false" outlineLevel="0" collapsed="false">
      <c r="A156" s="24"/>
      <c r="B156" s="27"/>
      <c r="C156" s="28"/>
      <c r="D156" s="24"/>
      <c r="E156" s="24"/>
      <c r="F156" s="24"/>
      <c r="G156" s="28"/>
      <c r="H156" s="28"/>
      <c r="I156" s="24"/>
      <c r="J156" s="24"/>
      <c r="K156" s="29" t="str">
        <f aca="false">IF($A156="","",IF(OR($C156="Decision",$C156="Conflict"),IF(COUNTIFS($I$2:$I$1001,$A156,$C$2:$C$1001,"Resolved")=0,"Open","Closed"),IF(AND($H156="Unconfirmed",OR($C156="New",$C156="Know")),IF(COUNTIFS($I$2:$I$1001,$A156,$C$2:$C$1001,"Confirmed")=0,"Unconfirmed","Confirmed"),"Logged")))</f>
        <v/>
      </c>
      <c r="L156" s="29" t="str">
        <f aca="false">IF($A156="","",AsOf-$B156)</f>
        <v/>
      </c>
      <c r="M156" s="29" t="str">
        <f aca="false">IF($K156="Open",IF($C156="Conflict","Critical",IF($L156&gt;=DecisionCritical,"Critical",IF($L156&gt;=DecisionWarn,"Warning","On track"))),IF($K156="Unconfirmed",IF($L156&gt;=UnconfirmedWarn,"Warning","On track"),""))</f>
        <v/>
      </c>
      <c r="N156" s="29" t="str">
        <f aca="false">IF($M156="","",IF($M156="Critical",3000,IF($M156="Warning",2000,1000))+$L156+ROW()/100000)</f>
        <v/>
      </c>
      <c r="O156" s="29" t="str">
        <f aca="false">IF($K156="Open",IF($C156="Conflict","decide "&amp;$A156&amp;": &lt;which version stands&gt;","decide "&amp;$A156&amp;": &lt;outcome&gt;"),IF($K156="Unconfirmed","confirm "&amp;$A156,""))</f>
        <v/>
      </c>
    </row>
    <row r="157" customFormat="false" ht="15" hidden="false" customHeight="false" outlineLevel="0" collapsed="false">
      <c r="A157" s="24"/>
      <c r="B157" s="27"/>
      <c r="C157" s="28"/>
      <c r="D157" s="24"/>
      <c r="E157" s="24"/>
      <c r="F157" s="24"/>
      <c r="G157" s="28"/>
      <c r="H157" s="28"/>
      <c r="I157" s="24"/>
      <c r="J157" s="24"/>
      <c r="K157" s="29" t="str">
        <f aca="false">IF($A157="","",IF(OR($C157="Decision",$C157="Conflict"),IF(COUNTIFS($I$2:$I$1001,$A157,$C$2:$C$1001,"Resolved")=0,"Open","Closed"),IF(AND($H157="Unconfirmed",OR($C157="New",$C157="Know")),IF(COUNTIFS($I$2:$I$1001,$A157,$C$2:$C$1001,"Confirmed")=0,"Unconfirmed","Confirmed"),"Logged")))</f>
        <v/>
      </c>
      <c r="L157" s="29" t="str">
        <f aca="false">IF($A157="","",AsOf-$B157)</f>
        <v/>
      </c>
      <c r="M157" s="29" t="str">
        <f aca="false">IF($K157="Open",IF($C157="Conflict","Critical",IF($L157&gt;=DecisionCritical,"Critical",IF($L157&gt;=DecisionWarn,"Warning","On track"))),IF($K157="Unconfirmed",IF($L157&gt;=UnconfirmedWarn,"Warning","On track"),""))</f>
        <v/>
      </c>
      <c r="N157" s="29" t="str">
        <f aca="false">IF($M157="","",IF($M157="Critical",3000,IF($M157="Warning",2000,1000))+$L157+ROW()/100000)</f>
        <v/>
      </c>
      <c r="O157" s="29" t="str">
        <f aca="false">IF($K157="Open",IF($C157="Conflict","decide "&amp;$A157&amp;": &lt;which version stands&gt;","decide "&amp;$A157&amp;": &lt;outcome&gt;"),IF($K157="Unconfirmed","confirm "&amp;$A157,""))</f>
        <v/>
      </c>
    </row>
    <row r="158" customFormat="false" ht="15" hidden="false" customHeight="false" outlineLevel="0" collapsed="false">
      <c r="A158" s="24"/>
      <c r="B158" s="27"/>
      <c r="C158" s="28"/>
      <c r="D158" s="24"/>
      <c r="E158" s="24"/>
      <c r="F158" s="24"/>
      <c r="G158" s="28"/>
      <c r="H158" s="28"/>
      <c r="I158" s="24"/>
      <c r="J158" s="24"/>
      <c r="K158" s="29" t="str">
        <f aca="false">IF($A158="","",IF(OR($C158="Decision",$C158="Conflict"),IF(COUNTIFS($I$2:$I$1001,$A158,$C$2:$C$1001,"Resolved")=0,"Open","Closed"),IF(AND($H158="Unconfirmed",OR($C158="New",$C158="Know")),IF(COUNTIFS($I$2:$I$1001,$A158,$C$2:$C$1001,"Confirmed")=0,"Unconfirmed","Confirmed"),"Logged")))</f>
        <v/>
      </c>
      <c r="L158" s="29" t="str">
        <f aca="false">IF($A158="","",AsOf-$B158)</f>
        <v/>
      </c>
      <c r="M158" s="29" t="str">
        <f aca="false">IF($K158="Open",IF($C158="Conflict","Critical",IF($L158&gt;=DecisionCritical,"Critical",IF($L158&gt;=DecisionWarn,"Warning","On track"))),IF($K158="Unconfirmed",IF($L158&gt;=UnconfirmedWarn,"Warning","On track"),""))</f>
        <v/>
      </c>
      <c r="N158" s="29" t="str">
        <f aca="false">IF($M158="","",IF($M158="Critical",3000,IF($M158="Warning",2000,1000))+$L158+ROW()/100000)</f>
        <v/>
      </c>
      <c r="O158" s="29" t="str">
        <f aca="false">IF($K158="Open",IF($C158="Conflict","decide "&amp;$A158&amp;": &lt;which version stands&gt;","decide "&amp;$A158&amp;": &lt;outcome&gt;"),IF($K158="Unconfirmed","confirm "&amp;$A158,""))</f>
        <v/>
      </c>
    </row>
    <row r="159" customFormat="false" ht="15" hidden="false" customHeight="false" outlineLevel="0" collapsed="false">
      <c r="A159" s="24"/>
      <c r="B159" s="27"/>
      <c r="C159" s="28"/>
      <c r="D159" s="24"/>
      <c r="E159" s="24"/>
      <c r="F159" s="24"/>
      <c r="G159" s="28"/>
      <c r="H159" s="28"/>
      <c r="I159" s="24"/>
      <c r="J159" s="24"/>
      <c r="K159" s="29" t="str">
        <f aca="false">IF($A159="","",IF(OR($C159="Decision",$C159="Conflict"),IF(COUNTIFS($I$2:$I$1001,$A159,$C$2:$C$1001,"Resolved")=0,"Open","Closed"),IF(AND($H159="Unconfirmed",OR($C159="New",$C159="Know")),IF(COUNTIFS($I$2:$I$1001,$A159,$C$2:$C$1001,"Confirmed")=0,"Unconfirmed","Confirmed"),"Logged")))</f>
        <v/>
      </c>
      <c r="L159" s="29" t="str">
        <f aca="false">IF($A159="","",AsOf-$B159)</f>
        <v/>
      </c>
      <c r="M159" s="29" t="str">
        <f aca="false">IF($K159="Open",IF($C159="Conflict","Critical",IF($L159&gt;=DecisionCritical,"Critical",IF($L159&gt;=DecisionWarn,"Warning","On track"))),IF($K159="Unconfirmed",IF($L159&gt;=UnconfirmedWarn,"Warning","On track"),""))</f>
        <v/>
      </c>
      <c r="N159" s="29" t="str">
        <f aca="false">IF($M159="","",IF($M159="Critical",3000,IF($M159="Warning",2000,1000))+$L159+ROW()/100000)</f>
        <v/>
      </c>
      <c r="O159" s="29" t="str">
        <f aca="false">IF($K159="Open",IF($C159="Conflict","decide "&amp;$A159&amp;": &lt;which version stands&gt;","decide "&amp;$A159&amp;": &lt;outcome&gt;"),IF($K159="Unconfirmed","confirm "&amp;$A159,""))</f>
        <v/>
      </c>
    </row>
    <row r="160" customFormat="false" ht="15" hidden="false" customHeight="false" outlineLevel="0" collapsed="false">
      <c r="A160" s="24"/>
      <c r="B160" s="27"/>
      <c r="C160" s="28"/>
      <c r="D160" s="24"/>
      <c r="E160" s="24"/>
      <c r="F160" s="24"/>
      <c r="G160" s="28"/>
      <c r="H160" s="28"/>
      <c r="I160" s="24"/>
      <c r="J160" s="24"/>
      <c r="K160" s="29" t="str">
        <f aca="false">IF($A160="","",IF(OR($C160="Decision",$C160="Conflict"),IF(COUNTIFS($I$2:$I$1001,$A160,$C$2:$C$1001,"Resolved")=0,"Open","Closed"),IF(AND($H160="Unconfirmed",OR($C160="New",$C160="Know")),IF(COUNTIFS($I$2:$I$1001,$A160,$C$2:$C$1001,"Confirmed")=0,"Unconfirmed","Confirmed"),"Logged")))</f>
        <v/>
      </c>
      <c r="L160" s="29" t="str">
        <f aca="false">IF($A160="","",AsOf-$B160)</f>
        <v/>
      </c>
      <c r="M160" s="29" t="str">
        <f aca="false">IF($K160="Open",IF($C160="Conflict","Critical",IF($L160&gt;=DecisionCritical,"Critical",IF($L160&gt;=DecisionWarn,"Warning","On track"))),IF($K160="Unconfirmed",IF($L160&gt;=UnconfirmedWarn,"Warning","On track"),""))</f>
        <v/>
      </c>
      <c r="N160" s="29" t="str">
        <f aca="false">IF($M160="","",IF($M160="Critical",3000,IF($M160="Warning",2000,1000))+$L160+ROW()/100000)</f>
        <v/>
      </c>
      <c r="O160" s="29" t="str">
        <f aca="false">IF($K160="Open",IF($C160="Conflict","decide "&amp;$A160&amp;": &lt;which version stands&gt;","decide "&amp;$A160&amp;": &lt;outcome&gt;"),IF($K160="Unconfirmed","confirm "&amp;$A160,""))</f>
        <v/>
      </c>
    </row>
    <row r="161" customFormat="false" ht="15" hidden="false" customHeight="false" outlineLevel="0" collapsed="false">
      <c r="A161" s="24"/>
      <c r="B161" s="27"/>
      <c r="C161" s="28"/>
      <c r="D161" s="24"/>
      <c r="E161" s="24"/>
      <c r="F161" s="24"/>
      <c r="G161" s="28"/>
      <c r="H161" s="28"/>
      <c r="I161" s="24"/>
      <c r="J161" s="24"/>
      <c r="K161" s="29" t="str">
        <f aca="false">IF($A161="","",IF(OR($C161="Decision",$C161="Conflict"),IF(COUNTIFS($I$2:$I$1001,$A161,$C$2:$C$1001,"Resolved")=0,"Open","Closed"),IF(AND($H161="Unconfirmed",OR($C161="New",$C161="Know")),IF(COUNTIFS($I$2:$I$1001,$A161,$C$2:$C$1001,"Confirmed")=0,"Unconfirmed","Confirmed"),"Logged")))</f>
        <v/>
      </c>
      <c r="L161" s="29" t="str">
        <f aca="false">IF($A161="","",AsOf-$B161)</f>
        <v/>
      </c>
      <c r="M161" s="29" t="str">
        <f aca="false">IF($K161="Open",IF($C161="Conflict","Critical",IF($L161&gt;=DecisionCritical,"Critical",IF($L161&gt;=DecisionWarn,"Warning","On track"))),IF($K161="Unconfirmed",IF($L161&gt;=UnconfirmedWarn,"Warning","On track"),""))</f>
        <v/>
      </c>
      <c r="N161" s="29" t="str">
        <f aca="false">IF($M161="","",IF($M161="Critical",3000,IF($M161="Warning",2000,1000))+$L161+ROW()/100000)</f>
        <v/>
      </c>
      <c r="O161" s="29" t="str">
        <f aca="false">IF($K161="Open",IF($C161="Conflict","decide "&amp;$A161&amp;": &lt;which version stands&gt;","decide "&amp;$A161&amp;": &lt;outcome&gt;"),IF($K161="Unconfirmed","confirm "&amp;$A161,""))</f>
        <v/>
      </c>
    </row>
    <row r="162" customFormat="false" ht="15" hidden="false" customHeight="false" outlineLevel="0" collapsed="false">
      <c r="A162" s="24"/>
      <c r="B162" s="27"/>
      <c r="C162" s="28"/>
      <c r="D162" s="24"/>
      <c r="E162" s="24"/>
      <c r="F162" s="24"/>
      <c r="G162" s="28"/>
      <c r="H162" s="28"/>
      <c r="I162" s="24"/>
      <c r="J162" s="24"/>
      <c r="K162" s="29" t="str">
        <f aca="false">IF($A162="","",IF(OR($C162="Decision",$C162="Conflict"),IF(COUNTIFS($I$2:$I$1001,$A162,$C$2:$C$1001,"Resolved")=0,"Open","Closed"),IF(AND($H162="Unconfirmed",OR($C162="New",$C162="Know")),IF(COUNTIFS($I$2:$I$1001,$A162,$C$2:$C$1001,"Confirmed")=0,"Unconfirmed","Confirmed"),"Logged")))</f>
        <v/>
      </c>
      <c r="L162" s="29" t="str">
        <f aca="false">IF($A162="","",AsOf-$B162)</f>
        <v/>
      </c>
      <c r="M162" s="29" t="str">
        <f aca="false">IF($K162="Open",IF($C162="Conflict","Critical",IF($L162&gt;=DecisionCritical,"Critical",IF($L162&gt;=DecisionWarn,"Warning","On track"))),IF($K162="Unconfirmed",IF($L162&gt;=UnconfirmedWarn,"Warning","On track"),""))</f>
        <v/>
      </c>
      <c r="N162" s="29" t="str">
        <f aca="false">IF($M162="","",IF($M162="Critical",3000,IF($M162="Warning",2000,1000))+$L162+ROW()/100000)</f>
        <v/>
      </c>
      <c r="O162" s="29" t="str">
        <f aca="false">IF($K162="Open",IF($C162="Conflict","decide "&amp;$A162&amp;": &lt;which version stands&gt;","decide "&amp;$A162&amp;": &lt;outcome&gt;"),IF($K162="Unconfirmed","confirm "&amp;$A162,""))</f>
        <v/>
      </c>
    </row>
    <row r="163" customFormat="false" ht="15" hidden="false" customHeight="false" outlineLevel="0" collapsed="false">
      <c r="A163" s="24"/>
      <c r="B163" s="27"/>
      <c r="C163" s="28"/>
      <c r="D163" s="24"/>
      <c r="E163" s="24"/>
      <c r="F163" s="24"/>
      <c r="G163" s="28"/>
      <c r="H163" s="28"/>
      <c r="I163" s="24"/>
      <c r="J163" s="24"/>
      <c r="K163" s="29" t="str">
        <f aca="false">IF($A163="","",IF(OR($C163="Decision",$C163="Conflict"),IF(COUNTIFS($I$2:$I$1001,$A163,$C$2:$C$1001,"Resolved")=0,"Open","Closed"),IF(AND($H163="Unconfirmed",OR($C163="New",$C163="Know")),IF(COUNTIFS($I$2:$I$1001,$A163,$C$2:$C$1001,"Confirmed")=0,"Unconfirmed","Confirmed"),"Logged")))</f>
        <v/>
      </c>
      <c r="L163" s="29" t="str">
        <f aca="false">IF($A163="","",AsOf-$B163)</f>
        <v/>
      </c>
      <c r="M163" s="29" t="str">
        <f aca="false">IF($K163="Open",IF($C163="Conflict","Critical",IF($L163&gt;=DecisionCritical,"Critical",IF($L163&gt;=DecisionWarn,"Warning","On track"))),IF($K163="Unconfirmed",IF($L163&gt;=UnconfirmedWarn,"Warning","On track"),""))</f>
        <v/>
      </c>
      <c r="N163" s="29" t="str">
        <f aca="false">IF($M163="","",IF($M163="Critical",3000,IF($M163="Warning",2000,1000))+$L163+ROW()/100000)</f>
        <v/>
      </c>
      <c r="O163" s="29" t="str">
        <f aca="false">IF($K163="Open",IF($C163="Conflict","decide "&amp;$A163&amp;": &lt;which version stands&gt;","decide "&amp;$A163&amp;": &lt;outcome&gt;"),IF($K163="Unconfirmed","confirm "&amp;$A163,""))</f>
        <v/>
      </c>
    </row>
    <row r="164" customFormat="false" ht="15" hidden="false" customHeight="false" outlineLevel="0" collapsed="false">
      <c r="A164" s="24"/>
      <c r="B164" s="27"/>
      <c r="C164" s="28"/>
      <c r="D164" s="24"/>
      <c r="E164" s="24"/>
      <c r="F164" s="24"/>
      <c r="G164" s="28"/>
      <c r="H164" s="28"/>
      <c r="I164" s="24"/>
      <c r="J164" s="24"/>
      <c r="K164" s="29" t="str">
        <f aca="false">IF($A164="","",IF(OR($C164="Decision",$C164="Conflict"),IF(COUNTIFS($I$2:$I$1001,$A164,$C$2:$C$1001,"Resolved")=0,"Open","Closed"),IF(AND($H164="Unconfirmed",OR($C164="New",$C164="Know")),IF(COUNTIFS($I$2:$I$1001,$A164,$C$2:$C$1001,"Confirmed")=0,"Unconfirmed","Confirmed"),"Logged")))</f>
        <v/>
      </c>
      <c r="L164" s="29" t="str">
        <f aca="false">IF($A164="","",AsOf-$B164)</f>
        <v/>
      </c>
      <c r="M164" s="29" t="str">
        <f aca="false">IF($K164="Open",IF($C164="Conflict","Critical",IF($L164&gt;=DecisionCritical,"Critical",IF($L164&gt;=DecisionWarn,"Warning","On track"))),IF($K164="Unconfirmed",IF($L164&gt;=UnconfirmedWarn,"Warning","On track"),""))</f>
        <v/>
      </c>
      <c r="N164" s="29" t="str">
        <f aca="false">IF($M164="","",IF($M164="Critical",3000,IF($M164="Warning",2000,1000))+$L164+ROW()/100000)</f>
        <v/>
      </c>
      <c r="O164" s="29" t="str">
        <f aca="false">IF($K164="Open",IF($C164="Conflict","decide "&amp;$A164&amp;": &lt;which version stands&gt;","decide "&amp;$A164&amp;": &lt;outcome&gt;"),IF($K164="Unconfirmed","confirm "&amp;$A164,""))</f>
        <v/>
      </c>
    </row>
    <row r="165" customFormat="false" ht="15" hidden="false" customHeight="false" outlineLevel="0" collapsed="false">
      <c r="A165" s="24"/>
      <c r="B165" s="27"/>
      <c r="C165" s="28"/>
      <c r="D165" s="24"/>
      <c r="E165" s="24"/>
      <c r="F165" s="24"/>
      <c r="G165" s="28"/>
      <c r="H165" s="28"/>
      <c r="I165" s="24"/>
      <c r="J165" s="24"/>
      <c r="K165" s="29" t="str">
        <f aca="false">IF($A165="","",IF(OR($C165="Decision",$C165="Conflict"),IF(COUNTIFS($I$2:$I$1001,$A165,$C$2:$C$1001,"Resolved")=0,"Open","Closed"),IF(AND($H165="Unconfirmed",OR($C165="New",$C165="Know")),IF(COUNTIFS($I$2:$I$1001,$A165,$C$2:$C$1001,"Confirmed")=0,"Unconfirmed","Confirmed"),"Logged")))</f>
        <v/>
      </c>
      <c r="L165" s="29" t="str">
        <f aca="false">IF($A165="","",AsOf-$B165)</f>
        <v/>
      </c>
      <c r="M165" s="29" t="str">
        <f aca="false">IF($K165="Open",IF($C165="Conflict","Critical",IF($L165&gt;=DecisionCritical,"Critical",IF($L165&gt;=DecisionWarn,"Warning","On track"))),IF($K165="Unconfirmed",IF($L165&gt;=UnconfirmedWarn,"Warning","On track"),""))</f>
        <v/>
      </c>
      <c r="N165" s="29" t="str">
        <f aca="false">IF($M165="","",IF($M165="Critical",3000,IF($M165="Warning",2000,1000))+$L165+ROW()/100000)</f>
        <v/>
      </c>
      <c r="O165" s="29" t="str">
        <f aca="false">IF($K165="Open",IF($C165="Conflict","decide "&amp;$A165&amp;": &lt;which version stands&gt;","decide "&amp;$A165&amp;": &lt;outcome&gt;"),IF($K165="Unconfirmed","confirm "&amp;$A165,""))</f>
        <v/>
      </c>
    </row>
    <row r="166" customFormat="false" ht="15" hidden="false" customHeight="false" outlineLevel="0" collapsed="false">
      <c r="A166" s="24"/>
      <c r="B166" s="27"/>
      <c r="C166" s="28"/>
      <c r="D166" s="24"/>
      <c r="E166" s="24"/>
      <c r="F166" s="24"/>
      <c r="G166" s="28"/>
      <c r="H166" s="28"/>
      <c r="I166" s="24"/>
      <c r="J166" s="24"/>
      <c r="K166" s="29" t="str">
        <f aca="false">IF($A166="","",IF(OR($C166="Decision",$C166="Conflict"),IF(COUNTIFS($I$2:$I$1001,$A166,$C$2:$C$1001,"Resolved")=0,"Open","Closed"),IF(AND($H166="Unconfirmed",OR($C166="New",$C166="Know")),IF(COUNTIFS($I$2:$I$1001,$A166,$C$2:$C$1001,"Confirmed")=0,"Unconfirmed","Confirmed"),"Logged")))</f>
        <v/>
      </c>
      <c r="L166" s="29" t="str">
        <f aca="false">IF($A166="","",AsOf-$B166)</f>
        <v/>
      </c>
      <c r="M166" s="29" t="str">
        <f aca="false">IF($K166="Open",IF($C166="Conflict","Critical",IF($L166&gt;=DecisionCritical,"Critical",IF($L166&gt;=DecisionWarn,"Warning","On track"))),IF($K166="Unconfirmed",IF($L166&gt;=UnconfirmedWarn,"Warning","On track"),""))</f>
        <v/>
      </c>
      <c r="N166" s="29" t="str">
        <f aca="false">IF($M166="","",IF($M166="Critical",3000,IF($M166="Warning",2000,1000))+$L166+ROW()/100000)</f>
        <v/>
      </c>
      <c r="O166" s="29" t="str">
        <f aca="false">IF($K166="Open",IF($C166="Conflict","decide "&amp;$A166&amp;": &lt;which version stands&gt;","decide "&amp;$A166&amp;": &lt;outcome&gt;"),IF($K166="Unconfirmed","confirm "&amp;$A166,""))</f>
        <v/>
      </c>
    </row>
    <row r="167" customFormat="false" ht="15" hidden="false" customHeight="false" outlineLevel="0" collapsed="false">
      <c r="A167" s="24"/>
      <c r="B167" s="27"/>
      <c r="C167" s="28"/>
      <c r="D167" s="24"/>
      <c r="E167" s="24"/>
      <c r="F167" s="24"/>
      <c r="G167" s="28"/>
      <c r="H167" s="28"/>
      <c r="I167" s="24"/>
      <c r="J167" s="24"/>
      <c r="K167" s="29" t="str">
        <f aca="false">IF($A167="","",IF(OR($C167="Decision",$C167="Conflict"),IF(COUNTIFS($I$2:$I$1001,$A167,$C$2:$C$1001,"Resolved")=0,"Open","Closed"),IF(AND($H167="Unconfirmed",OR($C167="New",$C167="Know")),IF(COUNTIFS($I$2:$I$1001,$A167,$C$2:$C$1001,"Confirmed")=0,"Unconfirmed","Confirmed"),"Logged")))</f>
        <v/>
      </c>
      <c r="L167" s="29" t="str">
        <f aca="false">IF($A167="","",AsOf-$B167)</f>
        <v/>
      </c>
      <c r="M167" s="29" t="str">
        <f aca="false">IF($K167="Open",IF($C167="Conflict","Critical",IF($L167&gt;=DecisionCritical,"Critical",IF($L167&gt;=DecisionWarn,"Warning","On track"))),IF($K167="Unconfirmed",IF($L167&gt;=UnconfirmedWarn,"Warning","On track"),""))</f>
        <v/>
      </c>
      <c r="N167" s="29" t="str">
        <f aca="false">IF($M167="","",IF($M167="Critical",3000,IF($M167="Warning",2000,1000))+$L167+ROW()/100000)</f>
        <v/>
      </c>
      <c r="O167" s="29" t="str">
        <f aca="false">IF($K167="Open",IF($C167="Conflict","decide "&amp;$A167&amp;": &lt;which version stands&gt;","decide "&amp;$A167&amp;": &lt;outcome&gt;"),IF($K167="Unconfirmed","confirm "&amp;$A167,""))</f>
        <v/>
      </c>
    </row>
    <row r="168" customFormat="false" ht="15" hidden="false" customHeight="false" outlineLevel="0" collapsed="false">
      <c r="A168" s="24"/>
      <c r="B168" s="27"/>
      <c r="C168" s="28"/>
      <c r="D168" s="24"/>
      <c r="E168" s="24"/>
      <c r="F168" s="24"/>
      <c r="G168" s="28"/>
      <c r="H168" s="28"/>
      <c r="I168" s="24"/>
      <c r="J168" s="24"/>
      <c r="K168" s="29" t="str">
        <f aca="false">IF($A168="","",IF(OR($C168="Decision",$C168="Conflict"),IF(COUNTIFS($I$2:$I$1001,$A168,$C$2:$C$1001,"Resolved")=0,"Open","Closed"),IF(AND($H168="Unconfirmed",OR($C168="New",$C168="Know")),IF(COUNTIFS($I$2:$I$1001,$A168,$C$2:$C$1001,"Confirmed")=0,"Unconfirmed","Confirmed"),"Logged")))</f>
        <v/>
      </c>
      <c r="L168" s="29" t="str">
        <f aca="false">IF($A168="","",AsOf-$B168)</f>
        <v/>
      </c>
      <c r="M168" s="29" t="str">
        <f aca="false">IF($K168="Open",IF($C168="Conflict","Critical",IF($L168&gt;=DecisionCritical,"Critical",IF($L168&gt;=DecisionWarn,"Warning","On track"))),IF($K168="Unconfirmed",IF($L168&gt;=UnconfirmedWarn,"Warning","On track"),""))</f>
        <v/>
      </c>
      <c r="N168" s="29" t="str">
        <f aca="false">IF($M168="","",IF($M168="Critical",3000,IF($M168="Warning",2000,1000))+$L168+ROW()/100000)</f>
        <v/>
      </c>
      <c r="O168" s="29" t="str">
        <f aca="false">IF($K168="Open",IF($C168="Conflict","decide "&amp;$A168&amp;": &lt;which version stands&gt;","decide "&amp;$A168&amp;": &lt;outcome&gt;"),IF($K168="Unconfirmed","confirm "&amp;$A168,""))</f>
        <v/>
      </c>
    </row>
    <row r="169" customFormat="false" ht="15" hidden="false" customHeight="false" outlineLevel="0" collapsed="false">
      <c r="A169" s="24"/>
      <c r="B169" s="27"/>
      <c r="C169" s="28"/>
      <c r="D169" s="24"/>
      <c r="E169" s="24"/>
      <c r="F169" s="24"/>
      <c r="G169" s="28"/>
      <c r="H169" s="28"/>
      <c r="I169" s="24"/>
      <c r="J169" s="24"/>
      <c r="K169" s="29" t="str">
        <f aca="false">IF($A169="","",IF(OR($C169="Decision",$C169="Conflict"),IF(COUNTIFS($I$2:$I$1001,$A169,$C$2:$C$1001,"Resolved")=0,"Open","Closed"),IF(AND($H169="Unconfirmed",OR($C169="New",$C169="Know")),IF(COUNTIFS($I$2:$I$1001,$A169,$C$2:$C$1001,"Confirmed")=0,"Unconfirmed","Confirmed"),"Logged")))</f>
        <v/>
      </c>
      <c r="L169" s="29" t="str">
        <f aca="false">IF($A169="","",AsOf-$B169)</f>
        <v/>
      </c>
      <c r="M169" s="29" t="str">
        <f aca="false">IF($K169="Open",IF($C169="Conflict","Critical",IF($L169&gt;=DecisionCritical,"Critical",IF($L169&gt;=DecisionWarn,"Warning","On track"))),IF($K169="Unconfirmed",IF($L169&gt;=UnconfirmedWarn,"Warning","On track"),""))</f>
        <v/>
      </c>
      <c r="N169" s="29" t="str">
        <f aca="false">IF($M169="","",IF($M169="Critical",3000,IF($M169="Warning",2000,1000))+$L169+ROW()/100000)</f>
        <v/>
      </c>
      <c r="O169" s="29" t="str">
        <f aca="false">IF($K169="Open",IF($C169="Conflict","decide "&amp;$A169&amp;": &lt;which version stands&gt;","decide "&amp;$A169&amp;": &lt;outcome&gt;"),IF($K169="Unconfirmed","confirm "&amp;$A169,""))</f>
        <v/>
      </c>
    </row>
    <row r="170" customFormat="false" ht="15" hidden="false" customHeight="false" outlineLevel="0" collapsed="false">
      <c r="A170" s="24"/>
      <c r="B170" s="27"/>
      <c r="C170" s="28"/>
      <c r="D170" s="24"/>
      <c r="E170" s="24"/>
      <c r="F170" s="24"/>
      <c r="G170" s="28"/>
      <c r="H170" s="28"/>
      <c r="I170" s="24"/>
      <c r="J170" s="24"/>
      <c r="K170" s="29" t="str">
        <f aca="false">IF($A170="","",IF(OR($C170="Decision",$C170="Conflict"),IF(COUNTIFS($I$2:$I$1001,$A170,$C$2:$C$1001,"Resolved")=0,"Open","Closed"),IF(AND($H170="Unconfirmed",OR($C170="New",$C170="Know")),IF(COUNTIFS($I$2:$I$1001,$A170,$C$2:$C$1001,"Confirmed")=0,"Unconfirmed","Confirmed"),"Logged")))</f>
        <v/>
      </c>
      <c r="L170" s="29" t="str">
        <f aca="false">IF($A170="","",AsOf-$B170)</f>
        <v/>
      </c>
      <c r="M170" s="29" t="str">
        <f aca="false">IF($K170="Open",IF($C170="Conflict","Critical",IF($L170&gt;=DecisionCritical,"Critical",IF($L170&gt;=DecisionWarn,"Warning","On track"))),IF($K170="Unconfirmed",IF($L170&gt;=UnconfirmedWarn,"Warning","On track"),""))</f>
        <v/>
      </c>
      <c r="N170" s="29" t="str">
        <f aca="false">IF($M170="","",IF($M170="Critical",3000,IF($M170="Warning",2000,1000))+$L170+ROW()/100000)</f>
        <v/>
      </c>
      <c r="O170" s="29" t="str">
        <f aca="false">IF($K170="Open",IF($C170="Conflict","decide "&amp;$A170&amp;": &lt;which version stands&gt;","decide "&amp;$A170&amp;": &lt;outcome&gt;"),IF($K170="Unconfirmed","confirm "&amp;$A170,""))</f>
        <v/>
      </c>
    </row>
    <row r="171" customFormat="false" ht="15" hidden="false" customHeight="false" outlineLevel="0" collapsed="false">
      <c r="A171" s="24"/>
      <c r="B171" s="27"/>
      <c r="C171" s="28"/>
      <c r="D171" s="24"/>
      <c r="E171" s="24"/>
      <c r="F171" s="24"/>
      <c r="G171" s="28"/>
      <c r="H171" s="28"/>
      <c r="I171" s="24"/>
      <c r="J171" s="24"/>
      <c r="K171" s="29" t="str">
        <f aca="false">IF($A171="","",IF(OR($C171="Decision",$C171="Conflict"),IF(COUNTIFS($I$2:$I$1001,$A171,$C$2:$C$1001,"Resolved")=0,"Open","Closed"),IF(AND($H171="Unconfirmed",OR($C171="New",$C171="Know")),IF(COUNTIFS($I$2:$I$1001,$A171,$C$2:$C$1001,"Confirmed")=0,"Unconfirmed","Confirmed"),"Logged")))</f>
        <v/>
      </c>
      <c r="L171" s="29" t="str">
        <f aca="false">IF($A171="","",AsOf-$B171)</f>
        <v/>
      </c>
      <c r="M171" s="29" t="str">
        <f aca="false">IF($K171="Open",IF($C171="Conflict","Critical",IF($L171&gt;=DecisionCritical,"Critical",IF($L171&gt;=DecisionWarn,"Warning","On track"))),IF($K171="Unconfirmed",IF($L171&gt;=UnconfirmedWarn,"Warning","On track"),""))</f>
        <v/>
      </c>
      <c r="N171" s="29" t="str">
        <f aca="false">IF($M171="","",IF($M171="Critical",3000,IF($M171="Warning",2000,1000))+$L171+ROW()/100000)</f>
        <v/>
      </c>
      <c r="O171" s="29" t="str">
        <f aca="false">IF($K171="Open",IF($C171="Conflict","decide "&amp;$A171&amp;": &lt;which version stands&gt;","decide "&amp;$A171&amp;": &lt;outcome&gt;"),IF($K171="Unconfirmed","confirm "&amp;$A171,""))</f>
        <v/>
      </c>
    </row>
    <row r="172" customFormat="false" ht="15" hidden="false" customHeight="false" outlineLevel="0" collapsed="false">
      <c r="A172" s="24"/>
      <c r="B172" s="27"/>
      <c r="C172" s="28"/>
      <c r="D172" s="24"/>
      <c r="E172" s="24"/>
      <c r="F172" s="24"/>
      <c r="G172" s="28"/>
      <c r="H172" s="28"/>
      <c r="I172" s="24"/>
      <c r="J172" s="24"/>
      <c r="K172" s="29" t="str">
        <f aca="false">IF($A172="","",IF(OR($C172="Decision",$C172="Conflict"),IF(COUNTIFS($I$2:$I$1001,$A172,$C$2:$C$1001,"Resolved")=0,"Open","Closed"),IF(AND($H172="Unconfirmed",OR($C172="New",$C172="Know")),IF(COUNTIFS($I$2:$I$1001,$A172,$C$2:$C$1001,"Confirmed")=0,"Unconfirmed","Confirmed"),"Logged")))</f>
        <v/>
      </c>
      <c r="L172" s="29" t="str">
        <f aca="false">IF($A172="","",AsOf-$B172)</f>
        <v/>
      </c>
      <c r="M172" s="29" t="str">
        <f aca="false">IF($K172="Open",IF($C172="Conflict","Critical",IF($L172&gt;=DecisionCritical,"Critical",IF($L172&gt;=DecisionWarn,"Warning","On track"))),IF($K172="Unconfirmed",IF($L172&gt;=UnconfirmedWarn,"Warning","On track"),""))</f>
        <v/>
      </c>
      <c r="N172" s="29" t="str">
        <f aca="false">IF($M172="","",IF($M172="Critical",3000,IF($M172="Warning",2000,1000))+$L172+ROW()/100000)</f>
        <v/>
      </c>
      <c r="O172" s="29" t="str">
        <f aca="false">IF($K172="Open",IF($C172="Conflict","decide "&amp;$A172&amp;": &lt;which version stands&gt;","decide "&amp;$A172&amp;": &lt;outcome&gt;"),IF($K172="Unconfirmed","confirm "&amp;$A172,""))</f>
        <v/>
      </c>
    </row>
    <row r="173" customFormat="false" ht="15" hidden="false" customHeight="false" outlineLevel="0" collapsed="false">
      <c r="A173" s="24"/>
      <c r="B173" s="27"/>
      <c r="C173" s="28"/>
      <c r="D173" s="24"/>
      <c r="E173" s="24"/>
      <c r="F173" s="24"/>
      <c r="G173" s="28"/>
      <c r="H173" s="28"/>
      <c r="I173" s="24"/>
      <c r="J173" s="24"/>
      <c r="K173" s="29" t="str">
        <f aca="false">IF($A173="","",IF(OR($C173="Decision",$C173="Conflict"),IF(COUNTIFS($I$2:$I$1001,$A173,$C$2:$C$1001,"Resolved")=0,"Open","Closed"),IF(AND($H173="Unconfirmed",OR($C173="New",$C173="Know")),IF(COUNTIFS($I$2:$I$1001,$A173,$C$2:$C$1001,"Confirmed")=0,"Unconfirmed","Confirmed"),"Logged")))</f>
        <v/>
      </c>
      <c r="L173" s="29" t="str">
        <f aca="false">IF($A173="","",AsOf-$B173)</f>
        <v/>
      </c>
      <c r="M173" s="29" t="str">
        <f aca="false">IF($K173="Open",IF($C173="Conflict","Critical",IF($L173&gt;=DecisionCritical,"Critical",IF($L173&gt;=DecisionWarn,"Warning","On track"))),IF($K173="Unconfirmed",IF($L173&gt;=UnconfirmedWarn,"Warning","On track"),""))</f>
        <v/>
      </c>
      <c r="N173" s="29" t="str">
        <f aca="false">IF($M173="","",IF($M173="Critical",3000,IF($M173="Warning",2000,1000))+$L173+ROW()/100000)</f>
        <v/>
      </c>
      <c r="O173" s="29" t="str">
        <f aca="false">IF($K173="Open",IF($C173="Conflict","decide "&amp;$A173&amp;": &lt;which version stands&gt;","decide "&amp;$A173&amp;": &lt;outcome&gt;"),IF($K173="Unconfirmed","confirm "&amp;$A173,""))</f>
        <v/>
      </c>
    </row>
    <row r="174" customFormat="false" ht="15" hidden="false" customHeight="false" outlineLevel="0" collapsed="false">
      <c r="A174" s="24"/>
      <c r="B174" s="27"/>
      <c r="C174" s="28"/>
      <c r="D174" s="24"/>
      <c r="E174" s="24"/>
      <c r="F174" s="24"/>
      <c r="G174" s="28"/>
      <c r="H174" s="28"/>
      <c r="I174" s="24"/>
      <c r="J174" s="24"/>
      <c r="K174" s="29" t="str">
        <f aca="false">IF($A174="","",IF(OR($C174="Decision",$C174="Conflict"),IF(COUNTIFS($I$2:$I$1001,$A174,$C$2:$C$1001,"Resolved")=0,"Open","Closed"),IF(AND($H174="Unconfirmed",OR($C174="New",$C174="Know")),IF(COUNTIFS($I$2:$I$1001,$A174,$C$2:$C$1001,"Confirmed")=0,"Unconfirmed","Confirmed"),"Logged")))</f>
        <v/>
      </c>
      <c r="L174" s="29" t="str">
        <f aca="false">IF($A174="","",AsOf-$B174)</f>
        <v/>
      </c>
      <c r="M174" s="29" t="str">
        <f aca="false">IF($K174="Open",IF($C174="Conflict","Critical",IF($L174&gt;=DecisionCritical,"Critical",IF($L174&gt;=DecisionWarn,"Warning","On track"))),IF($K174="Unconfirmed",IF($L174&gt;=UnconfirmedWarn,"Warning","On track"),""))</f>
        <v/>
      </c>
      <c r="N174" s="29" t="str">
        <f aca="false">IF($M174="","",IF($M174="Critical",3000,IF($M174="Warning",2000,1000))+$L174+ROW()/100000)</f>
        <v/>
      </c>
      <c r="O174" s="29" t="str">
        <f aca="false">IF($K174="Open",IF($C174="Conflict","decide "&amp;$A174&amp;": &lt;which version stands&gt;","decide "&amp;$A174&amp;": &lt;outcome&gt;"),IF($K174="Unconfirmed","confirm "&amp;$A174,""))</f>
        <v/>
      </c>
    </row>
    <row r="175" customFormat="false" ht="15" hidden="false" customHeight="false" outlineLevel="0" collapsed="false">
      <c r="A175" s="24"/>
      <c r="B175" s="27"/>
      <c r="C175" s="28"/>
      <c r="D175" s="24"/>
      <c r="E175" s="24"/>
      <c r="F175" s="24"/>
      <c r="G175" s="28"/>
      <c r="H175" s="28"/>
      <c r="I175" s="24"/>
      <c r="J175" s="24"/>
      <c r="K175" s="29" t="str">
        <f aca="false">IF($A175="","",IF(OR($C175="Decision",$C175="Conflict"),IF(COUNTIFS($I$2:$I$1001,$A175,$C$2:$C$1001,"Resolved")=0,"Open","Closed"),IF(AND($H175="Unconfirmed",OR($C175="New",$C175="Know")),IF(COUNTIFS($I$2:$I$1001,$A175,$C$2:$C$1001,"Confirmed")=0,"Unconfirmed","Confirmed"),"Logged")))</f>
        <v/>
      </c>
      <c r="L175" s="29" t="str">
        <f aca="false">IF($A175="","",AsOf-$B175)</f>
        <v/>
      </c>
      <c r="M175" s="29" t="str">
        <f aca="false">IF($K175="Open",IF($C175="Conflict","Critical",IF($L175&gt;=DecisionCritical,"Critical",IF($L175&gt;=DecisionWarn,"Warning","On track"))),IF($K175="Unconfirmed",IF($L175&gt;=UnconfirmedWarn,"Warning","On track"),""))</f>
        <v/>
      </c>
      <c r="N175" s="29" t="str">
        <f aca="false">IF($M175="","",IF($M175="Critical",3000,IF($M175="Warning",2000,1000))+$L175+ROW()/100000)</f>
        <v/>
      </c>
      <c r="O175" s="29" t="str">
        <f aca="false">IF($K175="Open",IF($C175="Conflict","decide "&amp;$A175&amp;": &lt;which version stands&gt;","decide "&amp;$A175&amp;": &lt;outcome&gt;"),IF($K175="Unconfirmed","confirm "&amp;$A175,""))</f>
        <v/>
      </c>
    </row>
    <row r="176" customFormat="false" ht="15" hidden="false" customHeight="false" outlineLevel="0" collapsed="false">
      <c r="A176" s="24"/>
      <c r="B176" s="27"/>
      <c r="C176" s="28"/>
      <c r="D176" s="24"/>
      <c r="E176" s="24"/>
      <c r="F176" s="24"/>
      <c r="G176" s="28"/>
      <c r="H176" s="28"/>
      <c r="I176" s="24"/>
      <c r="J176" s="24"/>
      <c r="K176" s="29" t="str">
        <f aca="false">IF($A176="","",IF(OR($C176="Decision",$C176="Conflict"),IF(COUNTIFS($I$2:$I$1001,$A176,$C$2:$C$1001,"Resolved")=0,"Open","Closed"),IF(AND($H176="Unconfirmed",OR($C176="New",$C176="Know")),IF(COUNTIFS($I$2:$I$1001,$A176,$C$2:$C$1001,"Confirmed")=0,"Unconfirmed","Confirmed"),"Logged")))</f>
        <v/>
      </c>
      <c r="L176" s="29" t="str">
        <f aca="false">IF($A176="","",AsOf-$B176)</f>
        <v/>
      </c>
      <c r="M176" s="29" t="str">
        <f aca="false">IF($K176="Open",IF($C176="Conflict","Critical",IF($L176&gt;=DecisionCritical,"Critical",IF($L176&gt;=DecisionWarn,"Warning","On track"))),IF($K176="Unconfirmed",IF($L176&gt;=UnconfirmedWarn,"Warning","On track"),""))</f>
        <v/>
      </c>
      <c r="N176" s="29" t="str">
        <f aca="false">IF($M176="","",IF($M176="Critical",3000,IF($M176="Warning",2000,1000))+$L176+ROW()/100000)</f>
        <v/>
      </c>
      <c r="O176" s="29" t="str">
        <f aca="false">IF($K176="Open",IF($C176="Conflict","decide "&amp;$A176&amp;": &lt;which version stands&gt;","decide "&amp;$A176&amp;": &lt;outcome&gt;"),IF($K176="Unconfirmed","confirm "&amp;$A176,""))</f>
        <v/>
      </c>
    </row>
    <row r="177" customFormat="false" ht="15" hidden="false" customHeight="false" outlineLevel="0" collapsed="false">
      <c r="A177" s="24"/>
      <c r="B177" s="27"/>
      <c r="C177" s="28"/>
      <c r="D177" s="24"/>
      <c r="E177" s="24"/>
      <c r="F177" s="24"/>
      <c r="G177" s="28"/>
      <c r="H177" s="28"/>
      <c r="I177" s="24"/>
      <c r="J177" s="24"/>
      <c r="K177" s="29" t="str">
        <f aca="false">IF($A177="","",IF(OR($C177="Decision",$C177="Conflict"),IF(COUNTIFS($I$2:$I$1001,$A177,$C$2:$C$1001,"Resolved")=0,"Open","Closed"),IF(AND($H177="Unconfirmed",OR($C177="New",$C177="Know")),IF(COUNTIFS($I$2:$I$1001,$A177,$C$2:$C$1001,"Confirmed")=0,"Unconfirmed","Confirmed"),"Logged")))</f>
        <v/>
      </c>
      <c r="L177" s="29" t="str">
        <f aca="false">IF($A177="","",AsOf-$B177)</f>
        <v/>
      </c>
      <c r="M177" s="29" t="str">
        <f aca="false">IF($K177="Open",IF($C177="Conflict","Critical",IF($L177&gt;=DecisionCritical,"Critical",IF($L177&gt;=DecisionWarn,"Warning","On track"))),IF($K177="Unconfirmed",IF($L177&gt;=UnconfirmedWarn,"Warning","On track"),""))</f>
        <v/>
      </c>
      <c r="N177" s="29" t="str">
        <f aca="false">IF($M177="","",IF($M177="Critical",3000,IF($M177="Warning",2000,1000))+$L177+ROW()/100000)</f>
        <v/>
      </c>
      <c r="O177" s="29" t="str">
        <f aca="false">IF($K177="Open",IF($C177="Conflict","decide "&amp;$A177&amp;": &lt;which version stands&gt;","decide "&amp;$A177&amp;": &lt;outcome&gt;"),IF($K177="Unconfirmed","confirm "&amp;$A177,""))</f>
        <v/>
      </c>
    </row>
    <row r="178" customFormat="false" ht="15" hidden="false" customHeight="false" outlineLevel="0" collapsed="false">
      <c r="A178" s="24"/>
      <c r="B178" s="27"/>
      <c r="C178" s="28"/>
      <c r="D178" s="24"/>
      <c r="E178" s="24"/>
      <c r="F178" s="24"/>
      <c r="G178" s="28"/>
      <c r="H178" s="28"/>
      <c r="I178" s="24"/>
      <c r="J178" s="24"/>
      <c r="K178" s="29" t="str">
        <f aca="false">IF($A178="","",IF(OR($C178="Decision",$C178="Conflict"),IF(COUNTIFS($I$2:$I$1001,$A178,$C$2:$C$1001,"Resolved")=0,"Open","Closed"),IF(AND($H178="Unconfirmed",OR($C178="New",$C178="Know")),IF(COUNTIFS($I$2:$I$1001,$A178,$C$2:$C$1001,"Confirmed")=0,"Unconfirmed","Confirmed"),"Logged")))</f>
        <v/>
      </c>
      <c r="L178" s="29" t="str">
        <f aca="false">IF($A178="","",AsOf-$B178)</f>
        <v/>
      </c>
      <c r="M178" s="29" t="str">
        <f aca="false">IF($K178="Open",IF($C178="Conflict","Critical",IF($L178&gt;=DecisionCritical,"Critical",IF($L178&gt;=DecisionWarn,"Warning","On track"))),IF($K178="Unconfirmed",IF($L178&gt;=UnconfirmedWarn,"Warning","On track"),""))</f>
        <v/>
      </c>
      <c r="N178" s="29" t="str">
        <f aca="false">IF($M178="","",IF($M178="Critical",3000,IF($M178="Warning",2000,1000))+$L178+ROW()/100000)</f>
        <v/>
      </c>
      <c r="O178" s="29" t="str">
        <f aca="false">IF($K178="Open",IF($C178="Conflict","decide "&amp;$A178&amp;": &lt;which version stands&gt;","decide "&amp;$A178&amp;": &lt;outcome&gt;"),IF($K178="Unconfirmed","confirm "&amp;$A178,""))</f>
        <v/>
      </c>
    </row>
    <row r="179" customFormat="false" ht="15" hidden="false" customHeight="false" outlineLevel="0" collapsed="false">
      <c r="A179" s="24"/>
      <c r="B179" s="27"/>
      <c r="C179" s="28"/>
      <c r="D179" s="24"/>
      <c r="E179" s="24"/>
      <c r="F179" s="24"/>
      <c r="G179" s="28"/>
      <c r="H179" s="28"/>
      <c r="I179" s="24"/>
      <c r="J179" s="24"/>
      <c r="K179" s="29" t="str">
        <f aca="false">IF($A179="","",IF(OR($C179="Decision",$C179="Conflict"),IF(COUNTIFS($I$2:$I$1001,$A179,$C$2:$C$1001,"Resolved")=0,"Open","Closed"),IF(AND($H179="Unconfirmed",OR($C179="New",$C179="Know")),IF(COUNTIFS($I$2:$I$1001,$A179,$C$2:$C$1001,"Confirmed")=0,"Unconfirmed","Confirmed"),"Logged")))</f>
        <v/>
      </c>
      <c r="L179" s="29" t="str">
        <f aca="false">IF($A179="","",AsOf-$B179)</f>
        <v/>
      </c>
      <c r="M179" s="29" t="str">
        <f aca="false">IF($K179="Open",IF($C179="Conflict","Critical",IF($L179&gt;=DecisionCritical,"Critical",IF($L179&gt;=DecisionWarn,"Warning","On track"))),IF($K179="Unconfirmed",IF($L179&gt;=UnconfirmedWarn,"Warning","On track"),""))</f>
        <v/>
      </c>
      <c r="N179" s="29" t="str">
        <f aca="false">IF($M179="","",IF($M179="Critical",3000,IF($M179="Warning",2000,1000))+$L179+ROW()/100000)</f>
        <v/>
      </c>
      <c r="O179" s="29" t="str">
        <f aca="false">IF($K179="Open",IF($C179="Conflict","decide "&amp;$A179&amp;": &lt;which version stands&gt;","decide "&amp;$A179&amp;": &lt;outcome&gt;"),IF($K179="Unconfirmed","confirm "&amp;$A179,""))</f>
        <v/>
      </c>
    </row>
    <row r="180" customFormat="false" ht="15" hidden="false" customHeight="false" outlineLevel="0" collapsed="false">
      <c r="A180" s="24"/>
      <c r="B180" s="27"/>
      <c r="C180" s="28"/>
      <c r="D180" s="24"/>
      <c r="E180" s="24"/>
      <c r="F180" s="24"/>
      <c r="G180" s="28"/>
      <c r="H180" s="28"/>
      <c r="I180" s="24"/>
      <c r="J180" s="24"/>
      <c r="K180" s="29" t="str">
        <f aca="false">IF($A180="","",IF(OR($C180="Decision",$C180="Conflict"),IF(COUNTIFS($I$2:$I$1001,$A180,$C$2:$C$1001,"Resolved")=0,"Open","Closed"),IF(AND($H180="Unconfirmed",OR($C180="New",$C180="Know")),IF(COUNTIFS($I$2:$I$1001,$A180,$C$2:$C$1001,"Confirmed")=0,"Unconfirmed","Confirmed"),"Logged")))</f>
        <v/>
      </c>
      <c r="L180" s="29" t="str">
        <f aca="false">IF($A180="","",AsOf-$B180)</f>
        <v/>
      </c>
      <c r="M180" s="29" t="str">
        <f aca="false">IF($K180="Open",IF($C180="Conflict","Critical",IF($L180&gt;=DecisionCritical,"Critical",IF($L180&gt;=DecisionWarn,"Warning","On track"))),IF($K180="Unconfirmed",IF($L180&gt;=UnconfirmedWarn,"Warning","On track"),""))</f>
        <v/>
      </c>
      <c r="N180" s="29" t="str">
        <f aca="false">IF($M180="","",IF($M180="Critical",3000,IF($M180="Warning",2000,1000))+$L180+ROW()/100000)</f>
        <v/>
      </c>
      <c r="O180" s="29" t="str">
        <f aca="false">IF($K180="Open",IF($C180="Conflict","decide "&amp;$A180&amp;": &lt;which version stands&gt;","decide "&amp;$A180&amp;": &lt;outcome&gt;"),IF($K180="Unconfirmed","confirm "&amp;$A180,""))</f>
        <v/>
      </c>
    </row>
    <row r="181" customFormat="false" ht="15" hidden="false" customHeight="false" outlineLevel="0" collapsed="false">
      <c r="A181" s="24"/>
      <c r="B181" s="27"/>
      <c r="C181" s="28"/>
      <c r="D181" s="24"/>
      <c r="E181" s="24"/>
      <c r="F181" s="24"/>
      <c r="G181" s="28"/>
      <c r="H181" s="28"/>
      <c r="I181" s="24"/>
      <c r="J181" s="24"/>
      <c r="K181" s="29" t="str">
        <f aca="false">IF($A181="","",IF(OR($C181="Decision",$C181="Conflict"),IF(COUNTIFS($I$2:$I$1001,$A181,$C$2:$C$1001,"Resolved")=0,"Open","Closed"),IF(AND($H181="Unconfirmed",OR($C181="New",$C181="Know")),IF(COUNTIFS($I$2:$I$1001,$A181,$C$2:$C$1001,"Confirmed")=0,"Unconfirmed","Confirmed"),"Logged")))</f>
        <v/>
      </c>
      <c r="L181" s="29" t="str">
        <f aca="false">IF($A181="","",AsOf-$B181)</f>
        <v/>
      </c>
      <c r="M181" s="29" t="str">
        <f aca="false">IF($K181="Open",IF($C181="Conflict","Critical",IF($L181&gt;=DecisionCritical,"Critical",IF($L181&gt;=DecisionWarn,"Warning","On track"))),IF($K181="Unconfirmed",IF($L181&gt;=UnconfirmedWarn,"Warning","On track"),""))</f>
        <v/>
      </c>
      <c r="N181" s="29" t="str">
        <f aca="false">IF($M181="","",IF($M181="Critical",3000,IF($M181="Warning",2000,1000))+$L181+ROW()/100000)</f>
        <v/>
      </c>
      <c r="O181" s="29" t="str">
        <f aca="false">IF($K181="Open",IF($C181="Conflict","decide "&amp;$A181&amp;": &lt;which version stands&gt;","decide "&amp;$A181&amp;": &lt;outcome&gt;"),IF($K181="Unconfirmed","confirm "&amp;$A181,""))</f>
        <v/>
      </c>
    </row>
    <row r="182" customFormat="false" ht="15" hidden="false" customHeight="false" outlineLevel="0" collapsed="false">
      <c r="A182" s="24"/>
      <c r="B182" s="27"/>
      <c r="C182" s="28"/>
      <c r="D182" s="24"/>
      <c r="E182" s="24"/>
      <c r="F182" s="24"/>
      <c r="G182" s="28"/>
      <c r="H182" s="28"/>
      <c r="I182" s="24"/>
      <c r="J182" s="24"/>
      <c r="K182" s="29" t="str">
        <f aca="false">IF($A182="","",IF(OR($C182="Decision",$C182="Conflict"),IF(COUNTIFS($I$2:$I$1001,$A182,$C$2:$C$1001,"Resolved")=0,"Open","Closed"),IF(AND($H182="Unconfirmed",OR($C182="New",$C182="Know")),IF(COUNTIFS($I$2:$I$1001,$A182,$C$2:$C$1001,"Confirmed")=0,"Unconfirmed","Confirmed"),"Logged")))</f>
        <v/>
      </c>
      <c r="L182" s="29" t="str">
        <f aca="false">IF($A182="","",AsOf-$B182)</f>
        <v/>
      </c>
      <c r="M182" s="29" t="str">
        <f aca="false">IF($K182="Open",IF($C182="Conflict","Critical",IF($L182&gt;=DecisionCritical,"Critical",IF($L182&gt;=DecisionWarn,"Warning","On track"))),IF($K182="Unconfirmed",IF($L182&gt;=UnconfirmedWarn,"Warning","On track"),""))</f>
        <v/>
      </c>
      <c r="N182" s="29" t="str">
        <f aca="false">IF($M182="","",IF($M182="Critical",3000,IF($M182="Warning",2000,1000))+$L182+ROW()/100000)</f>
        <v/>
      </c>
      <c r="O182" s="29" t="str">
        <f aca="false">IF($K182="Open",IF($C182="Conflict","decide "&amp;$A182&amp;": &lt;which version stands&gt;","decide "&amp;$A182&amp;": &lt;outcome&gt;"),IF($K182="Unconfirmed","confirm "&amp;$A182,""))</f>
        <v/>
      </c>
    </row>
    <row r="183" customFormat="false" ht="15" hidden="false" customHeight="false" outlineLevel="0" collapsed="false">
      <c r="A183" s="24"/>
      <c r="B183" s="27"/>
      <c r="C183" s="28"/>
      <c r="D183" s="24"/>
      <c r="E183" s="24"/>
      <c r="F183" s="24"/>
      <c r="G183" s="28"/>
      <c r="H183" s="28"/>
      <c r="I183" s="24"/>
      <c r="J183" s="24"/>
      <c r="K183" s="29" t="str">
        <f aca="false">IF($A183="","",IF(OR($C183="Decision",$C183="Conflict"),IF(COUNTIFS($I$2:$I$1001,$A183,$C$2:$C$1001,"Resolved")=0,"Open","Closed"),IF(AND($H183="Unconfirmed",OR($C183="New",$C183="Know")),IF(COUNTIFS($I$2:$I$1001,$A183,$C$2:$C$1001,"Confirmed")=0,"Unconfirmed","Confirmed"),"Logged")))</f>
        <v/>
      </c>
      <c r="L183" s="29" t="str">
        <f aca="false">IF($A183="","",AsOf-$B183)</f>
        <v/>
      </c>
      <c r="M183" s="29" t="str">
        <f aca="false">IF($K183="Open",IF($C183="Conflict","Critical",IF($L183&gt;=DecisionCritical,"Critical",IF($L183&gt;=DecisionWarn,"Warning","On track"))),IF($K183="Unconfirmed",IF($L183&gt;=UnconfirmedWarn,"Warning","On track"),""))</f>
        <v/>
      </c>
      <c r="N183" s="29" t="str">
        <f aca="false">IF($M183="","",IF($M183="Critical",3000,IF($M183="Warning",2000,1000))+$L183+ROW()/100000)</f>
        <v/>
      </c>
      <c r="O183" s="29" t="str">
        <f aca="false">IF($K183="Open",IF($C183="Conflict","decide "&amp;$A183&amp;": &lt;which version stands&gt;","decide "&amp;$A183&amp;": &lt;outcome&gt;"),IF($K183="Unconfirmed","confirm "&amp;$A183,""))</f>
        <v/>
      </c>
    </row>
    <row r="184" customFormat="false" ht="15" hidden="false" customHeight="false" outlineLevel="0" collapsed="false">
      <c r="A184" s="24"/>
      <c r="B184" s="27"/>
      <c r="C184" s="28"/>
      <c r="D184" s="24"/>
      <c r="E184" s="24"/>
      <c r="F184" s="24"/>
      <c r="G184" s="28"/>
      <c r="H184" s="28"/>
      <c r="I184" s="24"/>
      <c r="J184" s="24"/>
      <c r="K184" s="29" t="str">
        <f aca="false">IF($A184="","",IF(OR($C184="Decision",$C184="Conflict"),IF(COUNTIFS($I$2:$I$1001,$A184,$C$2:$C$1001,"Resolved")=0,"Open","Closed"),IF(AND($H184="Unconfirmed",OR($C184="New",$C184="Know")),IF(COUNTIFS($I$2:$I$1001,$A184,$C$2:$C$1001,"Confirmed")=0,"Unconfirmed","Confirmed"),"Logged")))</f>
        <v/>
      </c>
      <c r="L184" s="29" t="str">
        <f aca="false">IF($A184="","",AsOf-$B184)</f>
        <v/>
      </c>
      <c r="M184" s="29" t="str">
        <f aca="false">IF($K184="Open",IF($C184="Conflict","Critical",IF($L184&gt;=DecisionCritical,"Critical",IF($L184&gt;=DecisionWarn,"Warning","On track"))),IF($K184="Unconfirmed",IF($L184&gt;=UnconfirmedWarn,"Warning","On track"),""))</f>
        <v/>
      </c>
      <c r="N184" s="29" t="str">
        <f aca="false">IF($M184="","",IF($M184="Critical",3000,IF($M184="Warning",2000,1000))+$L184+ROW()/100000)</f>
        <v/>
      </c>
      <c r="O184" s="29" t="str">
        <f aca="false">IF($K184="Open",IF($C184="Conflict","decide "&amp;$A184&amp;": &lt;which version stands&gt;","decide "&amp;$A184&amp;": &lt;outcome&gt;"),IF($K184="Unconfirmed","confirm "&amp;$A184,""))</f>
        <v/>
      </c>
    </row>
    <row r="185" customFormat="false" ht="15" hidden="false" customHeight="false" outlineLevel="0" collapsed="false">
      <c r="A185" s="24"/>
      <c r="B185" s="27"/>
      <c r="C185" s="28"/>
      <c r="D185" s="24"/>
      <c r="E185" s="24"/>
      <c r="F185" s="24"/>
      <c r="G185" s="28"/>
      <c r="H185" s="28"/>
      <c r="I185" s="24"/>
      <c r="J185" s="24"/>
      <c r="K185" s="29" t="str">
        <f aca="false">IF($A185="","",IF(OR($C185="Decision",$C185="Conflict"),IF(COUNTIFS($I$2:$I$1001,$A185,$C$2:$C$1001,"Resolved")=0,"Open","Closed"),IF(AND($H185="Unconfirmed",OR($C185="New",$C185="Know")),IF(COUNTIFS($I$2:$I$1001,$A185,$C$2:$C$1001,"Confirmed")=0,"Unconfirmed","Confirmed"),"Logged")))</f>
        <v/>
      </c>
      <c r="L185" s="29" t="str">
        <f aca="false">IF($A185="","",AsOf-$B185)</f>
        <v/>
      </c>
      <c r="M185" s="29" t="str">
        <f aca="false">IF($K185="Open",IF($C185="Conflict","Critical",IF($L185&gt;=DecisionCritical,"Critical",IF($L185&gt;=DecisionWarn,"Warning","On track"))),IF($K185="Unconfirmed",IF($L185&gt;=UnconfirmedWarn,"Warning","On track"),""))</f>
        <v/>
      </c>
      <c r="N185" s="29" t="str">
        <f aca="false">IF($M185="","",IF($M185="Critical",3000,IF($M185="Warning",2000,1000))+$L185+ROW()/100000)</f>
        <v/>
      </c>
      <c r="O185" s="29" t="str">
        <f aca="false">IF($K185="Open",IF($C185="Conflict","decide "&amp;$A185&amp;": &lt;which version stands&gt;","decide "&amp;$A185&amp;": &lt;outcome&gt;"),IF($K185="Unconfirmed","confirm "&amp;$A185,""))</f>
        <v/>
      </c>
    </row>
    <row r="186" customFormat="false" ht="15" hidden="false" customHeight="false" outlineLevel="0" collapsed="false">
      <c r="A186" s="24"/>
      <c r="B186" s="27"/>
      <c r="C186" s="28"/>
      <c r="D186" s="24"/>
      <c r="E186" s="24"/>
      <c r="F186" s="24"/>
      <c r="G186" s="28"/>
      <c r="H186" s="28"/>
      <c r="I186" s="24"/>
      <c r="J186" s="24"/>
      <c r="K186" s="29" t="str">
        <f aca="false">IF($A186="","",IF(OR($C186="Decision",$C186="Conflict"),IF(COUNTIFS($I$2:$I$1001,$A186,$C$2:$C$1001,"Resolved")=0,"Open","Closed"),IF(AND($H186="Unconfirmed",OR($C186="New",$C186="Know")),IF(COUNTIFS($I$2:$I$1001,$A186,$C$2:$C$1001,"Confirmed")=0,"Unconfirmed","Confirmed"),"Logged")))</f>
        <v/>
      </c>
      <c r="L186" s="29" t="str">
        <f aca="false">IF($A186="","",AsOf-$B186)</f>
        <v/>
      </c>
      <c r="M186" s="29" t="str">
        <f aca="false">IF($K186="Open",IF($C186="Conflict","Critical",IF($L186&gt;=DecisionCritical,"Critical",IF($L186&gt;=DecisionWarn,"Warning","On track"))),IF($K186="Unconfirmed",IF($L186&gt;=UnconfirmedWarn,"Warning","On track"),""))</f>
        <v/>
      </c>
      <c r="N186" s="29" t="str">
        <f aca="false">IF($M186="","",IF($M186="Critical",3000,IF($M186="Warning",2000,1000))+$L186+ROW()/100000)</f>
        <v/>
      </c>
      <c r="O186" s="29" t="str">
        <f aca="false">IF($K186="Open",IF($C186="Conflict","decide "&amp;$A186&amp;": &lt;which version stands&gt;","decide "&amp;$A186&amp;": &lt;outcome&gt;"),IF($K186="Unconfirmed","confirm "&amp;$A186,""))</f>
        <v/>
      </c>
    </row>
    <row r="187" customFormat="false" ht="15" hidden="false" customHeight="false" outlineLevel="0" collapsed="false">
      <c r="A187" s="24"/>
      <c r="B187" s="27"/>
      <c r="C187" s="28"/>
      <c r="D187" s="24"/>
      <c r="E187" s="24"/>
      <c r="F187" s="24"/>
      <c r="G187" s="28"/>
      <c r="H187" s="28"/>
      <c r="I187" s="24"/>
      <c r="J187" s="24"/>
      <c r="K187" s="29" t="str">
        <f aca="false">IF($A187="","",IF(OR($C187="Decision",$C187="Conflict"),IF(COUNTIFS($I$2:$I$1001,$A187,$C$2:$C$1001,"Resolved")=0,"Open","Closed"),IF(AND($H187="Unconfirmed",OR($C187="New",$C187="Know")),IF(COUNTIFS($I$2:$I$1001,$A187,$C$2:$C$1001,"Confirmed")=0,"Unconfirmed","Confirmed"),"Logged")))</f>
        <v/>
      </c>
      <c r="L187" s="29" t="str">
        <f aca="false">IF($A187="","",AsOf-$B187)</f>
        <v/>
      </c>
      <c r="M187" s="29" t="str">
        <f aca="false">IF($K187="Open",IF($C187="Conflict","Critical",IF($L187&gt;=DecisionCritical,"Critical",IF($L187&gt;=DecisionWarn,"Warning","On track"))),IF($K187="Unconfirmed",IF($L187&gt;=UnconfirmedWarn,"Warning","On track"),""))</f>
        <v/>
      </c>
      <c r="N187" s="29" t="str">
        <f aca="false">IF($M187="","",IF($M187="Critical",3000,IF($M187="Warning",2000,1000))+$L187+ROW()/100000)</f>
        <v/>
      </c>
      <c r="O187" s="29" t="str">
        <f aca="false">IF($K187="Open",IF($C187="Conflict","decide "&amp;$A187&amp;": &lt;which version stands&gt;","decide "&amp;$A187&amp;": &lt;outcome&gt;"),IF($K187="Unconfirmed","confirm "&amp;$A187,""))</f>
        <v/>
      </c>
    </row>
    <row r="188" customFormat="false" ht="15" hidden="false" customHeight="false" outlineLevel="0" collapsed="false">
      <c r="A188" s="24"/>
      <c r="B188" s="27"/>
      <c r="C188" s="28"/>
      <c r="D188" s="24"/>
      <c r="E188" s="24"/>
      <c r="F188" s="24"/>
      <c r="G188" s="28"/>
      <c r="H188" s="28"/>
      <c r="I188" s="24"/>
      <c r="J188" s="24"/>
      <c r="K188" s="29" t="str">
        <f aca="false">IF($A188="","",IF(OR($C188="Decision",$C188="Conflict"),IF(COUNTIFS($I$2:$I$1001,$A188,$C$2:$C$1001,"Resolved")=0,"Open","Closed"),IF(AND($H188="Unconfirmed",OR($C188="New",$C188="Know")),IF(COUNTIFS($I$2:$I$1001,$A188,$C$2:$C$1001,"Confirmed")=0,"Unconfirmed","Confirmed"),"Logged")))</f>
        <v/>
      </c>
      <c r="L188" s="29" t="str">
        <f aca="false">IF($A188="","",AsOf-$B188)</f>
        <v/>
      </c>
      <c r="M188" s="29" t="str">
        <f aca="false">IF($K188="Open",IF($C188="Conflict","Critical",IF($L188&gt;=DecisionCritical,"Critical",IF($L188&gt;=DecisionWarn,"Warning","On track"))),IF($K188="Unconfirmed",IF($L188&gt;=UnconfirmedWarn,"Warning","On track"),""))</f>
        <v/>
      </c>
      <c r="N188" s="29" t="str">
        <f aca="false">IF($M188="","",IF($M188="Critical",3000,IF($M188="Warning",2000,1000))+$L188+ROW()/100000)</f>
        <v/>
      </c>
      <c r="O188" s="29" t="str">
        <f aca="false">IF($K188="Open",IF($C188="Conflict","decide "&amp;$A188&amp;": &lt;which version stands&gt;","decide "&amp;$A188&amp;": &lt;outcome&gt;"),IF($K188="Unconfirmed","confirm "&amp;$A188,""))</f>
        <v/>
      </c>
    </row>
    <row r="189" customFormat="false" ht="15" hidden="false" customHeight="false" outlineLevel="0" collapsed="false">
      <c r="A189" s="24"/>
      <c r="B189" s="27"/>
      <c r="C189" s="28"/>
      <c r="D189" s="24"/>
      <c r="E189" s="24"/>
      <c r="F189" s="24"/>
      <c r="G189" s="28"/>
      <c r="H189" s="28"/>
      <c r="I189" s="24"/>
      <c r="J189" s="24"/>
      <c r="K189" s="29" t="str">
        <f aca="false">IF($A189="","",IF(OR($C189="Decision",$C189="Conflict"),IF(COUNTIFS($I$2:$I$1001,$A189,$C$2:$C$1001,"Resolved")=0,"Open","Closed"),IF(AND($H189="Unconfirmed",OR($C189="New",$C189="Know")),IF(COUNTIFS($I$2:$I$1001,$A189,$C$2:$C$1001,"Confirmed")=0,"Unconfirmed","Confirmed"),"Logged")))</f>
        <v/>
      </c>
      <c r="L189" s="29" t="str">
        <f aca="false">IF($A189="","",AsOf-$B189)</f>
        <v/>
      </c>
      <c r="M189" s="29" t="str">
        <f aca="false">IF($K189="Open",IF($C189="Conflict","Critical",IF($L189&gt;=DecisionCritical,"Critical",IF($L189&gt;=DecisionWarn,"Warning","On track"))),IF($K189="Unconfirmed",IF($L189&gt;=UnconfirmedWarn,"Warning","On track"),""))</f>
        <v/>
      </c>
      <c r="N189" s="29" t="str">
        <f aca="false">IF($M189="","",IF($M189="Critical",3000,IF($M189="Warning",2000,1000))+$L189+ROW()/100000)</f>
        <v/>
      </c>
      <c r="O189" s="29" t="str">
        <f aca="false">IF($K189="Open",IF($C189="Conflict","decide "&amp;$A189&amp;": &lt;which version stands&gt;","decide "&amp;$A189&amp;": &lt;outcome&gt;"),IF($K189="Unconfirmed","confirm "&amp;$A189,""))</f>
        <v/>
      </c>
    </row>
    <row r="190" customFormat="false" ht="15" hidden="false" customHeight="false" outlineLevel="0" collapsed="false">
      <c r="A190" s="24"/>
      <c r="B190" s="27"/>
      <c r="C190" s="28"/>
      <c r="D190" s="24"/>
      <c r="E190" s="24"/>
      <c r="F190" s="24"/>
      <c r="G190" s="28"/>
      <c r="H190" s="28"/>
      <c r="I190" s="24"/>
      <c r="J190" s="24"/>
      <c r="K190" s="29" t="str">
        <f aca="false">IF($A190="","",IF(OR($C190="Decision",$C190="Conflict"),IF(COUNTIFS($I$2:$I$1001,$A190,$C$2:$C$1001,"Resolved")=0,"Open","Closed"),IF(AND($H190="Unconfirmed",OR($C190="New",$C190="Know")),IF(COUNTIFS($I$2:$I$1001,$A190,$C$2:$C$1001,"Confirmed")=0,"Unconfirmed","Confirmed"),"Logged")))</f>
        <v/>
      </c>
      <c r="L190" s="29" t="str">
        <f aca="false">IF($A190="","",AsOf-$B190)</f>
        <v/>
      </c>
      <c r="M190" s="29" t="str">
        <f aca="false">IF($K190="Open",IF($C190="Conflict","Critical",IF($L190&gt;=DecisionCritical,"Critical",IF($L190&gt;=DecisionWarn,"Warning","On track"))),IF($K190="Unconfirmed",IF($L190&gt;=UnconfirmedWarn,"Warning","On track"),""))</f>
        <v/>
      </c>
      <c r="N190" s="29" t="str">
        <f aca="false">IF($M190="","",IF($M190="Critical",3000,IF($M190="Warning",2000,1000))+$L190+ROW()/100000)</f>
        <v/>
      </c>
      <c r="O190" s="29" t="str">
        <f aca="false">IF($K190="Open",IF($C190="Conflict","decide "&amp;$A190&amp;": &lt;which version stands&gt;","decide "&amp;$A190&amp;": &lt;outcome&gt;"),IF($K190="Unconfirmed","confirm "&amp;$A190,""))</f>
        <v/>
      </c>
    </row>
    <row r="191" customFormat="false" ht="15" hidden="false" customHeight="false" outlineLevel="0" collapsed="false">
      <c r="A191" s="24"/>
      <c r="B191" s="27"/>
      <c r="C191" s="28"/>
      <c r="D191" s="24"/>
      <c r="E191" s="24"/>
      <c r="F191" s="24"/>
      <c r="G191" s="28"/>
      <c r="H191" s="28"/>
      <c r="I191" s="24"/>
      <c r="J191" s="24"/>
      <c r="K191" s="29" t="str">
        <f aca="false">IF($A191="","",IF(OR($C191="Decision",$C191="Conflict"),IF(COUNTIFS($I$2:$I$1001,$A191,$C$2:$C$1001,"Resolved")=0,"Open","Closed"),IF(AND($H191="Unconfirmed",OR($C191="New",$C191="Know")),IF(COUNTIFS($I$2:$I$1001,$A191,$C$2:$C$1001,"Confirmed")=0,"Unconfirmed","Confirmed"),"Logged")))</f>
        <v/>
      </c>
      <c r="L191" s="29" t="str">
        <f aca="false">IF($A191="","",AsOf-$B191)</f>
        <v/>
      </c>
      <c r="M191" s="29" t="str">
        <f aca="false">IF($K191="Open",IF($C191="Conflict","Critical",IF($L191&gt;=DecisionCritical,"Critical",IF($L191&gt;=DecisionWarn,"Warning","On track"))),IF($K191="Unconfirmed",IF($L191&gt;=UnconfirmedWarn,"Warning","On track"),""))</f>
        <v/>
      </c>
      <c r="N191" s="29" t="str">
        <f aca="false">IF($M191="","",IF($M191="Critical",3000,IF($M191="Warning",2000,1000))+$L191+ROW()/100000)</f>
        <v/>
      </c>
      <c r="O191" s="29" t="str">
        <f aca="false">IF($K191="Open",IF($C191="Conflict","decide "&amp;$A191&amp;": &lt;which version stands&gt;","decide "&amp;$A191&amp;": &lt;outcome&gt;"),IF($K191="Unconfirmed","confirm "&amp;$A191,""))</f>
        <v/>
      </c>
    </row>
    <row r="192" customFormat="false" ht="15" hidden="false" customHeight="false" outlineLevel="0" collapsed="false">
      <c r="A192" s="24"/>
      <c r="B192" s="27"/>
      <c r="C192" s="28"/>
      <c r="D192" s="24"/>
      <c r="E192" s="24"/>
      <c r="F192" s="24"/>
      <c r="G192" s="28"/>
      <c r="H192" s="28"/>
      <c r="I192" s="24"/>
      <c r="J192" s="24"/>
      <c r="K192" s="29" t="str">
        <f aca="false">IF($A192="","",IF(OR($C192="Decision",$C192="Conflict"),IF(COUNTIFS($I$2:$I$1001,$A192,$C$2:$C$1001,"Resolved")=0,"Open","Closed"),IF(AND($H192="Unconfirmed",OR($C192="New",$C192="Know")),IF(COUNTIFS($I$2:$I$1001,$A192,$C$2:$C$1001,"Confirmed")=0,"Unconfirmed","Confirmed"),"Logged")))</f>
        <v/>
      </c>
      <c r="L192" s="29" t="str">
        <f aca="false">IF($A192="","",AsOf-$B192)</f>
        <v/>
      </c>
      <c r="M192" s="29" t="str">
        <f aca="false">IF($K192="Open",IF($C192="Conflict","Critical",IF($L192&gt;=DecisionCritical,"Critical",IF($L192&gt;=DecisionWarn,"Warning","On track"))),IF($K192="Unconfirmed",IF($L192&gt;=UnconfirmedWarn,"Warning","On track"),""))</f>
        <v/>
      </c>
      <c r="N192" s="29" t="str">
        <f aca="false">IF($M192="","",IF($M192="Critical",3000,IF($M192="Warning",2000,1000))+$L192+ROW()/100000)</f>
        <v/>
      </c>
      <c r="O192" s="29" t="str">
        <f aca="false">IF($K192="Open",IF($C192="Conflict","decide "&amp;$A192&amp;": &lt;which version stands&gt;","decide "&amp;$A192&amp;": &lt;outcome&gt;"),IF($K192="Unconfirmed","confirm "&amp;$A192,""))</f>
        <v/>
      </c>
    </row>
    <row r="193" customFormat="false" ht="15" hidden="false" customHeight="false" outlineLevel="0" collapsed="false">
      <c r="A193" s="24"/>
      <c r="B193" s="27"/>
      <c r="C193" s="28"/>
      <c r="D193" s="24"/>
      <c r="E193" s="24"/>
      <c r="F193" s="24"/>
      <c r="G193" s="28"/>
      <c r="H193" s="28"/>
      <c r="I193" s="24"/>
      <c r="J193" s="24"/>
      <c r="K193" s="29" t="str">
        <f aca="false">IF($A193="","",IF(OR($C193="Decision",$C193="Conflict"),IF(COUNTIFS($I$2:$I$1001,$A193,$C$2:$C$1001,"Resolved")=0,"Open","Closed"),IF(AND($H193="Unconfirmed",OR($C193="New",$C193="Know")),IF(COUNTIFS($I$2:$I$1001,$A193,$C$2:$C$1001,"Confirmed")=0,"Unconfirmed","Confirmed"),"Logged")))</f>
        <v/>
      </c>
      <c r="L193" s="29" t="str">
        <f aca="false">IF($A193="","",AsOf-$B193)</f>
        <v/>
      </c>
      <c r="M193" s="29" t="str">
        <f aca="false">IF($K193="Open",IF($C193="Conflict","Critical",IF($L193&gt;=DecisionCritical,"Critical",IF($L193&gt;=DecisionWarn,"Warning","On track"))),IF($K193="Unconfirmed",IF($L193&gt;=UnconfirmedWarn,"Warning","On track"),""))</f>
        <v/>
      </c>
      <c r="N193" s="29" t="str">
        <f aca="false">IF($M193="","",IF($M193="Critical",3000,IF($M193="Warning",2000,1000))+$L193+ROW()/100000)</f>
        <v/>
      </c>
      <c r="O193" s="29" t="str">
        <f aca="false">IF($K193="Open",IF($C193="Conflict","decide "&amp;$A193&amp;": &lt;which version stands&gt;","decide "&amp;$A193&amp;": &lt;outcome&gt;"),IF($K193="Unconfirmed","confirm "&amp;$A193,""))</f>
        <v/>
      </c>
    </row>
    <row r="194" customFormat="false" ht="15" hidden="false" customHeight="false" outlineLevel="0" collapsed="false">
      <c r="A194" s="24"/>
      <c r="B194" s="27"/>
      <c r="C194" s="28"/>
      <c r="D194" s="24"/>
      <c r="E194" s="24"/>
      <c r="F194" s="24"/>
      <c r="G194" s="28"/>
      <c r="H194" s="28"/>
      <c r="I194" s="24"/>
      <c r="J194" s="24"/>
      <c r="K194" s="29" t="str">
        <f aca="false">IF($A194="","",IF(OR($C194="Decision",$C194="Conflict"),IF(COUNTIFS($I$2:$I$1001,$A194,$C$2:$C$1001,"Resolved")=0,"Open","Closed"),IF(AND($H194="Unconfirmed",OR($C194="New",$C194="Know")),IF(COUNTIFS($I$2:$I$1001,$A194,$C$2:$C$1001,"Confirmed")=0,"Unconfirmed","Confirmed"),"Logged")))</f>
        <v/>
      </c>
      <c r="L194" s="29" t="str">
        <f aca="false">IF($A194="","",AsOf-$B194)</f>
        <v/>
      </c>
      <c r="M194" s="29" t="str">
        <f aca="false">IF($K194="Open",IF($C194="Conflict","Critical",IF($L194&gt;=DecisionCritical,"Critical",IF($L194&gt;=DecisionWarn,"Warning","On track"))),IF($K194="Unconfirmed",IF($L194&gt;=UnconfirmedWarn,"Warning","On track"),""))</f>
        <v/>
      </c>
      <c r="N194" s="29" t="str">
        <f aca="false">IF($M194="","",IF($M194="Critical",3000,IF($M194="Warning",2000,1000))+$L194+ROW()/100000)</f>
        <v/>
      </c>
      <c r="O194" s="29" t="str">
        <f aca="false">IF($K194="Open",IF($C194="Conflict","decide "&amp;$A194&amp;": &lt;which version stands&gt;","decide "&amp;$A194&amp;": &lt;outcome&gt;"),IF($K194="Unconfirmed","confirm "&amp;$A194,""))</f>
        <v/>
      </c>
    </row>
    <row r="195" customFormat="false" ht="15" hidden="false" customHeight="false" outlineLevel="0" collapsed="false">
      <c r="A195" s="24"/>
      <c r="B195" s="27"/>
      <c r="C195" s="28"/>
      <c r="D195" s="24"/>
      <c r="E195" s="24"/>
      <c r="F195" s="24"/>
      <c r="G195" s="28"/>
      <c r="H195" s="28"/>
      <c r="I195" s="24"/>
      <c r="J195" s="24"/>
      <c r="K195" s="29" t="str">
        <f aca="false">IF($A195="","",IF(OR($C195="Decision",$C195="Conflict"),IF(COUNTIFS($I$2:$I$1001,$A195,$C$2:$C$1001,"Resolved")=0,"Open","Closed"),IF(AND($H195="Unconfirmed",OR($C195="New",$C195="Know")),IF(COUNTIFS($I$2:$I$1001,$A195,$C$2:$C$1001,"Confirmed")=0,"Unconfirmed","Confirmed"),"Logged")))</f>
        <v/>
      </c>
      <c r="L195" s="29" t="str">
        <f aca="false">IF($A195="","",AsOf-$B195)</f>
        <v/>
      </c>
      <c r="M195" s="29" t="str">
        <f aca="false">IF($K195="Open",IF($C195="Conflict","Critical",IF($L195&gt;=DecisionCritical,"Critical",IF($L195&gt;=DecisionWarn,"Warning","On track"))),IF($K195="Unconfirmed",IF($L195&gt;=UnconfirmedWarn,"Warning","On track"),""))</f>
        <v/>
      </c>
      <c r="N195" s="29" t="str">
        <f aca="false">IF($M195="","",IF($M195="Critical",3000,IF($M195="Warning",2000,1000))+$L195+ROW()/100000)</f>
        <v/>
      </c>
      <c r="O195" s="29" t="str">
        <f aca="false">IF($K195="Open",IF($C195="Conflict","decide "&amp;$A195&amp;": &lt;which version stands&gt;","decide "&amp;$A195&amp;": &lt;outcome&gt;"),IF($K195="Unconfirmed","confirm "&amp;$A195,""))</f>
        <v/>
      </c>
    </row>
    <row r="196" customFormat="false" ht="15" hidden="false" customHeight="false" outlineLevel="0" collapsed="false">
      <c r="A196" s="24"/>
      <c r="B196" s="27"/>
      <c r="C196" s="28"/>
      <c r="D196" s="24"/>
      <c r="E196" s="24"/>
      <c r="F196" s="24"/>
      <c r="G196" s="28"/>
      <c r="H196" s="28"/>
      <c r="I196" s="24"/>
      <c r="J196" s="24"/>
      <c r="K196" s="29" t="str">
        <f aca="false">IF($A196="","",IF(OR($C196="Decision",$C196="Conflict"),IF(COUNTIFS($I$2:$I$1001,$A196,$C$2:$C$1001,"Resolved")=0,"Open","Closed"),IF(AND($H196="Unconfirmed",OR($C196="New",$C196="Know")),IF(COUNTIFS($I$2:$I$1001,$A196,$C$2:$C$1001,"Confirmed")=0,"Unconfirmed","Confirmed"),"Logged")))</f>
        <v/>
      </c>
      <c r="L196" s="29" t="str">
        <f aca="false">IF($A196="","",AsOf-$B196)</f>
        <v/>
      </c>
      <c r="M196" s="29" t="str">
        <f aca="false">IF($K196="Open",IF($C196="Conflict","Critical",IF($L196&gt;=DecisionCritical,"Critical",IF($L196&gt;=DecisionWarn,"Warning","On track"))),IF($K196="Unconfirmed",IF($L196&gt;=UnconfirmedWarn,"Warning","On track"),""))</f>
        <v/>
      </c>
      <c r="N196" s="29" t="str">
        <f aca="false">IF($M196="","",IF($M196="Critical",3000,IF($M196="Warning",2000,1000))+$L196+ROW()/100000)</f>
        <v/>
      </c>
      <c r="O196" s="29" t="str">
        <f aca="false">IF($K196="Open",IF($C196="Conflict","decide "&amp;$A196&amp;": &lt;which version stands&gt;","decide "&amp;$A196&amp;": &lt;outcome&gt;"),IF($K196="Unconfirmed","confirm "&amp;$A196,""))</f>
        <v/>
      </c>
    </row>
    <row r="197" customFormat="false" ht="15" hidden="false" customHeight="false" outlineLevel="0" collapsed="false">
      <c r="A197" s="24"/>
      <c r="B197" s="27"/>
      <c r="C197" s="28"/>
      <c r="D197" s="24"/>
      <c r="E197" s="24"/>
      <c r="F197" s="24"/>
      <c r="G197" s="28"/>
      <c r="H197" s="28"/>
      <c r="I197" s="24"/>
      <c r="J197" s="24"/>
      <c r="K197" s="29" t="str">
        <f aca="false">IF($A197="","",IF(OR($C197="Decision",$C197="Conflict"),IF(COUNTIFS($I$2:$I$1001,$A197,$C$2:$C$1001,"Resolved")=0,"Open","Closed"),IF(AND($H197="Unconfirmed",OR($C197="New",$C197="Know")),IF(COUNTIFS($I$2:$I$1001,$A197,$C$2:$C$1001,"Confirmed")=0,"Unconfirmed","Confirmed"),"Logged")))</f>
        <v/>
      </c>
      <c r="L197" s="29" t="str">
        <f aca="false">IF($A197="","",AsOf-$B197)</f>
        <v/>
      </c>
      <c r="M197" s="29" t="str">
        <f aca="false">IF($K197="Open",IF($C197="Conflict","Critical",IF($L197&gt;=DecisionCritical,"Critical",IF($L197&gt;=DecisionWarn,"Warning","On track"))),IF($K197="Unconfirmed",IF($L197&gt;=UnconfirmedWarn,"Warning","On track"),""))</f>
        <v/>
      </c>
      <c r="N197" s="29" t="str">
        <f aca="false">IF($M197="","",IF($M197="Critical",3000,IF($M197="Warning",2000,1000))+$L197+ROW()/100000)</f>
        <v/>
      </c>
      <c r="O197" s="29" t="str">
        <f aca="false">IF($K197="Open",IF($C197="Conflict","decide "&amp;$A197&amp;": &lt;which version stands&gt;","decide "&amp;$A197&amp;": &lt;outcome&gt;"),IF($K197="Unconfirmed","confirm "&amp;$A197,""))</f>
        <v/>
      </c>
    </row>
    <row r="198" customFormat="false" ht="15" hidden="false" customHeight="false" outlineLevel="0" collapsed="false">
      <c r="A198" s="24"/>
      <c r="B198" s="27"/>
      <c r="C198" s="28"/>
      <c r="D198" s="24"/>
      <c r="E198" s="24"/>
      <c r="F198" s="24"/>
      <c r="G198" s="28"/>
      <c r="H198" s="28"/>
      <c r="I198" s="24"/>
      <c r="J198" s="24"/>
      <c r="K198" s="29" t="str">
        <f aca="false">IF($A198="","",IF(OR($C198="Decision",$C198="Conflict"),IF(COUNTIFS($I$2:$I$1001,$A198,$C$2:$C$1001,"Resolved")=0,"Open","Closed"),IF(AND($H198="Unconfirmed",OR($C198="New",$C198="Know")),IF(COUNTIFS($I$2:$I$1001,$A198,$C$2:$C$1001,"Confirmed")=0,"Unconfirmed","Confirmed"),"Logged")))</f>
        <v/>
      </c>
      <c r="L198" s="29" t="str">
        <f aca="false">IF($A198="","",AsOf-$B198)</f>
        <v/>
      </c>
      <c r="M198" s="29" t="str">
        <f aca="false">IF($K198="Open",IF($C198="Conflict","Critical",IF($L198&gt;=DecisionCritical,"Critical",IF($L198&gt;=DecisionWarn,"Warning","On track"))),IF($K198="Unconfirmed",IF($L198&gt;=UnconfirmedWarn,"Warning","On track"),""))</f>
        <v/>
      </c>
      <c r="N198" s="29" t="str">
        <f aca="false">IF($M198="","",IF($M198="Critical",3000,IF($M198="Warning",2000,1000))+$L198+ROW()/100000)</f>
        <v/>
      </c>
      <c r="O198" s="29" t="str">
        <f aca="false">IF($K198="Open",IF($C198="Conflict","decide "&amp;$A198&amp;": &lt;which version stands&gt;","decide "&amp;$A198&amp;": &lt;outcome&gt;"),IF($K198="Unconfirmed","confirm "&amp;$A198,""))</f>
        <v/>
      </c>
    </row>
    <row r="199" customFormat="false" ht="15" hidden="false" customHeight="false" outlineLevel="0" collapsed="false">
      <c r="A199" s="24"/>
      <c r="B199" s="27"/>
      <c r="C199" s="28"/>
      <c r="D199" s="24"/>
      <c r="E199" s="24"/>
      <c r="F199" s="24"/>
      <c r="G199" s="28"/>
      <c r="H199" s="28"/>
      <c r="I199" s="24"/>
      <c r="J199" s="24"/>
      <c r="K199" s="29" t="str">
        <f aca="false">IF($A199="","",IF(OR($C199="Decision",$C199="Conflict"),IF(COUNTIFS($I$2:$I$1001,$A199,$C$2:$C$1001,"Resolved")=0,"Open","Closed"),IF(AND($H199="Unconfirmed",OR($C199="New",$C199="Know")),IF(COUNTIFS($I$2:$I$1001,$A199,$C$2:$C$1001,"Confirmed")=0,"Unconfirmed","Confirmed"),"Logged")))</f>
        <v/>
      </c>
      <c r="L199" s="29" t="str">
        <f aca="false">IF($A199="","",AsOf-$B199)</f>
        <v/>
      </c>
      <c r="M199" s="29" t="str">
        <f aca="false">IF($K199="Open",IF($C199="Conflict","Critical",IF($L199&gt;=DecisionCritical,"Critical",IF($L199&gt;=DecisionWarn,"Warning","On track"))),IF($K199="Unconfirmed",IF($L199&gt;=UnconfirmedWarn,"Warning","On track"),""))</f>
        <v/>
      </c>
      <c r="N199" s="29" t="str">
        <f aca="false">IF($M199="","",IF($M199="Critical",3000,IF($M199="Warning",2000,1000))+$L199+ROW()/100000)</f>
        <v/>
      </c>
      <c r="O199" s="29" t="str">
        <f aca="false">IF($K199="Open",IF($C199="Conflict","decide "&amp;$A199&amp;": &lt;which version stands&gt;","decide "&amp;$A199&amp;": &lt;outcome&gt;"),IF($K199="Unconfirmed","confirm "&amp;$A199,""))</f>
        <v/>
      </c>
    </row>
    <row r="200" customFormat="false" ht="15" hidden="false" customHeight="false" outlineLevel="0" collapsed="false">
      <c r="A200" s="24"/>
      <c r="B200" s="27"/>
      <c r="C200" s="28"/>
      <c r="D200" s="24"/>
      <c r="E200" s="24"/>
      <c r="F200" s="24"/>
      <c r="G200" s="28"/>
      <c r="H200" s="28"/>
      <c r="I200" s="24"/>
      <c r="J200" s="24"/>
      <c r="K200" s="29" t="str">
        <f aca="false">IF($A200="","",IF(OR($C200="Decision",$C200="Conflict"),IF(COUNTIFS($I$2:$I$1001,$A200,$C$2:$C$1001,"Resolved")=0,"Open","Closed"),IF(AND($H200="Unconfirmed",OR($C200="New",$C200="Know")),IF(COUNTIFS($I$2:$I$1001,$A200,$C$2:$C$1001,"Confirmed")=0,"Unconfirmed","Confirmed"),"Logged")))</f>
        <v/>
      </c>
      <c r="L200" s="29" t="str">
        <f aca="false">IF($A200="","",AsOf-$B200)</f>
        <v/>
      </c>
      <c r="M200" s="29" t="str">
        <f aca="false">IF($K200="Open",IF($C200="Conflict","Critical",IF($L200&gt;=DecisionCritical,"Critical",IF($L200&gt;=DecisionWarn,"Warning","On track"))),IF($K200="Unconfirmed",IF($L200&gt;=UnconfirmedWarn,"Warning","On track"),""))</f>
        <v/>
      </c>
      <c r="N200" s="29" t="str">
        <f aca="false">IF($M200="","",IF($M200="Critical",3000,IF($M200="Warning",2000,1000))+$L200+ROW()/100000)</f>
        <v/>
      </c>
      <c r="O200" s="29" t="str">
        <f aca="false">IF($K200="Open",IF($C200="Conflict","decide "&amp;$A200&amp;": &lt;which version stands&gt;","decide "&amp;$A200&amp;": &lt;outcome&gt;"),IF($K200="Unconfirmed","confirm "&amp;$A200,""))</f>
        <v/>
      </c>
    </row>
    <row r="201" customFormat="false" ht="15" hidden="false" customHeight="false" outlineLevel="0" collapsed="false">
      <c r="A201" s="24"/>
      <c r="B201" s="27"/>
      <c r="C201" s="28"/>
      <c r="D201" s="24"/>
      <c r="E201" s="24"/>
      <c r="F201" s="24"/>
      <c r="G201" s="28"/>
      <c r="H201" s="28"/>
      <c r="I201" s="24"/>
      <c r="J201" s="24"/>
      <c r="K201" s="29" t="str">
        <f aca="false">IF($A201="","",IF(OR($C201="Decision",$C201="Conflict"),IF(COUNTIFS($I$2:$I$1001,$A201,$C$2:$C$1001,"Resolved")=0,"Open","Closed"),IF(AND($H201="Unconfirmed",OR($C201="New",$C201="Know")),IF(COUNTIFS($I$2:$I$1001,$A201,$C$2:$C$1001,"Confirmed")=0,"Unconfirmed","Confirmed"),"Logged")))</f>
        <v/>
      </c>
      <c r="L201" s="29" t="str">
        <f aca="false">IF($A201="","",AsOf-$B201)</f>
        <v/>
      </c>
      <c r="M201" s="29" t="str">
        <f aca="false">IF($K201="Open",IF($C201="Conflict","Critical",IF($L201&gt;=DecisionCritical,"Critical",IF($L201&gt;=DecisionWarn,"Warning","On track"))),IF($K201="Unconfirmed",IF($L201&gt;=UnconfirmedWarn,"Warning","On track"),""))</f>
        <v/>
      </c>
      <c r="N201" s="29" t="str">
        <f aca="false">IF($M201="","",IF($M201="Critical",3000,IF($M201="Warning",2000,1000))+$L201+ROW()/100000)</f>
        <v/>
      </c>
      <c r="O201" s="29" t="str">
        <f aca="false">IF($K201="Open",IF($C201="Conflict","decide "&amp;$A201&amp;": &lt;which version stands&gt;","decide "&amp;$A201&amp;": &lt;outcome&gt;"),IF($K201="Unconfirmed","confirm "&amp;$A201,""))</f>
        <v/>
      </c>
    </row>
    <row r="202" customFormat="false" ht="15" hidden="false" customHeight="false" outlineLevel="0" collapsed="false">
      <c r="A202" s="24"/>
      <c r="B202" s="27"/>
      <c r="C202" s="28"/>
      <c r="D202" s="24"/>
      <c r="E202" s="24"/>
      <c r="F202" s="24"/>
      <c r="G202" s="28"/>
      <c r="H202" s="28"/>
      <c r="I202" s="24"/>
      <c r="J202" s="24"/>
      <c r="K202" s="29" t="str">
        <f aca="false">IF($A202="","",IF(OR($C202="Decision",$C202="Conflict"),IF(COUNTIFS($I$2:$I$1001,$A202,$C$2:$C$1001,"Resolved")=0,"Open","Closed"),IF(AND($H202="Unconfirmed",OR($C202="New",$C202="Know")),IF(COUNTIFS($I$2:$I$1001,$A202,$C$2:$C$1001,"Confirmed")=0,"Unconfirmed","Confirmed"),"Logged")))</f>
        <v/>
      </c>
      <c r="L202" s="29" t="str">
        <f aca="false">IF($A202="","",AsOf-$B202)</f>
        <v/>
      </c>
      <c r="M202" s="29" t="str">
        <f aca="false">IF($K202="Open",IF($C202="Conflict","Critical",IF($L202&gt;=DecisionCritical,"Critical",IF($L202&gt;=DecisionWarn,"Warning","On track"))),IF($K202="Unconfirmed",IF($L202&gt;=UnconfirmedWarn,"Warning","On track"),""))</f>
        <v/>
      </c>
      <c r="N202" s="29" t="str">
        <f aca="false">IF($M202="","",IF($M202="Critical",3000,IF($M202="Warning",2000,1000))+$L202+ROW()/100000)</f>
        <v/>
      </c>
      <c r="O202" s="29" t="str">
        <f aca="false">IF($K202="Open",IF($C202="Conflict","decide "&amp;$A202&amp;": &lt;which version stands&gt;","decide "&amp;$A202&amp;": &lt;outcome&gt;"),IF($K202="Unconfirmed","confirm "&amp;$A202,""))</f>
        <v/>
      </c>
    </row>
    <row r="203" customFormat="false" ht="15" hidden="false" customHeight="false" outlineLevel="0" collapsed="false">
      <c r="A203" s="24"/>
      <c r="B203" s="27"/>
      <c r="C203" s="28"/>
      <c r="D203" s="24"/>
      <c r="E203" s="24"/>
      <c r="F203" s="24"/>
      <c r="G203" s="28"/>
      <c r="H203" s="28"/>
      <c r="I203" s="24"/>
      <c r="J203" s="24"/>
      <c r="K203" s="29" t="str">
        <f aca="false">IF($A203="","",IF(OR($C203="Decision",$C203="Conflict"),IF(COUNTIFS($I$2:$I$1001,$A203,$C$2:$C$1001,"Resolved")=0,"Open","Closed"),IF(AND($H203="Unconfirmed",OR($C203="New",$C203="Know")),IF(COUNTIFS($I$2:$I$1001,$A203,$C$2:$C$1001,"Confirmed")=0,"Unconfirmed","Confirmed"),"Logged")))</f>
        <v/>
      </c>
      <c r="L203" s="29" t="str">
        <f aca="false">IF($A203="","",AsOf-$B203)</f>
        <v/>
      </c>
      <c r="M203" s="29" t="str">
        <f aca="false">IF($K203="Open",IF($C203="Conflict","Critical",IF($L203&gt;=DecisionCritical,"Critical",IF($L203&gt;=DecisionWarn,"Warning","On track"))),IF($K203="Unconfirmed",IF($L203&gt;=UnconfirmedWarn,"Warning","On track"),""))</f>
        <v/>
      </c>
      <c r="N203" s="29" t="str">
        <f aca="false">IF($M203="","",IF($M203="Critical",3000,IF($M203="Warning",2000,1000))+$L203+ROW()/100000)</f>
        <v/>
      </c>
      <c r="O203" s="29" t="str">
        <f aca="false">IF($K203="Open",IF($C203="Conflict","decide "&amp;$A203&amp;": &lt;which version stands&gt;","decide "&amp;$A203&amp;": &lt;outcome&gt;"),IF($K203="Unconfirmed","confirm "&amp;$A203,""))</f>
        <v/>
      </c>
    </row>
    <row r="204" customFormat="false" ht="15" hidden="false" customHeight="false" outlineLevel="0" collapsed="false">
      <c r="A204" s="24"/>
      <c r="B204" s="27"/>
      <c r="C204" s="28"/>
      <c r="D204" s="24"/>
      <c r="E204" s="24"/>
      <c r="F204" s="24"/>
      <c r="G204" s="28"/>
      <c r="H204" s="28"/>
      <c r="I204" s="24"/>
      <c r="J204" s="24"/>
      <c r="K204" s="29" t="str">
        <f aca="false">IF($A204="","",IF(OR($C204="Decision",$C204="Conflict"),IF(COUNTIFS($I$2:$I$1001,$A204,$C$2:$C$1001,"Resolved")=0,"Open","Closed"),IF(AND($H204="Unconfirmed",OR($C204="New",$C204="Know")),IF(COUNTIFS($I$2:$I$1001,$A204,$C$2:$C$1001,"Confirmed")=0,"Unconfirmed","Confirmed"),"Logged")))</f>
        <v/>
      </c>
      <c r="L204" s="29" t="str">
        <f aca="false">IF($A204="","",AsOf-$B204)</f>
        <v/>
      </c>
      <c r="M204" s="29" t="str">
        <f aca="false">IF($K204="Open",IF($C204="Conflict","Critical",IF($L204&gt;=DecisionCritical,"Critical",IF($L204&gt;=DecisionWarn,"Warning","On track"))),IF($K204="Unconfirmed",IF($L204&gt;=UnconfirmedWarn,"Warning","On track"),""))</f>
        <v/>
      </c>
      <c r="N204" s="29" t="str">
        <f aca="false">IF($M204="","",IF($M204="Critical",3000,IF($M204="Warning",2000,1000))+$L204+ROW()/100000)</f>
        <v/>
      </c>
      <c r="O204" s="29" t="str">
        <f aca="false">IF($K204="Open",IF($C204="Conflict","decide "&amp;$A204&amp;": &lt;which version stands&gt;","decide "&amp;$A204&amp;": &lt;outcome&gt;"),IF($K204="Unconfirmed","confirm "&amp;$A204,""))</f>
        <v/>
      </c>
    </row>
    <row r="205" customFormat="false" ht="15" hidden="false" customHeight="false" outlineLevel="0" collapsed="false">
      <c r="A205" s="24"/>
      <c r="B205" s="27"/>
      <c r="C205" s="28"/>
      <c r="D205" s="24"/>
      <c r="E205" s="24"/>
      <c r="F205" s="24"/>
      <c r="G205" s="28"/>
      <c r="H205" s="28"/>
      <c r="I205" s="24"/>
      <c r="J205" s="24"/>
      <c r="K205" s="29" t="str">
        <f aca="false">IF($A205="","",IF(OR($C205="Decision",$C205="Conflict"),IF(COUNTIFS($I$2:$I$1001,$A205,$C$2:$C$1001,"Resolved")=0,"Open","Closed"),IF(AND($H205="Unconfirmed",OR($C205="New",$C205="Know")),IF(COUNTIFS($I$2:$I$1001,$A205,$C$2:$C$1001,"Confirmed")=0,"Unconfirmed","Confirmed"),"Logged")))</f>
        <v/>
      </c>
      <c r="L205" s="29" t="str">
        <f aca="false">IF($A205="","",AsOf-$B205)</f>
        <v/>
      </c>
      <c r="M205" s="29" t="str">
        <f aca="false">IF($K205="Open",IF($C205="Conflict","Critical",IF($L205&gt;=DecisionCritical,"Critical",IF($L205&gt;=DecisionWarn,"Warning","On track"))),IF($K205="Unconfirmed",IF($L205&gt;=UnconfirmedWarn,"Warning","On track"),""))</f>
        <v/>
      </c>
      <c r="N205" s="29" t="str">
        <f aca="false">IF($M205="","",IF($M205="Critical",3000,IF($M205="Warning",2000,1000))+$L205+ROW()/100000)</f>
        <v/>
      </c>
      <c r="O205" s="29" t="str">
        <f aca="false">IF($K205="Open",IF($C205="Conflict","decide "&amp;$A205&amp;": &lt;which version stands&gt;","decide "&amp;$A205&amp;": &lt;outcome&gt;"),IF($K205="Unconfirmed","confirm "&amp;$A205,""))</f>
        <v/>
      </c>
    </row>
    <row r="206" customFormat="false" ht="15" hidden="false" customHeight="false" outlineLevel="0" collapsed="false">
      <c r="A206" s="24"/>
      <c r="B206" s="27"/>
      <c r="C206" s="28"/>
      <c r="D206" s="24"/>
      <c r="E206" s="24"/>
      <c r="F206" s="24"/>
      <c r="G206" s="28"/>
      <c r="H206" s="28"/>
      <c r="I206" s="24"/>
      <c r="J206" s="24"/>
      <c r="K206" s="29" t="str">
        <f aca="false">IF($A206="","",IF(OR($C206="Decision",$C206="Conflict"),IF(COUNTIFS($I$2:$I$1001,$A206,$C$2:$C$1001,"Resolved")=0,"Open","Closed"),IF(AND($H206="Unconfirmed",OR($C206="New",$C206="Know")),IF(COUNTIFS($I$2:$I$1001,$A206,$C$2:$C$1001,"Confirmed")=0,"Unconfirmed","Confirmed"),"Logged")))</f>
        <v/>
      </c>
      <c r="L206" s="29" t="str">
        <f aca="false">IF($A206="","",AsOf-$B206)</f>
        <v/>
      </c>
      <c r="M206" s="29" t="str">
        <f aca="false">IF($K206="Open",IF($C206="Conflict","Critical",IF($L206&gt;=DecisionCritical,"Critical",IF($L206&gt;=DecisionWarn,"Warning","On track"))),IF($K206="Unconfirmed",IF($L206&gt;=UnconfirmedWarn,"Warning","On track"),""))</f>
        <v/>
      </c>
      <c r="N206" s="29" t="str">
        <f aca="false">IF($M206="","",IF($M206="Critical",3000,IF($M206="Warning",2000,1000))+$L206+ROW()/100000)</f>
        <v/>
      </c>
      <c r="O206" s="29" t="str">
        <f aca="false">IF($K206="Open",IF($C206="Conflict","decide "&amp;$A206&amp;": &lt;which version stands&gt;","decide "&amp;$A206&amp;": &lt;outcome&gt;"),IF($K206="Unconfirmed","confirm "&amp;$A206,""))</f>
        <v/>
      </c>
    </row>
    <row r="207" customFormat="false" ht="15" hidden="false" customHeight="false" outlineLevel="0" collapsed="false">
      <c r="A207" s="24"/>
      <c r="B207" s="27"/>
      <c r="C207" s="28"/>
      <c r="D207" s="24"/>
      <c r="E207" s="24"/>
      <c r="F207" s="24"/>
      <c r="G207" s="28"/>
      <c r="H207" s="28"/>
      <c r="I207" s="24"/>
      <c r="J207" s="24"/>
      <c r="K207" s="29" t="str">
        <f aca="false">IF($A207="","",IF(OR($C207="Decision",$C207="Conflict"),IF(COUNTIFS($I$2:$I$1001,$A207,$C$2:$C$1001,"Resolved")=0,"Open","Closed"),IF(AND($H207="Unconfirmed",OR($C207="New",$C207="Know")),IF(COUNTIFS($I$2:$I$1001,$A207,$C$2:$C$1001,"Confirmed")=0,"Unconfirmed","Confirmed"),"Logged")))</f>
        <v/>
      </c>
      <c r="L207" s="29" t="str">
        <f aca="false">IF($A207="","",AsOf-$B207)</f>
        <v/>
      </c>
      <c r="M207" s="29" t="str">
        <f aca="false">IF($K207="Open",IF($C207="Conflict","Critical",IF($L207&gt;=DecisionCritical,"Critical",IF($L207&gt;=DecisionWarn,"Warning","On track"))),IF($K207="Unconfirmed",IF($L207&gt;=UnconfirmedWarn,"Warning","On track"),""))</f>
        <v/>
      </c>
      <c r="N207" s="29" t="str">
        <f aca="false">IF($M207="","",IF($M207="Critical",3000,IF($M207="Warning",2000,1000))+$L207+ROW()/100000)</f>
        <v/>
      </c>
      <c r="O207" s="29" t="str">
        <f aca="false">IF($K207="Open",IF($C207="Conflict","decide "&amp;$A207&amp;": &lt;which version stands&gt;","decide "&amp;$A207&amp;": &lt;outcome&gt;"),IF($K207="Unconfirmed","confirm "&amp;$A207,""))</f>
        <v/>
      </c>
    </row>
    <row r="208" customFormat="false" ht="15" hidden="false" customHeight="false" outlineLevel="0" collapsed="false">
      <c r="A208" s="24"/>
      <c r="B208" s="27"/>
      <c r="C208" s="28"/>
      <c r="D208" s="24"/>
      <c r="E208" s="24"/>
      <c r="F208" s="24"/>
      <c r="G208" s="28"/>
      <c r="H208" s="28"/>
      <c r="I208" s="24"/>
      <c r="J208" s="24"/>
      <c r="K208" s="29" t="str">
        <f aca="false">IF($A208="","",IF(OR($C208="Decision",$C208="Conflict"),IF(COUNTIFS($I$2:$I$1001,$A208,$C$2:$C$1001,"Resolved")=0,"Open","Closed"),IF(AND($H208="Unconfirmed",OR($C208="New",$C208="Know")),IF(COUNTIFS($I$2:$I$1001,$A208,$C$2:$C$1001,"Confirmed")=0,"Unconfirmed","Confirmed"),"Logged")))</f>
        <v/>
      </c>
      <c r="L208" s="29" t="str">
        <f aca="false">IF($A208="","",AsOf-$B208)</f>
        <v/>
      </c>
      <c r="M208" s="29" t="str">
        <f aca="false">IF($K208="Open",IF($C208="Conflict","Critical",IF($L208&gt;=DecisionCritical,"Critical",IF($L208&gt;=DecisionWarn,"Warning","On track"))),IF($K208="Unconfirmed",IF($L208&gt;=UnconfirmedWarn,"Warning","On track"),""))</f>
        <v/>
      </c>
      <c r="N208" s="29" t="str">
        <f aca="false">IF($M208="","",IF($M208="Critical",3000,IF($M208="Warning",2000,1000))+$L208+ROW()/100000)</f>
        <v/>
      </c>
      <c r="O208" s="29" t="str">
        <f aca="false">IF($K208="Open",IF($C208="Conflict","decide "&amp;$A208&amp;": &lt;which version stands&gt;","decide "&amp;$A208&amp;": &lt;outcome&gt;"),IF($K208="Unconfirmed","confirm "&amp;$A208,""))</f>
        <v/>
      </c>
    </row>
    <row r="209" customFormat="false" ht="15" hidden="false" customHeight="false" outlineLevel="0" collapsed="false">
      <c r="A209" s="24"/>
      <c r="B209" s="27"/>
      <c r="C209" s="28"/>
      <c r="D209" s="24"/>
      <c r="E209" s="24"/>
      <c r="F209" s="24"/>
      <c r="G209" s="28"/>
      <c r="H209" s="28"/>
      <c r="I209" s="24"/>
      <c r="J209" s="24"/>
      <c r="K209" s="29" t="str">
        <f aca="false">IF($A209="","",IF(OR($C209="Decision",$C209="Conflict"),IF(COUNTIFS($I$2:$I$1001,$A209,$C$2:$C$1001,"Resolved")=0,"Open","Closed"),IF(AND($H209="Unconfirmed",OR($C209="New",$C209="Know")),IF(COUNTIFS($I$2:$I$1001,$A209,$C$2:$C$1001,"Confirmed")=0,"Unconfirmed","Confirmed"),"Logged")))</f>
        <v/>
      </c>
      <c r="L209" s="29" t="str">
        <f aca="false">IF($A209="","",AsOf-$B209)</f>
        <v/>
      </c>
      <c r="M209" s="29" t="str">
        <f aca="false">IF($K209="Open",IF($C209="Conflict","Critical",IF($L209&gt;=DecisionCritical,"Critical",IF($L209&gt;=DecisionWarn,"Warning","On track"))),IF($K209="Unconfirmed",IF($L209&gt;=UnconfirmedWarn,"Warning","On track"),""))</f>
        <v/>
      </c>
      <c r="N209" s="29" t="str">
        <f aca="false">IF($M209="","",IF($M209="Critical",3000,IF($M209="Warning",2000,1000))+$L209+ROW()/100000)</f>
        <v/>
      </c>
      <c r="O209" s="29" t="str">
        <f aca="false">IF($K209="Open",IF($C209="Conflict","decide "&amp;$A209&amp;": &lt;which version stands&gt;","decide "&amp;$A209&amp;": &lt;outcome&gt;"),IF($K209="Unconfirmed","confirm "&amp;$A209,""))</f>
        <v/>
      </c>
    </row>
    <row r="210" customFormat="false" ht="15" hidden="false" customHeight="false" outlineLevel="0" collapsed="false">
      <c r="A210" s="24"/>
      <c r="B210" s="27"/>
      <c r="C210" s="28"/>
      <c r="D210" s="24"/>
      <c r="E210" s="24"/>
      <c r="F210" s="24"/>
      <c r="G210" s="28"/>
      <c r="H210" s="28"/>
      <c r="I210" s="24"/>
      <c r="J210" s="24"/>
      <c r="K210" s="29" t="str">
        <f aca="false">IF($A210="","",IF(OR($C210="Decision",$C210="Conflict"),IF(COUNTIFS($I$2:$I$1001,$A210,$C$2:$C$1001,"Resolved")=0,"Open","Closed"),IF(AND($H210="Unconfirmed",OR($C210="New",$C210="Know")),IF(COUNTIFS($I$2:$I$1001,$A210,$C$2:$C$1001,"Confirmed")=0,"Unconfirmed","Confirmed"),"Logged")))</f>
        <v/>
      </c>
      <c r="L210" s="29" t="str">
        <f aca="false">IF($A210="","",AsOf-$B210)</f>
        <v/>
      </c>
      <c r="M210" s="29" t="str">
        <f aca="false">IF($K210="Open",IF($C210="Conflict","Critical",IF($L210&gt;=DecisionCritical,"Critical",IF($L210&gt;=DecisionWarn,"Warning","On track"))),IF($K210="Unconfirmed",IF($L210&gt;=UnconfirmedWarn,"Warning","On track"),""))</f>
        <v/>
      </c>
      <c r="N210" s="29" t="str">
        <f aca="false">IF($M210="","",IF($M210="Critical",3000,IF($M210="Warning",2000,1000))+$L210+ROW()/100000)</f>
        <v/>
      </c>
      <c r="O210" s="29" t="str">
        <f aca="false">IF($K210="Open",IF($C210="Conflict","decide "&amp;$A210&amp;": &lt;which version stands&gt;","decide "&amp;$A210&amp;": &lt;outcome&gt;"),IF($K210="Unconfirmed","confirm "&amp;$A210,""))</f>
        <v/>
      </c>
    </row>
    <row r="211" customFormat="false" ht="15" hidden="false" customHeight="false" outlineLevel="0" collapsed="false">
      <c r="A211" s="24"/>
      <c r="B211" s="27"/>
      <c r="C211" s="28"/>
      <c r="D211" s="24"/>
      <c r="E211" s="24"/>
      <c r="F211" s="24"/>
      <c r="G211" s="28"/>
      <c r="H211" s="28"/>
      <c r="I211" s="24"/>
      <c r="J211" s="24"/>
      <c r="K211" s="29" t="str">
        <f aca="false">IF($A211="","",IF(OR($C211="Decision",$C211="Conflict"),IF(COUNTIFS($I$2:$I$1001,$A211,$C$2:$C$1001,"Resolved")=0,"Open","Closed"),IF(AND($H211="Unconfirmed",OR($C211="New",$C211="Know")),IF(COUNTIFS($I$2:$I$1001,$A211,$C$2:$C$1001,"Confirmed")=0,"Unconfirmed","Confirmed"),"Logged")))</f>
        <v/>
      </c>
      <c r="L211" s="29" t="str">
        <f aca="false">IF($A211="","",AsOf-$B211)</f>
        <v/>
      </c>
      <c r="M211" s="29" t="str">
        <f aca="false">IF($K211="Open",IF($C211="Conflict","Critical",IF($L211&gt;=DecisionCritical,"Critical",IF($L211&gt;=DecisionWarn,"Warning","On track"))),IF($K211="Unconfirmed",IF($L211&gt;=UnconfirmedWarn,"Warning","On track"),""))</f>
        <v/>
      </c>
      <c r="N211" s="29" t="str">
        <f aca="false">IF($M211="","",IF($M211="Critical",3000,IF($M211="Warning",2000,1000))+$L211+ROW()/100000)</f>
        <v/>
      </c>
      <c r="O211" s="29" t="str">
        <f aca="false">IF($K211="Open",IF($C211="Conflict","decide "&amp;$A211&amp;": &lt;which version stands&gt;","decide "&amp;$A211&amp;": &lt;outcome&gt;"),IF($K211="Unconfirmed","confirm "&amp;$A211,""))</f>
        <v/>
      </c>
    </row>
    <row r="212" customFormat="false" ht="15" hidden="false" customHeight="false" outlineLevel="0" collapsed="false">
      <c r="A212" s="24"/>
      <c r="B212" s="27"/>
      <c r="C212" s="28"/>
      <c r="D212" s="24"/>
      <c r="E212" s="24"/>
      <c r="F212" s="24"/>
      <c r="G212" s="28"/>
      <c r="H212" s="28"/>
      <c r="I212" s="24"/>
      <c r="J212" s="24"/>
      <c r="K212" s="29" t="str">
        <f aca="false">IF($A212="","",IF(OR($C212="Decision",$C212="Conflict"),IF(COUNTIFS($I$2:$I$1001,$A212,$C$2:$C$1001,"Resolved")=0,"Open","Closed"),IF(AND($H212="Unconfirmed",OR($C212="New",$C212="Know")),IF(COUNTIFS($I$2:$I$1001,$A212,$C$2:$C$1001,"Confirmed")=0,"Unconfirmed","Confirmed"),"Logged")))</f>
        <v/>
      </c>
      <c r="L212" s="29" t="str">
        <f aca="false">IF($A212="","",AsOf-$B212)</f>
        <v/>
      </c>
      <c r="M212" s="29" t="str">
        <f aca="false">IF($K212="Open",IF($C212="Conflict","Critical",IF($L212&gt;=DecisionCritical,"Critical",IF($L212&gt;=DecisionWarn,"Warning","On track"))),IF($K212="Unconfirmed",IF($L212&gt;=UnconfirmedWarn,"Warning","On track"),""))</f>
        <v/>
      </c>
      <c r="N212" s="29" t="str">
        <f aca="false">IF($M212="","",IF($M212="Critical",3000,IF($M212="Warning",2000,1000))+$L212+ROW()/100000)</f>
        <v/>
      </c>
      <c r="O212" s="29" t="str">
        <f aca="false">IF($K212="Open",IF($C212="Conflict","decide "&amp;$A212&amp;": &lt;which version stands&gt;","decide "&amp;$A212&amp;": &lt;outcome&gt;"),IF($K212="Unconfirmed","confirm "&amp;$A212,""))</f>
        <v/>
      </c>
    </row>
    <row r="213" customFormat="false" ht="15" hidden="false" customHeight="false" outlineLevel="0" collapsed="false">
      <c r="A213" s="24"/>
      <c r="B213" s="27"/>
      <c r="C213" s="28"/>
      <c r="D213" s="24"/>
      <c r="E213" s="24"/>
      <c r="F213" s="24"/>
      <c r="G213" s="28"/>
      <c r="H213" s="28"/>
      <c r="I213" s="24"/>
      <c r="J213" s="24"/>
      <c r="K213" s="29" t="str">
        <f aca="false">IF($A213="","",IF(OR($C213="Decision",$C213="Conflict"),IF(COUNTIFS($I$2:$I$1001,$A213,$C$2:$C$1001,"Resolved")=0,"Open","Closed"),IF(AND($H213="Unconfirmed",OR($C213="New",$C213="Know")),IF(COUNTIFS($I$2:$I$1001,$A213,$C$2:$C$1001,"Confirmed")=0,"Unconfirmed","Confirmed"),"Logged")))</f>
        <v/>
      </c>
      <c r="L213" s="29" t="str">
        <f aca="false">IF($A213="","",AsOf-$B213)</f>
        <v/>
      </c>
      <c r="M213" s="29" t="str">
        <f aca="false">IF($K213="Open",IF($C213="Conflict","Critical",IF($L213&gt;=DecisionCritical,"Critical",IF($L213&gt;=DecisionWarn,"Warning","On track"))),IF($K213="Unconfirmed",IF($L213&gt;=UnconfirmedWarn,"Warning","On track"),""))</f>
        <v/>
      </c>
      <c r="N213" s="29" t="str">
        <f aca="false">IF($M213="","",IF($M213="Critical",3000,IF($M213="Warning",2000,1000))+$L213+ROW()/100000)</f>
        <v/>
      </c>
      <c r="O213" s="29" t="str">
        <f aca="false">IF($K213="Open",IF($C213="Conflict","decide "&amp;$A213&amp;": &lt;which version stands&gt;","decide "&amp;$A213&amp;": &lt;outcome&gt;"),IF($K213="Unconfirmed","confirm "&amp;$A213,""))</f>
        <v/>
      </c>
    </row>
    <row r="214" customFormat="false" ht="15" hidden="false" customHeight="false" outlineLevel="0" collapsed="false">
      <c r="A214" s="24"/>
      <c r="B214" s="27"/>
      <c r="C214" s="28"/>
      <c r="D214" s="24"/>
      <c r="E214" s="24"/>
      <c r="F214" s="24"/>
      <c r="G214" s="28"/>
      <c r="H214" s="28"/>
      <c r="I214" s="24"/>
      <c r="J214" s="24"/>
      <c r="K214" s="29" t="str">
        <f aca="false">IF($A214="","",IF(OR($C214="Decision",$C214="Conflict"),IF(COUNTIFS($I$2:$I$1001,$A214,$C$2:$C$1001,"Resolved")=0,"Open","Closed"),IF(AND($H214="Unconfirmed",OR($C214="New",$C214="Know")),IF(COUNTIFS($I$2:$I$1001,$A214,$C$2:$C$1001,"Confirmed")=0,"Unconfirmed","Confirmed"),"Logged")))</f>
        <v/>
      </c>
      <c r="L214" s="29" t="str">
        <f aca="false">IF($A214="","",AsOf-$B214)</f>
        <v/>
      </c>
      <c r="M214" s="29" t="str">
        <f aca="false">IF($K214="Open",IF($C214="Conflict","Critical",IF($L214&gt;=DecisionCritical,"Critical",IF($L214&gt;=DecisionWarn,"Warning","On track"))),IF($K214="Unconfirmed",IF($L214&gt;=UnconfirmedWarn,"Warning","On track"),""))</f>
        <v/>
      </c>
      <c r="N214" s="29" t="str">
        <f aca="false">IF($M214="","",IF($M214="Critical",3000,IF($M214="Warning",2000,1000))+$L214+ROW()/100000)</f>
        <v/>
      </c>
      <c r="O214" s="29" t="str">
        <f aca="false">IF($K214="Open",IF($C214="Conflict","decide "&amp;$A214&amp;": &lt;which version stands&gt;","decide "&amp;$A214&amp;": &lt;outcome&gt;"),IF($K214="Unconfirmed","confirm "&amp;$A214,""))</f>
        <v/>
      </c>
    </row>
    <row r="215" customFormat="false" ht="15" hidden="false" customHeight="false" outlineLevel="0" collapsed="false">
      <c r="A215" s="24"/>
      <c r="B215" s="27"/>
      <c r="C215" s="28"/>
      <c r="D215" s="24"/>
      <c r="E215" s="24"/>
      <c r="F215" s="24"/>
      <c r="G215" s="28"/>
      <c r="H215" s="28"/>
      <c r="I215" s="24"/>
      <c r="J215" s="24"/>
      <c r="K215" s="29" t="str">
        <f aca="false">IF($A215="","",IF(OR($C215="Decision",$C215="Conflict"),IF(COUNTIFS($I$2:$I$1001,$A215,$C$2:$C$1001,"Resolved")=0,"Open","Closed"),IF(AND($H215="Unconfirmed",OR($C215="New",$C215="Know")),IF(COUNTIFS($I$2:$I$1001,$A215,$C$2:$C$1001,"Confirmed")=0,"Unconfirmed","Confirmed"),"Logged")))</f>
        <v/>
      </c>
      <c r="L215" s="29" t="str">
        <f aca="false">IF($A215="","",AsOf-$B215)</f>
        <v/>
      </c>
      <c r="M215" s="29" t="str">
        <f aca="false">IF($K215="Open",IF($C215="Conflict","Critical",IF($L215&gt;=DecisionCritical,"Critical",IF($L215&gt;=DecisionWarn,"Warning","On track"))),IF($K215="Unconfirmed",IF($L215&gt;=UnconfirmedWarn,"Warning","On track"),""))</f>
        <v/>
      </c>
      <c r="N215" s="29" t="str">
        <f aca="false">IF($M215="","",IF($M215="Critical",3000,IF($M215="Warning",2000,1000))+$L215+ROW()/100000)</f>
        <v/>
      </c>
      <c r="O215" s="29" t="str">
        <f aca="false">IF($K215="Open",IF($C215="Conflict","decide "&amp;$A215&amp;": &lt;which version stands&gt;","decide "&amp;$A215&amp;": &lt;outcome&gt;"),IF($K215="Unconfirmed","confirm "&amp;$A215,""))</f>
        <v/>
      </c>
    </row>
    <row r="216" customFormat="false" ht="15" hidden="false" customHeight="false" outlineLevel="0" collapsed="false">
      <c r="A216" s="24"/>
      <c r="B216" s="27"/>
      <c r="C216" s="28"/>
      <c r="D216" s="24"/>
      <c r="E216" s="24"/>
      <c r="F216" s="24"/>
      <c r="G216" s="28"/>
      <c r="H216" s="28"/>
      <c r="I216" s="24"/>
      <c r="J216" s="24"/>
      <c r="K216" s="29" t="str">
        <f aca="false">IF($A216="","",IF(OR($C216="Decision",$C216="Conflict"),IF(COUNTIFS($I$2:$I$1001,$A216,$C$2:$C$1001,"Resolved")=0,"Open","Closed"),IF(AND($H216="Unconfirmed",OR($C216="New",$C216="Know")),IF(COUNTIFS($I$2:$I$1001,$A216,$C$2:$C$1001,"Confirmed")=0,"Unconfirmed","Confirmed"),"Logged")))</f>
        <v/>
      </c>
      <c r="L216" s="29" t="str">
        <f aca="false">IF($A216="","",AsOf-$B216)</f>
        <v/>
      </c>
      <c r="M216" s="29" t="str">
        <f aca="false">IF($K216="Open",IF($C216="Conflict","Critical",IF($L216&gt;=DecisionCritical,"Critical",IF($L216&gt;=DecisionWarn,"Warning","On track"))),IF($K216="Unconfirmed",IF($L216&gt;=UnconfirmedWarn,"Warning","On track"),""))</f>
        <v/>
      </c>
      <c r="N216" s="29" t="str">
        <f aca="false">IF($M216="","",IF($M216="Critical",3000,IF($M216="Warning",2000,1000))+$L216+ROW()/100000)</f>
        <v/>
      </c>
      <c r="O216" s="29" t="str">
        <f aca="false">IF($K216="Open",IF($C216="Conflict","decide "&amp;$A216&amp;": &lt;which version stands&gt;","decide "&amp;$A216&amp;": &lt;outcome&gt;"),IF($K216="Unconfirmed","confirm "&amp;$A216,""))</f>
        <v/>
      </c>
    </row>
    <row r="217" customFormat="false" ht="15" hidden="false" customHeight="false" outlineLevel="0" collapsed="false">
      <c r="A217" s="24"/>
      <c r="B217" s="27"/>
      <c r="C217" s="28"/>
      <c r="D217" s="24"/>
      <c r="E217" s="24"/>
      <c r="F217" s="24"/>
      <c r="G217" s="28"/>
      <c r="H217" s="28"/>
      <c r="I217" s="24"/>
      <c r="J217" s="24"/>
      <c r="K217" s="29" t="str">
        <f aca="false">IF($A217="","",IF(OR($C217="Decision",$C217="Conflict"),IF(COUNTIFS($I$2:$I$1001,$A217,$C$2:$C$1001,"Resolved")=0,"Open","Closed"),IF(AND($H217="Unconfirmed",OR($C217="New",$C217="Know")),IF(COUNTIFS($I$2:$I$1001,$A217,$C$2:$C$1001,"Confirmed")=0,"Unconfirmed","Confirmed"),"Logged")))</f>
        <v/>
      </c>
      <c r="L217" s="29" t="str">
        <f aca="false">IF($A217="","",AsOf-$B217)</f>
        <v/>
      </c>
      <c r="M217" s="29" t="str">
        <f aca="false">IF($K217="Open",IF($C217="Conflict","Critical",IF($L217&gt;=DecisionCritical,"Critical",IF($L217&gt;=DecisionWarn,"Warning","On track"))),IF($K217="Unconfirmed",IF($L217&gt;=UnconfirmedWarn,"Warning","On track"),""))</f>
        <v/>
      </c>
      <c r="N217" s="29" t="str">
        <f aca="false">IF($M217="","",IF($M217="Critical",3000,IF($M217="Warning",2000,1000))+$L217+ROW()/100000)</f>
        <v/>
      </c>
      <c r="O217" s="29" t="str">
        <f aca="false">IF($K217="Open",IF($C217="Conflict","decide "&amp;$A217&amp;": &lt;which version stands&gt;","decide "&amp;$A217&amp;": &lt;outcome&gt;"),IF($K217="Unconfirmed","confirm "&amp;$A217,""))</f>
        <v/>
      </c>
    </row>
    <row r="218" customFormat="false" ht="15" hidden="false" customHeight="false" outlineLevel="0" collapsed="false">
      <c r="A218" s="24"/>
      <c r="B218" s="27"/>
      <c r="C218" s="28"/>
      <c r="D218" s="24"/>
      <c r="E218" s="24"/>
      <c r="F218" s="24"/>
      <c r="G218" s="28"/>
      <c r="H218" s="28"/>
      <c r="I218" s="24"/>
      <c r="J218" s="24"/>
      <c r="K218" s="29" t="str">
        <f aca="false">IF($A218="","",IF(OR($C218="Decision",$C218="Conflict"),IF(COUNTIFS($I$2:$I$1001,$A218,$C$2:$C$1001,"Resolved")=0,"Open","Closed"),IF(AND($H218="Unconfirmed",OR($C218="New",$C218="Know")),IF(COUNTIFS($I$2:$I$1001,$A218,$C$2:$C$1001,"Confirmed")=0,"Unconfirmed","Confirmed"),"Logged")))</f>
        <v/>
      </c>
      <c r="L218" s="29" t="str">
        <f aca="false">IF($A218="","",AsOf-$B218)</f>
        <v/>
      </c>
      <c r="M218" s="29" t="str">
        <f aca="false">IF($K218="Open",IF($C218="Conflict","Critical",IF($L218&gt;=DecisionCritical,"Critical",IF($L218&gt;=DecisionWarn,"Warning","On track"))),IF($K218="Unconfirmed",IF($L218&gt;=UnconfirmedWarn,"Warning","On track"),""))</f>
        <v/>
      </c>
      <c r="N218" s="29" t="str">
        <f aca="false">IF($M218="","",IF($M218="Critical",3000,IF($M218="Warning",2000,1000))+$L218+ROW()/100000)</f>
        <v/>
      </c>
      <c r="O218" s="29" t="str">
        <f aca="false">IF($K218="Open",IF($C218="Conflict","decide "&amp;$A218&amp;": &lt;which version stands&gt;","decide "&amp;$A218&amp;": &lt;outcome&gt;"),IF($K218="Unconfirmed","confirm "&amp;$A218,""))</f>
        <v/>
      </c>
    </row>
    <row r="219" customFormat="false" ht="15" hidden="false" customHeight="false" outlineLevel="0" collapsed="false">
      <c r="A219" s="24"/>
      <c r="B219" s="27"/>
      <c r="C219" s="28"/>
      <c r="D219" s="24"/>
      <c r="E219" s="24"/>
      <c r="F219" s="24"/>
      <c r="G219" s="28"/>
      <c r="H219" s="28"/>
      <c r="I219" s="24"/>
      <c r="J219" s="24"/>
      <c r="K219" s="29" t="str">
        <f aca="false">IF($A219="","",IF(OR($C219="Decision",$C219="Conflict"),IF(COUNTIFS($I$2:$I$1001,$A219,$C$2:$C$1001,"Resolved")=0,"Open","Closed"),IF(AND($H219="Unconfirmed",OR($C219="New",$C219="Know")),IF(COUNTIFS($I$2:$I$1001,$A219,$C$2:$C$1001,"Confirmed")=0,"Unconfirmed","Confirmed"),"Logged")))</f>
        <v/>
      </c>
      <c r="L219" s="29" t="str">
        <f aca="false">IF($A219="","",AsOf-$B219)</f>
        <v/>
      </c>
      <c r="M219" s="29" t="str">
        <f aca="false">IF($K219="Open",IF($C219="Conflict","Critical",IF($L219&gt;=DecisionCritical,"Critical",IF($L219&gt;=DecisionWarn,"Warning","On track"))),IF($K219="Unconfirmed",IF($L219&gt;=UnconfirmedWarn,"Warning","On track"),""))</f>
        <v/>
      </c>
      <c r="N219" s="29" t="str">
        <f aca="false">IF($M219="","",IF($M219="Critical",3000,IF($M219="Warning",2000,1000))+$L219+ROW()/100000)</f>
        <v/>
      </c>
      <c r="O219" s="29" t="str">
        <f aca="false">IF($K219="Open",IF($C219="Conflict","decide "&amp;$A219&amp;": &lt;which version stands&gt;","decide "&amp;$A219&amp;": &lt;outcome&gt;"),IF($K219="Unconfirmed","confirm "&amp;$A219,""))</f>
        <v/>
      </c>
    </row>
    <row r="220" customFormat="false" ht="15" hidden="false" customHeight="false" outlineLevel="0" collapsed="false">
      <c r="A220" s="24"/>
      <c r="B220" s="27"/>
      <c r="C220" s="28"/>
      <c r="D220" s="24"/>
      <c r="E220" s="24"/>
      <c r="F220" s="24"/>
      <c r="G220" s="28"/>
      <c r="H220" s="28"/>
      <c r="I220" s="24"/>
      <c r="J220" s="24"/>
      <c r="K220" s="29" t="str">
        <f aca="false">IF($A220="","",IF(OR($C220="Decision",$C220="Conflict"),IF(COUNTIFS($I$2:$I$1001,$A220,$C$2:$C$1001,"Resolved")=0,"Open","Closed"),IF(AND($H220="Unconfirmed",OR($C220="New",$C220="Know")),IF(COUNTIFS($I$2:$I$1001,$A220,$C$2:$C$1001,"Confirmed")=0,"Unconfirmed","Confirmed"),"Logged")))</f>
        <v/>
      </c>
      <c r="L220" s="29" t="str">
        <f aca="false">IF($A220="","",AsOf-$B220)</f>
        <v/>
      </c>
      <c r="M220" s="29" t="str">
        <f aca="false">IF($K220="Open",IF($C220="Conflict","Critical",IF($L220&gt;=DecisionCritical,"Critical",IF($L220&gt;=DecisionWarn,"Warning","On track"))),IF($K220="Unconfirmed",IF($L220&gt;=UnconfirmedWarn,"Warning","On track"),""))</f>
        <v/>
      </c>
      <c r="N220" s="29" t="str">
        <f aca="false">IF($M220="","",IF($M220="Critical",3000,IF($M220="Warning",2000,1000))+$L220+ROW()/100000)</f>
        <v/>
      </c>
      <c r="O220" s="29" t="str">
        <f aca="false">IF($K220="Open",IF($C220="Conflict","decide "&amp;$A220&amp;": &lt;which version stands&gt;","decide "&amp;$A220&amp;": &lt;outcome&gt;"),IF($K220="Unconfirmed","confirm "&amp;$A220,""))</f>
        <v/>
      </c>
    </row>
    <row r="221" customFormat="false" ht="15" hidden="false" customHeight="false" outlineLevel="0" collapsed="false">
      <c r="A221" s="24"/>
      <c r="B221" s="27"/>
      <c r="C221" s="28"/>
      <c r="D221" s="24"/>
      <c r="E221" s="24"/>
      <c r="F221" s="24"/>
      <c r="G221" s="28"/>
      <c r="H221" s="28"/>
      <c r="I221" s="24"/>
      <c r="J221" s="24"/>
      <c r="K221" s="29" t="str">
        <f aca="false">IF($A221="","",IF(OR($C221="Decision",$C221="Conflict"),IF(COUNTIFS($I$2:$I$1001,$A221,$C$2:$C$1001,"Resolved")=0,"Open","Closed"),IF(AND($H221="Unconfirmed",OR($C221="New",$C221="Know")),IF(COUNTIFS($I$2:$I$1001,$A221,$C$2:$C$1001,"Confirmed")=0,"Unconfirmed","Confirmed"),"Logged")))</f>
        <v/>
      </c>
      <c r="L221" s="29" t="str">
        <f aca="false">IF($A221="","",AsOf-$B221)</f>
        <v/>
      </c>
      <c r="M221" s="29" t="str">
        <f aca="false">IF($K221="Open",IF($C221="Conflict","Critical",IF($L221&gt;=DecisionCritical,"Critical",IF($L221&gt;=DecisionWarn,"Warning","On track"))),IF($K221="Unconfirmed",IF($L221&gt;=UnconfirmedWarn,"Warning","On track"),""))</f>
        <v/>
      </c>
      <c r="N221" s="29" t="str">
        <f aca="false">IF($M221="","",IF($M221="Critical",3000,IF($M221="Warning",2000,1000))+$L221+ROW()/100000)</f>
        <v/>
      </c>
      <c r="O221" s="29" t="str">
        <f aca="false">IF($K221="Open",IF($C221="Conflict","decide "&amp;$A221&amp;": &lt;which version stands&gt;","decide "&amp;$A221&amp;": &lt;outcome&gt;"),IF($K221="Unconfirmed","confirm "&amp;$A221,""))</f>
        <v/>
      </c>
    </row>
    <row r="222" customFormat="false" ht="15" hidden="false" customHeight="false" outlineLevel="0" collapsed="false">
      <c r="A222" s="24"/>
      <c r="B222" s="27"/>
      <c r="C222" s="28"/>
      <c r="D222" s="24"/>
      <c r="E222" s="24"/>
      <c r="F222" s="24"/>
      <c r="G222" s="28"/>
      <c r="H222" s="28"/>
      <c r="I222" s="24"/>
      <c r="J222" s="24"/>
      <c r="K222" s="29" t="str">
        <f aca="false">IF($A222="","",IF(OR($C222="Decision",$C222="Conflict"),IF(COUNTIFS($I$2:$I$1001,$A222,$C$2:$C$1001,"Resolved")=0,"Open","Closed"),IF(AND($H222="Unconfirmed",OR($C222="New",$C222="Know")),IF(COUNTIFS($I$2:$I$1001,$A222,$C$2:$C$1001,"Confirmed")=0,"Unconfirmed","Confirmed"),"Logged")))</f>
        <v/>
      </c>
      <c r="L222" s="29" t="str">
        <f aca="false">IF($A222="","",AsOf-$B222)</f>
        <v/>
      </c>
      <c r="M222" s="29" t="str">
        <f aca="false">IF($K222="Open",IF($C222="Conflict","Critical",IF($L222&gt;=DecisionCritical,"Critical",IF($L222&gt;=DecisionWarn,"Warning","On track"))),IF($K222="Unconfirmed",IF($L222&gt;=UnconfirmedWarn,"Warning","On track"),""))</f>
        <v/>
      </c>
      <c r="N222" s="29" t="str">
        <f aca="false">IF($M222="","",IF($M222="Critical",3000,IF($M222="Warning",2000,1000))+$L222+ROW()/100000)</f>
        <v/>
      </c>
      <c r="O222" s="29" t="str">
        <f aca="false">IF($K222="Open",IF($C222="Conflict","decide "&amp;$A222&amp;": &lt;which version stands&gt;","decide "&amp;$A222&amp;": &lt;outcome&gt;"),IF($K222="Unconfirmed","confirm "&amp;$A222,""))</f>
        <v/>
      </c>
    </row>
    <row r="223" customFormat="false" ht="15" hidden="false" customHeight="false" outlineLevel="0" collapsed="false">
      <c r="A223" s="24"/>
      <c r="B223" s="27"/>
      <c r="C223" s="28"/>
      <c r="D223" s="24"/>
      <c r="E223" s="24"/>
      <c r="F223" s="24"/>
      <c r="G223" s="28"/>
      <c r="H223" s="28"/>
      <c r="I223" s="24"/>
      <c r="J223" s="24"/>
      <c r="K223" s="29" t="str">
        <f aca="false">IF($A223="","",IF(OR($C223="Decision",$C223="Conflict"),IF(COUNTIFS($I$2:$I$1001,$A223,$C$2:$C$1001,"Resolved")=0,"Open","Closed"),IF(AND($H223="Unconfirmed",OR($C223="New",$C223="Know")),IF(COUNTIFS($I$2:$I$1001,$A223,$C$2:$C$1001,"Confirmed")=0,"Unconfirmed","Confirmed"),"Logged")))</f>
        <v/>
      </c>
      <c r="L223" s="29" t="str">
        <f aca="false">IF($A223="","",AsOf-$B223)</f>
        <v/>
      </c>
      <c r="M223" s="29" t="str">
        <f aca="false">IF($K223="Open",IF($C223="Conflict","Critical",IF($L223&gt;=DecisionCritical,"Critical",IF($L223&gt;=DecisionWarn,"Warning","On track"))),IF($K223="Unconfirmed",IF($L223&gt;=UnconfirmedWarn,"Warning","On track"),""))</f>
        <v/>
      </c>
      <c r="N223" s="29" t="str">
        <f aca="false">IF($M223="","",IF($M223="Critical",3000,IF($M223="Warning",2000,1000))+$L223+ROW()/100000)</f>
        <v/>
      </c>
      <c r="O223" s="29" t="str">
        <f aca="false">IF($K223="Open",IF($C223="Conflict","decide "&amp;$A223&amp;": &lt;which version stands&gt;","decide "&amp;$A223&amp;": &lt;outcome&gt;"),IF($K223="Unconfirmed","confirm "&amp;$A223,""))</f>
        <v/>
      </c>
    </row>
    <row r="224" customFormat="false" ht="15" hidden="false" customHeight="false" outlineLevel="0" collapsed="false">
      <c r="A224" s="24"/>
      <c r="B224" s="27"/>
      <c r="C224" s="28"/>
      <c r="D224" s="24"/>
      <c r="E224" s="24"/>
      <c r="F224" s="24"/>
      <c r="G224" s="28"/>
      <c r="H224" s="28"/>
      <c r="I224" s="24"/>
      <c r="J224" s="24"/>
      <c r="K224" s="29" t="str">
        <f aca="false">IF($A224="","",IF(OR($C224="Decision",$C224="Conflict"),IF(COUNTIFS($I$2:$I$1001,$A224,$C$2:$C$1001,"Resolved")=0,"Open","Closed"),IF(AND($H224="Unconfirmed",OR($C224="New",$C224="Know")),IF(COUNTIFS($I$2:$I$1001,$A224,$C$2:$C$1001,"Confirmed")=0,"Unconfirmed","Confirmed"),"Logged")))</f>
        <v/>
      </c>
      <c r="L224" s="29" t="str">
        <f aca="false">IF($A224="","",AsOf-$B224)</f>
        <v/>
      </c>
      <c r="M224" s="29" t="str">
        <f aca="false">IF($K224="Open",IF($C224="Conflict","Critical",IF($L224&gt;=DecisionCritical,"Critical",IF($L224&gt;=DecisionWarn,"Warning","On track"))),IF($K224="Unconfirmed",IF($L224&gt;=UnconfirmedWarn,"Warning","On track"),""))</f>
        <v/>
      </c>
      <c r="N224" s="29" t="str">
        <f aca="false">IF($M224="","",IF($M224="Critical",3000,IF($M224="Warning",2000,1000))+$L224+ROW()/100000)</f>
        <v/>
      </c>
      <c r="O224" s="29" t="str">
        <f aca="false">IF($K224="Open",IF($C224="Conflict","decide "&amp;$A224&amp;": &lt;which version stands&gt;","decide "&amp;$A224&amp;": &lt;outcome&gt;"),IF($K224="Unconfirmed","confirm "&amp;$A224,""))</f>
        <v/>
      </c>
    </row>
    <row r="225" customFormat="false" ht="15" hidden="false" customHeight="false" outlineLevel="0" collapsed="false">
      <c r="A225" s="24"/>
      <c r="B225" s="27"/>
      <c r="C225" s="28"/>
      <c r="D225" s="24"/>
      <c r="E225" s="24"/>
      <c r="F225" s="24"/>
      <c r="G225" s="28"/>
      <c r="H225" s="28"/>
      <c r="I225" s="24"/>
      <c r="J225" s="24"/>
      <c r="K225" s="29" t="str">
        <f aca="false">IF($A225="","",IF(OR($C225="Decision",$C225="Conflict"),IF(COUNTIFS($I$2:$I$1001,$A225,$C$2:$C$1001,"Resolved")=0,"Open","Closed"),IF(AND($H225="Unconfirmed",OR($C225="New",$C225="Know")),IF(COUNTIFS($I$2:$I$1001,$A225,$C$2:$C$1001,"Confirmed")=0,"Unconfirmed","Confirmed"),"Logged")))</f>
        <v/>
      </c>
      <c r="L225" s="29" t="str">
        <f aca="false">IF($A225="","",AsOf-$B225)</f>
        <v/>
      </c>
      <c r="M225" s="29" t="str">
        <f aca="false">IF($K225="Open",IF($C225="Conflict","Critical",IF($L225&gt;=DecisionCritical,"Critical",IF($L225&gt;=DecisionWarn,"Warning","On track"))),IF($K225="Unconfirmed",IF($L225&gt;=UnconfirmedWarn,"Warning","On track"),""))</f>
        <v/>
      </c>
      <c r="N225" s="29" t="str">
        <f aca="false">IF($M225="","",IF($M225="Critical",3000,IF($M225="Warning",2000,1000))+$L225+ROW()/100000)</f>
        <v/>
      </c>
      <c r="O225" s="29" t="str">
        <f aca="false">IF($K225="Open",IF($C225="Conflict","decide "&amp;$A225&amp;": &lt;which version stands&gt;","decide "&amp;$A225&amp;": &lt;outcome&gt;"),IF($K225="Unconfirmed","confirm "&amp;$A225,""))</f>
        <v/>
      </c>
    </row>
    <row r="226" customFormat="false" ht="15" hidden="false" customHeight="false" outlineLevel="0" collapsed="false">
      <c r="A226" s="24"/>
      <c r="B226" s="27"/>
      <c r="C226" s="28"/>
      <c r="D226" s="24"/>
      <c r="E226" s="24"/>
      <c r="F226" s="24"/>
      <c r="G226" s="28"/>
      <c r="H226" s="28"/>
      <c r="I226" s="24"/>
      <c r="J226" s="24"/>
      <c r="K226" s="29" t="str">
        <f aca="false">IF($A226="","",IF(OR($C226="Decision",$C226="Conflict"),IF(COUNTIFS($I$2:$I$1001,$A226,$C$2:$C$1001,"Resolved")=0,"Open","Closed"),IF(AND($H226="Unconfirmed",OR($C226="New",$C226="Know")),IF(COUNTIFS($I$2:$I$1001,$A226,$C$2:$C$1001,"Confirmed")=0,"Unconfirmed","Confirmed"),"Logged")))</f>
        <v/>
      </c>
      <c r="L226" s="29" t="str">
        <f aca="false">IF($A226="","",AsOf-$B226)</f>
        <v/>
      </c>
      <c r="M226" s="29" t="str">
        <f aca="false">IF($K226="Open",IF($C226="Conflict","Critical",IF($L226&gt;=DecisionCritical,"Critical",IF($L226&gt;=DecisionWarn,"Warning","On track"))),IF($K226="Unconfirmed",IF($L226&gt;=UnconfirmedWarn,"Warning","On track"),""))</f>
        <v/>
      </c>
      <c r="N226" s="29" t="str">
        <f aca="false">IF($M226="","",IF($M226="Critical",3000,IF($M226="Warning",2000,1000))+$L226+ROW()/100000)</f>
        <v/>
      </c>
      <c r="O226" s="29" t="str">
        <f aca="false">IF($K226="Open",IF($C226="Conflict","decide "&amp;$A226&amp;": &lt;which version stands&gt;","decide "&amp;$A226&amp;": &lt;outcome&gt;"),IF($K226="Unconfirmed","confirm "&amp;$A226,""))</f>
        <v/>
      </c>
    </row>
    <row r="227" customFormat="false" ht="15" hidden="false" customHeight="false" outlineLevel="0" collapsed="false">
      <c r="A227" s="24"/>
      <c r="B227" s="27"/>
      <c r="C227" s="28"/>
      <c r="D227" s="24"/>
      <c r="E227" s="24"/>
      <c r="F227" s="24"/>
      <c r="G227" s="28"/>
      <c r="H227" s="28"/>
      <c r="I227" s="24"/>
      <c r="J227" s="24"/>
      <c r="K227" s="29" t="str">
        <f aca="false">IF($A227="","",IF(OR($C227="Decision",$C227="Conflict"),IF(COUNTIFS($I$2:$I$1001,$A227,$C$2:$C$1001,"Resolved")=0,"Open","Closed"),IF(AND($H227="Unconfirmed",OR($C227="New",$C227="Know")),IF(COUNTIFS($I$2:$I$1001,$A227,$C$2:$C$1001,"Confirmed")=0,"Unconfirmed","Confirmed"),"Logged")))</f>
        <v/>
      </c>
      <c r="L227" s="29" t="str">
        <f aca="false">IF($A227="","",AsOf-$B227)</f>
        <v/>
      </c>
      <c r="M227" s="29" t="str">
        <f aca="false">IF($K227="Open",IF($C227="Conflict","Critical",IF($L227&gt;=DecisionCritical,"Critical",IF($L227&gt;=DecisionWarn,"Warning","On track"))),IF($K227="Unconfirmed",IF($L227&gt;=UnconfirmedWarn,"Warning","On track"),""))</f>
        <v/>
      </c>
      <c r="N227" s="29" t="str">
        <f aca="false">IF($M227="","",IF($M227="Critical",3000,IF($M227="Warning",2000,1000))+$L227+ROW()/100000)</f>
        <v/>
      </c>
      <c r="O227" s="29" t="str">
        <f aca="false">IF($K227="Open",IF($C227="Conflict","decide "&amp;$A227&amp;": &lt;which version stands&gt;","decide "&amp;$A227&amp;": &lt;outcome&gt;"),IF($K227="Unconfirmed","confirm "&amp;$A227,""))</f>
        <v/>
      </c>
    </row>
    <row r="228" customFormat="false" ht="15" hidden="false" customHeight="false" outlineLevel="0" collapsed="false">
      <c r="A228" s="24"/>
      <c r="B228" s="27"/>
      <c r="C228" s="28"/>
      <c r="D228" s="24"/>
      <c r="E228" s="24"/>
      <c r="F228" s="24"/>
      <c r="G228" s="28"/>
      <c r="H228" s="28"/>
      <c r="I228" s="24"/>
      <c r="J228" s="24"/>
      <c r="K228" s="29" t="str">
        <f aca="false">IF($A228="","",IF(OR($C228="Decision",$C228="Conflict"),IF(COUNTIFS($I$2:$I$1001,$A228,$C$2:$C$1001,"Resolved")=0,"Open","Closed"),IF(AND($H228="Unconfirmed",OR($C228="New",$C228="Know")),IF(COUNTIFS($I$2:$I$1001,$A228,$C$2:$C$1001,"Confirmed")=0,"Unconfirmed","Confirmed"),"Logged")))</f>
        <v/>
      </c>
      <c r="L228" s="29" t="str">
        <f aca="false">IF($A228="","",AsOf-$B228)</f>
        <v/>
      </c>
      <c r="M228" s="29" t="str">
        <f aca="false">IF($K228="Open",IF($C228="Conflict","Critical",IF($L228&gt;=DecisionCritical,"Critical",IF($L228&gt;=DecisionWarn,"Warning","On track"))),IF($K228="Unconfirmed",IF($L228&gt;=UnconfirmedWarn,"Warning","On track"),""))</f>
        <v/>
      </c>
      <c r="N228" s="29" t="str">
        <f aca="false">IF($M228="","",IF($M228="Critical",3000,IF($M228="Warning",2000,1000))+$L228+ROW()/100000)</f>
        <v/>
      </c>
      <c r="O228" s="29" t="str">
        <f aca="false">IF($K228="Open",IF($C228="Conflict","decide "&amp;$A228&amp;": &lt;which version stands&gt;","decide "&amp;$A228&amp;": &lt;outcome&gt;"),IF($K228="Unconfirmed","confirm "&amp;$A228,""))</f>
        <v/>
      </c>
    </row>
    <row r="229" customFormat="false" ht="15" hidden="false" customHeight="false" outlineLevel="0" collapsed="false">
      <c r="A229" s="24"/>
      <c r="B229" s="27"/>
      <c r="C229" s="28"/>
      <c r="D229" s="24"/>
      <c r="E229" s="24"/>
      <c r="F229" s="24"/>
      <c r="G229" s="28"/>
      <c r="H229" s="28"/>
      <c r="I229" s="24"/>
      <c r="J229" s="24"/>
      <c r="K229" s="29" t="str">
        <f aca="false">IF($A229="","",IF(OR($C229="Decision",$C229="Conflict"),IF(COUNTIFS($I$2:$I$1001,$A229,$C$2:$C$1001,"Resolved")=0,"Open","Closed"),IF(AND($H229="Unconfirmed",OR($C229="New",$C229="Know")),IF(COUNTIFS($I$2:$I$1001,$A229,$C$2:$C$1001,"Confirmed")=0,"Unconfirmed","Confirmed"),"Logged")))</f>
        <v/>
      </c>
      <c r="L229" s="29" t="str">
        <f aca="false">IF($A229="","",AsOf-$B229)</f>
        <v/>
      </c>
      <c r="M229" s="29" t="str">
        <f aca="false">IF($K229="Open",IF($C229="Conflict","Critical",IF($L229&gt;=DecisionCritical,"Critical",IF($L229&gt;=DecisionWarn,"Warning","On track"))),IF($K229="Unconfirmed",IF($L229&gt;=UnconfirmedWarn,"Warning","On track"),""))</f>
        <v/>
      </c>
      <c r="N229" s="29" t="str">
        <f aca="false">IF($M229="","",IF($M229="Critical",3000,IF($M229="Warning",2000,1000))+$L229+ROW()/100000)</f>
        <v/>
      </c>
      <c r="O229" s="29" t="str">
        <f aca="false">IF($K229="Open",IF($C229="Conflict","decide "&amp;$A229&amp;": &lt;which version stands&gt;","decide "&amp;$A229&amp;": &lt;outcome&gt;"),IF($K229="Unconfirmed","confirm "&amp;$A229,""))</f>
        <v/>
      </c>
    </row>
    <row r="230" customFormat="false" ht="15" hidden="false" customHeight="false" outlineLevel="0" collapsed="false">
      <c r="A230" s="24"/>
      <c r="B230" s="27"/>
      <c r="C230" s="28"/>
      <c r="D230" s="24"/>
      <c r="E230" s="24"/>
      <c r="F230" s="24"/>
      <c r="G230" s="28"/>
      <c r="H230" s="28"/>
      <c r="I230" s="24"/>
      <c r="J230" s="24"/>
      <c r="K230" s="29" t="str">
        <f aca="false">IF($A230="","",IF(OR($C230="Decision",$C230="Conflict"),IF(COUNTIFS($I$2:$I$1001,$A230,$C$2:$C$1001,"Resolved")=0,"Open","Closed"),IF(AND($H230="Unconfirmed",OR($C230="New",$C230="Know")),IF(COUNTIFS($I$2:$I$1001,$A230,$C$2:$C$1001,"Confirmed")=0,"Unconfirmed","Confirmed"),"Logged")))</f>
        <v/>
      </c>
      <c r="L230" s="29" t="str">
        <f aca="false">IF($A230="","",AsOf-$B230)</f>
        <v/>
      </c>
      <c r="M230" s="29" t="str">
        <f aca="false">IF($K230="Open",IF($C230="Conflict","Critical",IF($L230&gt;=DecisionCritical,"Critical",IF($L230&gt;=DecisionWarn,"Warning","On track"))),IF($K230="Unconfirmed",IF($L230&gt;=UnconfirmedWarn,"Warning","On track"),""))</f>
        <v/>
      </c>
      <c r="N230" s="29" t="str">
        <f aca="false">IF($M230="","",IF($M230="Critical",3000,IF($M230="Warning",2000,1000))+$L230+ROW()/100000)</f>
        <v/>
      </c>
      <c r="O230" s="29" t="str">
        <f aca="false">IF($K230="Open",IF($C230="Conflict","decide "&amp;$A230&amp;": &lt;which version stands&gt;","decide "&amp;$A230&amp;": &lt;outcome&gt;"),IF($K230="Unconfirmed","confirm "&amp;$A230,""))</f>
        <v/>
      </c>
    </row>
    <row r="231" customFormat="false" ht="15" hidden="false" customHeight="false" outlineLevel="0" collapsed="false">
      <c r="A231" s="24"/>
      <c r="B231" s="27"/>
      <c r="C231" s="28"/>
      <c r="D231" s="24"/>
      <c r="E231" s="24"/>
      <c r="F231" s="24"/>
      <c r="G231" s="28"/>
      <c r="H231" s="28"/>
      <c r="I231" s="24"/>
      <c r="J231" s="24"/>
      <c r="K231" s="29" t="str">
        <f aca="false">IF($A231="","",IF(OR($C231="Decision",$C231="Conflict"),IF(COUNTIFS($I$2:$I$1001,$A231,$C$2:$C$1001,"Resolved")=0,"Open","Closed"),IF(AND($H231="Unconfirmed",OR($C231="New",$C231="Know")),IF(COUNTIFS($I$2:$I$1001,$A231,$C$2:$C$1001,"Confirmed")=0,"Unconfirmed","Confirmed"),"Logged")))</f>
        <v/>
      </c>
      <c r="L231" s="29" t="str">
        <f aca="false">IF($A231="","",AsOf-$B231)</f>
        <v/>
      </c>
      <c r="M231" s="29" t="str">
        <f aca="false">IF($K231="Open",IF($C231="Conflict","Critical",IF($L231&gt;=DecisionCritical,"Critical",IF($L231&gt;=DecisionWarn,"Warning","On track"))),IF($K231="Unconfirmed",IF($L231&gt;=UnconfirmedWarn,"Warning","On track"),""))</f>
        <v/>
      </c>
      <c r="N231" s="29" t="str">
        <f aca="false">IF($M231="","",IF($M231="Critical",3000,IF($M231="Warning",2000,1000))+$L231+ROW()/100000)</f>
        <v/>
      </c>
      <c r="O231" s="29" t="str">
        <f aca="false">IF($K231="Open",IF($C231="Conflict","decide "&amp;$A231&amp;": &lt;which version stands&gt;","decide "&amp;$A231&amp;": &lt;outcome&gt;"),IF($K231="Unconfirmed","confirm "&amp;$A231,""))</f>
        <v/>
      </c>
    </row>
    <row r="232" customFormat="false" ht="15" hidden="false" customHeight="false" outlineLevel="0" collapsed="false">
      <c r="A232" s="24"/>
      <c r="B232" s="27"/>
      <c r="C232" s="28"/>
      <c r="D232" s="24"/>
      <c r="E232" s="24"/>
      <c r="F232" s="24"/>
      <c r="G232" s="28"/>
      <c r="H232" s="28"/>
      <c r="I232" s="24"/>
      <c r="J232" s="24"/>
      <c r="K232" s="29" t="str">
        <f aca="false">IF($A232="","",IF(OR($C232="Decision",$C232="Conflict"),IF(COUNTIFS($I$2:$I$1001,$A232,$C$2:$C$1001,"Resolved")=0,"Open","Closed"),IF(AND($H232="Unconfirmed",OR($C232="New",$C232="Know")),IF(COUNTIFS($I$2:$I$1001,$A232,$C$2:$C$1001,"Confirmed")=0,"Unconfirmed","Confirmed"),"Logged")))</f>
        <v/>
      </c>
      <c r="L232" s="29" t="str">
        <f aca="false">IF($A232="","",AsOf-$B232)</f>
        <v/>
      </c>
      <c r="M232" s="29" t="str">
        <f aca="false">IF($K232="Open",IF($C232="Conflict","Critical",IF($L232&gt;=DecisionCritical,"Critical",IF($L232&gt;=DecisionWarn,"Warning","On track"))),IF($K232="Unconfirmed",IF($L232&gt;=UnconfirmedWarn,"Warning","On track"),""))</f>
        <v/>
      </c>
      <c r="N232" s="29" t="str">
        <f aca="false">IF($M232="","",IF($M232="Critical",3000,IF($M232="Warning",2000,1000))+$L232+ROW()/100000)</f>
        <v/>
      </c>
      <c r="O232" s="29" t="str">
        <f aca="false">IF($K232="Open",IF($C232="Conflict","decide "&amp;$A232&amp;": &lt;which version stands&gt;","decide "&amp;$A232&amp;": &lt;outcome&gt;"),IF($K232="Unconfirmed","confirm "&amp;$A232,""))</f>
        <v/>
      </c>
    </row>
    <row r="233" customFormat="false" ht="15" hidden="false" customHeight="false" outlineLevel="0" collapsed="false">
      <c r="A233" s="24"/>
      <c r="B233" s="27"/>
      <c r="C233" s="28"/>
      <c r="D233" s="24"/>
      <c r="E233" s="24"/>
      <c r="F233" s="24"/>
      <c r="G233" s="28"/>
      <c r="H233" s="28"/>
      <c r="I233" s="24"/>
      <c r="J233" s="24"/>
      <c r="K233" s="29" t="str">
        <f aca="false">IF($A233="","",IF(OR($C233="Decision",$C233="Conflict"),IF(COUNTIFS($I$2:$I$1001,$A233,$C$2:$C$1001,"Resolved")=0,"Open","Closed"),IF(AND($H233="Unconfirmed",OR($C233="New",$C233="Know")),IF(COUNTIFS($I$2:$I$1001,$A233,$C$2:$C$1001,"Confirmed")=0,"Unconfirmed","Confirmed"),"Logged")))</f>
        <v/>
      </c>
      <c r="L233" s="29" t="str">
        <f aca="false">IF($A233="","",AsOf-$B233)</f>
        <v/>
      </c>
      <c r="M233" s="29" t="str">
        <f aca="false">IF($K233="Open",IF($C233="Conflict","Critical",IF($L233&gt;=DecisionCritical,"Critical",IF($L233&gt;=DecisionWarn,"Warning","On track"))),IF($K233="Unconfirmed",IF($L233&gt;=UnconfirmedWarn,"Warning","On track"),""))</f>
        <v/>
      </c>
      <c r="N233" s="29" t="str">
        <f aca="false">IF($M233="","",IF($M233="Critical",3000,IF($M233="Warning",2000,1000))+$L233+ROW()/100000)</f>
        <v/>
      </c>
      <c r="O233" s="29" t="str">
        <f aca="false">IF($K233="Open",IF($C233="Conflict","decide "&amp;$A233&amp;": &lt;which version stands&gt;","decide "&amp;$A233&amp;": &lt;outcome&gt;"),IF($K233="Unconfirmed","confirm "&amp;$A233,""))</f>
        <v/>
      </c>
    </row>
    <row r="234" customFormat="false" ht="15" hidden="false" customHeight="false" outlineLevel="0" collapsed="false">
      <c r="A234" s="24"/>
      <c r="B234" s="27"/>
      <c r="C234" s="28"/>
      <c r="D234" s="24"/>
      <c r="E234" s="24"/>
      <c r="F234" s="24"/>
      <c r="G234" s="28"/>
      <c r="H234" s="28"/>
      <c r="I234" s="24"/>
      <c r="J234" s="24"/>
      <c r="K234" s="29" t="str">
        <f aca="false">IF($A234="","",IF(OR($C234="Decision",$C234="Conflict"),IF(COUNTIFS($I$2:$I$1001,$A234,$C$2:$C$1001,"Resolved")=0,"Open","Closed"),IF(AND($H234="Unconfirmed",OR($C234="New",$C234="Know")),IF(COUNTIFS($I$2:$I$1001,$A234,$C$2:$C$1001,"Confirmed")=0,"Unconfirmed","Confirmed"),"Logged")))</f>
        <v/>
      </c>
      <c r="L234" s="29" t="str">
        <f aca="false">IF($A234="","",AsOf-$B234)</f>
        <v/>
      </c>
      <c r="M234" s="29" t="str">
        <f aca="false">IF($K234="Open",IF($C234="Conflict","Critical",IF($L234&gt;=DecisionCritical,"Critical",IF($L234&gt;=DecisionWarn,"Warning","On track"))),IF($K234="Unconfirmed",IF($L234&gt;=UnconfirmedWarn,"Warning","On track"),""))</f>
        <v/>
      </c>
      <c r="N234" s="29" t="str">
        <f aca="false">IF($M234="","",IF($M234="Critical",3000,IF($M234="Warning",2000,1000))+$L234+ROW()/100000)</f>
        <v/>
      </c>
      <c r="O234" s="29" t="str">
        <f aca="false">IF($K234="Open",IF($C234="Conflict","decide "&amp;$A234&amp;": &lt;which version stands&gt;","decide "&amp;$A234&amp;": &lt;outcome&gt;"),IF($K234="Unconfirmed","confirm "&amp;$A234,""))</f>
        <v/>
      </c>
    </row>
    <row r="235" customFormat="false" ht="15" hidden="false" customHeight="false" outlineLevel="0" collapsed="false">
      <c r="A235" s="24"/>
      <c r="B235" s="27"/>
      <c r="C235" s="28"/>
      <c r="D235" s="24"/>
      <c r="E235" s="24"/>
      <c r="F235" s="24"/>
      <c r="G235" s="28"/>
      <c r="H235" s="28"/>
      <c r="I235" s="24"/>
      <c r="J235" s="24"/>
      <c r="K235" s="29" t="str">
        <f aca="false">IF($A235="","",IF(OR($C235="Decision",$C235="Conflict"),IF(COUNTIFS($I$2:$I$1001,$A235,$C$2:$C$1001,"Resolved")=0,"Open","Closed"),IF(AND($H235="Unconfirmed",OR($C235="New",$C235="Know")),IF(COUNTIFS($I$2:$I$1001,$A235,$C$2:$C$1001,"Confirmed")=0,"Unconfirmed","Confirmed"),"Logged")))</f>
        <v/>
      </c>
      <c r="L235" s="29" t="str">
        <f aca="false">IF($A235="","",AsOf-$B235)</f>
        <v/>
      </c>
      <c r="M235" s="29" t="str">
        <f aca="false">IF($K235="Open",IF($C235="Conflict","Critical",IF($L235&gt;=DecisionCritical,"Critical",IF($L235&gt;=DecisionWarn,"Warning","On track"))),IF($K235="Unconfirmed",IF($L235&gt;=UnconfirmedWarn,"Warning","On track"),""))</f>
        <v/>
      </c>
      <c r="N235" s="29" t="str">
        <f aca="false">IF($M235="","",IF($M235="Critical",3000,IF($M235="Warning",2000,1000))+$L235+ROW()/100000)</f>
        <v/>
      </c>
      <c r="O235" s="29" t="str">
        <f aca="false">IF($K235="Open",IF($C235="Conflict","decide "&amp;$A235&amp;": &lt;which version stands&gt;","decide "&amp;$A235&amp;": &lt;outcome&gt;"),IF($K235="Unconfirmed","confirm "&amp;$A235,""))</f>
        <v/>
      </c>
    </row>
    <row r="236" customFormat="false" ht="15" hidden="false" customHeight="false" outlineLevel="0" collapsed="false">
      <c r="A236" s="24"/>
      <c r="B236" s="27"/>
      <c r="C236" s="28"/>
      <c r="D236" s="24"/>
      <c r="E236" s="24"/>
      <c r="F236" s="24"/>
      <c r="G236" s="28"/>
      <c r="H236" s="28"/>
      <c r="I236" s="24"/>
      <c r="J236" s="24"/>
      <c r="K236" s="29" t="str">
        <f aca="false">IF($A236="","",IF(OR($C236="Decision",$C236="Conflict"),IF(COUNTIFS($I$2:$I$1001,$A236,$C$2:$C$1001,"Resolved")=0,"Open","Closed"),IF(AND($H236="Unconfirmed",OR($C236="New",$C236="Know")),IF(COUNTIFS($I$2:$I$1001,$A236,$C$2:$C$1001,"Confirmed")=0,"Unconfirmed","Confirmed"),"Logged")))</f>
        <v/>
      </c>
      <c r="L236" s="29" t="str">
        <f aca="false">IF($A236="","",AsOf-$B236)</f>
        <v/>
      </c>
      <c r="M236" s="29" t="str">
        <f aca="false">IF($K236="Open",IF($C236="Conflict","Critical",IF($L236&gt;=DecisionCritical,"Critical",IF($L236&gt;=DecisionWarn,"Warning","On track"))),IF($K236="Unconfirmed",IF($L236&gt;=UnconfirmedWarn,"Warning","On track"),""))</f>
        <v/>
      </c>
      <c r="N236" s="29" t="str">
        <f aca="false">IF($M236="","",IF($M236="Critical",3000,IF($M236="Warning",2000,1000))+$L236+ROW()/100000)</f>
        <v/>
      </c>
      <c r="O236" s="29" t="str">
        <f aca="false">IF($K236="Open",IF($C236="Conflict","decide "&amp;$A236&amp;": &lt;which version stands&gt;","decide "&amp;$A236&amp;": &lt;outcome&gt;"),IF($K236="Unconfirmed","confirm "&amp;$A236,""))</f>
        <v/>
      </c>
    </row>
    <row r="237" customFormat="false" ht="15" hidden="false" customHeight="false" outlineLevel="0" collapsed="false">
      <c r="A237" s="24"/>
      <c r="B237" s="27"/>
      <c r="C237" s="28"/>
      <c r="D237" s="24"/>
      <c r="E237" s="24"/>
      <c r="F237" s="24"/>
      <c r="G237" s="28"/>
      <c r="H237" s="28"/>
      <c r="I237" s="24"/>
      <c r="J237" s="24"/>
      <c r="K237" s="29" t="str">
        <f aca="false">IF($A237="","",IF(OR($C237="Decision",$C237="Conflict"),IF(COUNTIFS($I$2:$I$1001,$A237,$C$2:$C$1001,"Resolved")=0,"Open","Closed"),IF(AND($H237="Unconfirmed",OR($C237="New",$C237="Know")),IF(COUNTIFS($I$2:$I$1001,$A237,$C$2:$C$1001,"Confirmed")=0,"Unconfirmed","Confirmed"),"Logged")))</f>
        <v/>
      </c>
      <c r="L237" s="29" t="str">
        <f aca="false">IF($A237="","",AsOf-$B237)</f>
        <v/>
      </c>
      <c r="M237" s="29" t="str">
        <f aca="false">IF($K237="Open",IF($C237="Conflict","Critical",IF($L237&gt;=DecisionCritical,"Critical",IF($L237&gt;=DecisionWarn,"Warning","On track"))),IF($K237="Unconfirmed",IF($L237&gt;=UnconfirmedWarn,"Warning","On track"),""))</f>
        <v/>
      </c>
      <c r="N237" s="29" t="str">
        <f aca="false">IF($M237="","",IF($M237="Critical",3000,IF($M237="Warning",2000,1000))+$L237+ROW()/100000)</f>
        <v/>
      </c>
      <c r="O237" s="29" t="str">
        <f aca="false">IF($K237="Open",IF($C237="Conflict","decide "&amp;$A237&amp;": &lt;which version stands&gt;","decide "&amp;$A237&amp;": &lt;outcome&gt;"),IF($K237="Unconfirmed","confirm "&amp;$A237,""))</f>
        <v/>
      </c>
    </row>
    <row r="238" customFormat="false" ht="15" hidden="false" customHeight="false" outlineLevel="0" collapsed="false">
      <c r="A238" s="24"/>
      <c r="B238" s="27"/>
      <c r="C238" s="28"/>
      <c r="D238" s="24"/>
      <c r="E238" s="24"/>
      <c r="F238" s="24"/>
      <c r="G238" s="28"/>
      <c r="H238" s="28"/>
      <c r="I238" s="24"/>
      <c r="J238" s="24"/>
      <c r="K238" s="29" t="str">
        <f aca="false">IF($A238="","",IF(OR($C238="Decision",$C238="Conflict"),IF(COUNTIFS($I$2:$I$1001,$A238,$C$2:$C$1001,"Resolved")=0,"Open","Closed"),IF(AND($H238="Unconfirmed",OR($C238="New",$C238="Know")),IF(COUNTIFS($I$2:$I$1001,$A238,$C$2:$C$1001,"Confirmed")=0,"Unconfirmed","Confirmed"),"Logged")))</f>
        <v/>
      </c>
      <c r="L238" s="29" t="str">
        <f aca="false">IF($A238="","",AsOf-$B238)</f>
        <v/>
      </c>
      <c r="M238" s="29" t="str">
        <f aca="false">IF($K238="Open",IF($C238="Conflict","Critical",IF($L238&gt;=DecisionCritical,"Critical",IF($L238&gt;=DecisionWarn,"Warning","On track"))),IF($K238="Unconfirmed",IF($L238&gt;=UnconfirmedWarn,"Warning","On track"),""))</f>
        <v/>
      </c>
      <c r="N238" s="29" t="str">
        <f aca="false">IF($M238="","",IF($M238="Critical",3000,IF($M238="Warning",2000,1000))+$L238+ROW()/100000)</f>
        <v/>
      </c>
      <c r="O238" s="29" t="str">
        <f aca="false">IF($K238="Open",IF($C238="Conflict","decide "&amp;$A238&amp;": &lt;which version stands&gt;","decide "&amp;$A238&amp;": &lt;outcome&gt;"),IF($K238="Unconfirmed","confirm "&amp;$A238,""))</f>
        <v/>
      </c>
    </row>
    <row r="239" customFormat="false" ht="15" hidden="false" customHeight="false" outlineLevel="0" collapsed="false">
      <c r="A239" s="24"/>
      <c r="B239" s="27"/>
      <c r="C239" s="28"/>
      <c r="D239" s="24"/>
      <c r="E239" s="24"/>
      <c r="F239" s="24"/>
      <c r="G239" s="28"/>
      <c r="H239" s="28"/>
      <c r="I239" s="24"/>
      <c r="J239" s="24"/>
      <c r="K239" s="29" t="str">
        <f aca="false">IF($A239="","",IF(OR($C239="Decision",$C239="Conflict"),IF(COUNTIFS($I$2:$I$1001,$A239,$C$2:$C$1001,"Resolved")=0,"Open","Closed"),IF(AND($H239="Unconfirmed",OR($C239="New",$C239="Know")),IF(COUNTIFS($I$2:$I$1001,$A239,$C$2:$C$1001,"Confirmed")=0,"Unconfirmed","Confirmed"),"Logged")))</f>
        <v/>
      </c>
      <c r="L239" s="29" t="str">
        <f aca="false">IF($A239="","",AsOf-$B239)</f>
        <v/>
      </c>
      <c r="M239" s="29" t="str">
        <f aca="false">IF($K239="Open",IF($C239="Conflict","Critical",IF($L239&gt;=DecisionCritical,"Critical",IF($L239&gt;=DecisionWarn,"Warning","On track"))),IF($K239="Unconfirmed",IF($L239&gt;=UnconfirmedWarn,"Warning","On track"),""))</f>
        <v/>
      </c>
      <c r="N239" s="29" t="str">
        <f aca="false">IF($M239="","",IF($M239="Critical",3000,IF($M239="Warning",2000,1000))+$L239+ROW()/100000)</f>
        <v/>
      </c>
      <c r="O239" s="29" t="str">
        <f aca="false">IF($K239="Open",IF($C239="Conflict","decide "&amp;$A239&amp;": &lt;which version stands&gt;","decide "&amp;$A239&amp;": &lt;outcome&gt;"),IF($K239="Unconfirmed","confirm "&amp;$A239,""))</f>
        <v/>
      </c>
    </row>
    <row r="240" customFormat="false" ht="15" hidden="false" customHeight="false" outlineLevel="0" collapsed="false">
      <c r="A240" s="24"/>
      <c r="B240" s="27"/>
      <c r="C240" s="28"/>
      <c r="D240" s="24"/>
      <c r="E240" s="24"/>
      <c r="F240" s="24"/>
      <c r="G240" s="28"/>
      <c r="H240" s="28"/>
      <c r="I240" s="24"/>
      <c r="J240" s="24"/>
      <c r="K240" s="29" t="str">
        <f aca="false">IF($A240="","",IF(OR($C240="Decision",$C240="Conflict"),IF(COUNTIFS($I$2:$I$1001,$A240,$C$2:$C$1001,"Resolved")=0,"Open","Closed"),IF(AND($H240="Unconfirmed",OR($C240="New",$C240="Know")),IF(COUNTIFS($I$2:$I$1001,$A240,$C$2:$C$1001,"Confirmed")=0,"Unconfirmed","Confirmed"),"Logged")))</f>
        <v/>
      </c>
      <c r="L240" s="29" t="str">
        <f aca="false">IF($A240="","",AsOf-$B240)</f>
        <v/>
      </c>
      <c r="M240" s="29" t="str">
        <f aca="false">IF($K240="Open",IF($C240="Conflict","Critical",IF($L240&gt;=DecisionCritical,"Critical",IF($L240&gt;=DecisionWarn,"Warning","On track"))),IF($K240="Unconfirmed",IF($L240&gt;=UnconfirmedWarn,"Warning","On track"),""))</f>
        <v/>
      </c>
      <c r="N240" s="29" t="str">
        <f aca="false">IF($M240="","",IF($M240="Critical",3000,IF($M240="Warning",2000,1000))+$L240+ROW()/100000)</f>
        <v/>
      </c>
      <c r="O240" s="29" t="str">
        <f aca="false">IF($K240="Open",IF($C240="Conflict","decide "&amp;$A240&amp;": &lt;which version stands&gt;","decide "&amp;$A240&amp;": &lt;outcome&gt;"),IF($K240="Unconfirmed","confirm "&amp;$A240,""))</f>
        <v/>
      </c>
    </row>
    <row r="241" customFormat="false" ht="15" hidden="false" customHeight="false" outlineLevel="0" collapsed="false">
      <c r="A241" s="24"/>
      <c r="B241" s="27"/>
      <c r="C241" s="28"/>
      <c r="D241" s="24"/>
      <c r="E241" s="24"/>
      <c r="F241" s="24"/>
      <c r="G241" s="28"/>
      <c r="H241" s="28"/>
      <c r="I241" s="24"/>
      <c r="J241" s="24"/>
      <c r="K241" s="29" t="str">
        <f aca="false">IF($A241="","",IF(OR($C241="Decision",$C241="Conflict"),IF(COUNTIFS($I$2:$I$1001,$A241,$C$2:$C$1001,"Resolved")=0,"Open","Closed"),IF(AND($H241="Unconfirmed",OR($C241="New",$C241="Know")),IF(COUNTIFS($I$2:$I$1001,$A241,$C$2:$C$1001,"Confirmed")=0,"Unconfirmed","Confirmed"),"Logged")))</f>
        <v/>
      </c>
      <c r="L241" s="29" t="str">
        <f aca="false">IF($A241="","",AsOf-$B241)</f>
        <v/>
      </c>
      <c r="M241" s="29" t="str">
        <f aca="false">IF($K241="Open",IF($C241="Conflict","Critical",IF($L241&gt;=DecisionCritical,"Critical",IF($L241&gt;=DecisionWarn,"Warning","On track"))),IF($K241="Unconfirmed",IF($L241&gt;=UnconfirmedWarn,"Warning","On track"),""))</f>
        <v/>
      </c>
      <c r="N241" s="29" t="str">
        <f aca="false">IF($M241="","",IF($M241="Critical",3000,IF($M241="Warning",2000,1000))+$L241+ROW()/100000)</f>
        <v/>
      </c>
      <c r="O241" s="29" t="str">
        <f aca="false">IF($K241="Open",IF($C241="Conflict","decide "&amp;$A241&amp;": &lt;which version stands&gt;","decide "&amp;$A241&amp;": &lt;outcome&gt;"),IF($K241="Unconfirmed","confirm "&amp;$A241,""))</f>
        <v/>
      </c>
    </row>
    <row r="242" customFormat="false" ht="15" hidden="false" customHeight="false" outlineLevel="0" collapsed="false">
      <c r="A242" s="24"/>
      <c r="B242" s="27"/>
      <c r="C242" s="28"/>
      <c r="D242" s="24"/>
      <c r="E242" s="24"/>
      <c r="F242" s="24"/>
      <c r="G242" s="28"/>
      <c r="H242" s="28"/>
      <c r="I242" s="24"/>
      <c r="J242" s="24"/>
      <c r="K242" s="29" t="str">
        <f aca="false">IF($A242="","",IF(OR($C242="Decision",$C242="Conflict"),IF(COUNTIFS($I$2:$I$1001,$A242,$C$2:$C$1001,"Resolved")=0,"Open","Closed"),IF(AND($H242="Unconfirmed",OR($C242="New",$C242="Know")),IF(COUNTIFS($I$2:$I$1001,$A242,$C$2:$C$1001,"Confirmed")=0,"Unconfirmed","Confirmed"),"Logged")))</f>
        <v/>
      </c>
      <c r="L242" s="29" t="str">
        <f aca="false">IF($A242="","",AsOf-$B242)</f>
        <v/>
      </c>
      <c r="M242" s="29" t="str">
        <f aca="false">IF($K242="Open",IF($C242="Conflict","Critical",IF($L242&gt;=DecisionCritical,"Critical",IF($L242&gt;=DecisionWarn,"Warning","On track"))),IF($K242="Unconfirmed",IF($L242&gt;=UnconfirmedWarn,"Warning","On track"),""))</f>
        <v/>
      </c>
      <c r="N242" s="29" t="str">
        <f aca="false">IF($M242="","",IF($M242="Critical",3000,IF($M242="Warning",2000,1000))+$L242+ROW()/100000)</f>
        <v/>
      </c>
      <c r="O242" s="29" t="str">
        <f aca="false">IF($K242="Open",IF($C242="Conflict","decide "&amp;$A242&amp;": &lt;which version stands&gt;","decide "&amp;$A242&amp;": &lt;outcome&gt;"),IF($K242="Unconfirmed","confirm "&amp;$A242,""))</f>
        <v/>
      </c>
    </row>
    <row r="243" customFormat="false" ht="15" hidden="false" customHeight="false" outlineLevel="0" collapsed="false">
      <c r="A243" s="24"/>
      <c r="B243" s="27"/>
      <c r="C243" s="28"/>
      <c r="D243" s="24"/>
      <c r="E243" s="24"/>
      <c r="F243" s="24"/>
      <c r="G243" s="28"/>
      <c r="H243" s="28"/>
      <c r="I243" s="24"/>
      <c r="J243" s="24"/>
      <c r="K243" s="29" t="str">
        <f aca="false">IF($A243="","",IF(OR($C243="Decision",$C243="Conflict"),IF(COUNTIFS($I$2:$I$1001,$A243,$C$2:$C$1001,"Resolved")=0,"Open","Closed"),IF(AND($H243="Unconfirmed",OR($C243="New",$C243="Know")),IF(COUNTIFS($I$2:$I$1001,$A243,$C$2:$C$1001,"Confirmed")=0,"Unconfirmed","Confirmed"),"Logged")))</f>
        <v/>
      </c>
      <c r="L243" s="29" t="str">
        <f aca="false">IF($A243="","",AsOf-$B243)</f>
        <v/>
      </c>
      <c r="M243" s="29" t="str">
        <f aca="false">IF($K243="Open",IF($C243="Conflict","Critical",IF($L243&gt;=DecisionCritical,"Critical",IF($L243&gt;=DecisionWarn,"Warning","On track"))),IF($K243="Unconfirmed",IF($L243&gt;=UnconfirmedWarn,"Warning","On track"),""))</f>
        <v/>
      </c>
      <c r="N243" s="29" t="str">
        <f aca="false">IF($M243="","",IF($M243="Critical",3000,IF($M243="Warning",2000,1000))+$L243+ROW()/100000)</f>
        <v/>
      </c>
      <c r="O243" s="29" t="str">
        <f aca="false">IF($K243="Open",IF($C243="Conflict","decide "&amp;$A243&amp;": &lt;which version stands&gt;","decide "&amp;$A243&amp;": &lt;outcome&gt;"),IF($K243="Unconfirmed","confirm "&amp;$A243,""))</f>
        <v/>
      </c>
    </row>
    <row r="244" customFormat="false" ht="15" hidden="false" customHeight="false" outlineLevel="0" collapsed="false">
      <c r="A244" s="24"/>
      <c r="B244" s="27"/>
      <c r="C244" s="28"/>
      <c r="D244" s="24"/>
      <c r="E244" s="24"/>
      <c r="F244" s="24"/>
      <c r="G244" s="28"/>
      <c r="H244" s="28"/>
      <c r="I244" s="24"/>
      <c r="J244" s="24"/>
      <c r="K244" s="29" t="str">
        <f aca="false">IF($A244="","",IF(OR($C244="Decision",$C244="Conflict"),IF(COUNTIFS($I$2:$I$1001,$A244,$C$2:$C$1001,"Resolved")=0,"Open","Closed"),IF(AND($H244="Unconfirmed",OR($C244="New",$C244="Know")),IF(COUNTIFS($I$2:$I$1001,$A244,$C$2:$C$1001,"Confirmed")=0,"Unconfirmed","Confirmed"),"Logged")))</f>
        <v/>
      </c>
      <c r="L244" s="29" t="str">
        <f aca="false">IF($A244="","",AsOf-$B244)</f>
        <v/>
      </c>
      <c r="M244" s="29" t="str">
        <f aca="false">IF($K244="Open",IF($C244="Conflict","Critical",IF($L244&gt;=DecisionCritical,"Critical",IF($L244&gt;=DecisionWarn,"Warning","On track"))),IF($K244="Unconfirmed",IF($L244&gt;=UnconfirmedWarn,"Warning","On track"),""))</f>
        <v/>
      </c>
      <c r="N244" s="29" t="str">
        <f aca="false">IF($M244="","",IF($M244="Critical",3000,IF($M244="Warning",2000,1000))+$L244+ROW()/100000)</f>
        <v/>
      </c>
      <c r="O244" s="29" t="str">
        <f aca="false">IF($K244="Open",IF($C244="Conflict","decide "&amp;$A244&amp;": &lt;which version stands&gt;","decide "&amp;$A244&amp;": &lt;outcome&gt;"),IF($K244="Unconfirmed","confirm "&amp;$A244,""))</f>
        <v/>
      </c>
    </row>
    <row r="245" customFormat="false" ht="15" hidden="false" customHeight="false" outlineLevel="0" collapsed="false">
      <c r="A245" s="24"/>
      <c r="B245" s="27"/>
      <c r="C245" s="28"/>
      <c r="D245" s="24"/>
      <c r="E245" s="24"/>
      <c r="F245" s="24"/>
      <c r="G245" s="28"/>
      <c r="H245" s="28"/>
      <c r="I245" s="24"/>
      <c r="J245" s="24"/>
      <c r="K245" s="29" t="str">
        <f aca="false">IF($A245="","",IF(OR($C245="Decision",$C245="Conflict"),IF(COUNTIFS($I$2:$I$1001,$A245,$C$2:$C$1001,"Resolved")=0,"Open","Closed"),IF(AND($H245="Unconfirmed",OR($C245="New",$C245="Know")),IF(COUNTIFS($I$2:$I$1001,$A245,$C$2:$C$1001,"Confirmed")=0,"Unconfirmed","Confirmed"),"Logged")))</f>
        <v/>
      </c>
      <c r="L245" s="29" t="str">
        <f aca="false">IF($A245="","",AsOf-$B245)</f>
        <v/>
      </c>
      <c r="M245" s="29" t="str">
        <f aca="false">IF($K245="Open",IF($C245="Conflict","Critical",IF($L245&gt;=DecisionCritical,"Critical",IF($L245&gt;=DecisionWarn,"Warning","On track"))),IF($K245="Unconfirmed",IF($L245&gt;=UnconfirmedWarn,"Warning","On track"),""))</f>
        <v/>
      </c>
      <c r="N245" s="29" t="str">
        <f aca="false">IF($M245="","",IF($M245="Critical",3000,IF($M245="Warning",2000,1000))+$L245+ROW()/100000)</f>
        <v/>
      </c>
      <c r="O245" s="29" t="str">
        <f aca="false">IF($K245="Open",IF($C245="Conflict","decide "&amp;$A245&amp;": &lt;which version stands&gt;","decide "&amp;$A245&amp;": &lt;outcome&gt;"),IF($K245="Unconfirmed","confirm "&amp;$A245,""))</f>
        <v/>
      </c>
    </row>
    <row r="246" customFormat="false" ht="15" hidden="false" customHeight="false" outlineLevel="0" collapsed="false">
      <c r="A246" s="24"/>
      <c r="B246" s="27"/>
      <c r="C246" s="28"/>
      <c r="D246" s="24"/>
      <c r="E246" s="24"/>
      <c r="F246" s="24"/>
      <c r="G246" s="28"/>
      <c r="H246" s="28"/>
      <c r="I246" s="24"/>
      <c r="J246" s="24"/>
      <c r="K246" s="29" t="str">
        <f aca="false">IF($A246="","",IF(OR($C246="Decision",$C246="Conflict"),IF(COUNTIFS($I$2:$I$1001,$A246,$C$2:$C$1001,"Resolved")=0,"Open","Closed"),IF(AND($H246="Unconfirmed",OR($C246="New",$C246="Know")),IF(COUNTIFS($I$2:$I$1001,$A246,$C$2:$C$1001,"Confirmed")=0,"Unconfirmed","Confirmed"),"Logged")))</f>
        <v/>
      </c>
      <c r="L246" s="29" t="str">
        <f aca="false">IF($A246="","",AsOf-$B246)</f>
        <v/>
      </c>
      <c r="M246" s="29" t="str">
        <f aca="false">IF($K246="Open",IF($C246="Conflict","Critical",IF($L246&gt;=DecisionCritical,"Critical",IF($L246&gt;=DecisionWarn,"Warning","On track"))),IF($K246="Unconfirmed",IF($L246&gt;=UnconfirmedWarn,"Warning","On track"),""))</f>
        <v/>
      </c>
      <c r="N246" s="29" t="str">
        <f aca="false">IF($M246="","",IF($M246="Critical",3000,IF($M246="Warning",2000,1000))+$L246+ROW()/100000)</f>
        <v/>
      </c>
      <c r="O246" s="29" t="str">
        <f aca="false">IF($K246="Open",IF($C246="Conflict","decide "&amp;$A246&amp;": &lt;which version stands&gt;","decide "&amp;$A246&amp;": &lt;outcome&gt;"),IF($K246="Unconfirmed","confirm "&amp;$A246,""))</f>
        <v/>
      </c>
    </row>
    <row r="247" customFormat="false" ht="15" hidden="false" customHeight="false" outlineLevel="0" collapsed="false">
      <c r="A247" s="24"/>
      <c r="B247" s="27"/>
      <c r="C247" s="28"/>
      <c r="D247" s="24"/>
      <c r="E247" s="24"/>
      <c r="F247" s="24"/>
      <c r="G247" s="28"/>
      <c r="H247" s="28"/>
      <c r="I247" s="24"/>
      <c r="J247" s="24"/>
      <c r="K247" s="29" t="str">
        <f aca="false">IF($A247="","",IF(OR($C247="Decision",$C247="Conflict"),IF(COUNTIFS($I$2:$I$1001,$A247,$C$2:$C$1001,"Resolved")=0,"Open","Closed"),IF(AND($H247="Unconfirmed",OR($C247="New",$C247="Know")),IF(COUNTIFS($I$2:$I$1001,$A247,$C$2:$C$1001,"Confirmed")=0,"Unconfirmed","Confirmed"),"Logged")))</f>
        <v/>
      </c>
      <c r="L247" s="29" t="str">
        <f aca="false">IF($A247="","",AsOf-$B247)</f>
        <v/>
      </c>
      <c r="M247" s="29" t="str">
        <f aca="false">IF($K247="Open",IF($C247="Conflict","Critical",IF($L247&gt;=DecisionCritical,"Critical",IF($L247&gt;=DecisionWarn,"Warning","On track"))),IF($K247="Unconfirmed",IF($L247&gt;=UnconfirmedWarn,"Warning","On track"),""))</f>
        <v/>
      </c>
      <c r="N247" s="29" t="str">
        <f aca="false">IF($M247="","",IF($M247="Critical",3000,IF($M247="Warning",2000,1000))+$L247+ROW()/100000)</f>
        <v/>
      </c>
      <c r="O247" s="29" t="str">
        <f aca="false">IF($K247="Open",IF($C247="Conflict","decide "&amp;$A247&amp;": &lt;which version stands&gt;","decide "&amp;$A247&amp;": &lt;outcome&gt;"),IF($K247="Unconfirmed","confirm "&amp;$A247,""))</f>
        <v/>
      </c>
    </row>
    <row r="248" customFormat="false" ht="15" hidden="false" customHeight="false" outlineLevel="0" collapsed="false">
      <c r="A248" s="24"/>
      <c r="B248" s="27"/>
      <c r="C248" s="28"/>
      <c r="D248" s="24"/>
      <c r="E248" s="24"/>
      <c r="F248" s="24"/>
      <c r="G248" s="28"/>
      <c r="H248" s="28"/>
      <c r="I248" s="24"/>
      <c r="J248" s="24"/>
      <c r="K248" s="29" t="str">
        <f aca="false">IF($A248="","",IF(OR($C248="Decision",$C248="Conflict"),IF(COUNTIFS($I$2:$I$1001,$A248,$C$2:$C$1001,"Resolved")=0,"Open","Closed"),IF(AND($H248="Unconfirmed",OR($C248="New",$C248="Know")),IF(COUNTIFS($I$2:$I$1001,$A248,$C$2:$C$1001,"Confirmed")=0,"Unconfirmed","Confirmed"),"Logged")))</f>
        <v/>
      </c>
      <c r="L248" s="29" t="str">
        <f aca="false">IF($A248="","",AsOf-$B248)</f>
        <v/>
      </c>
      <c r="M248" s="29" t="str">
        <f aca="false">IF($K248="Open",IF($C248="Conflict","Critical",IF($L248&gt;=DecisionCritical,"Critical",IF($L248&gt;=DecisionWarn,"Warning","On track"))),IF($K248="Unconfirmed",IF($L248&gt;=UnconfirmedWarn,"Warning","On track"),""))</f>
        <v/>
      </c>
      <c r="N248" s="29" t="str">
        <f aca="false">IF($M248="","",IF($M248="Critical",3000,IF($M248="Warning",2000,1000))+$L248+ROW()/100000)</f>
        <v/>
      </c>
      <c r="O248" s="29" t="str">
        <f aca="false">IF($K248="Open",IF($C248="Conflict","decide "&amp;$A248&amp;": &lt;which version stands&gt;","decide "&amp;$A248&amp;": &lt;outcome&gt;"),IF($K248="Unconfirmed","confirm "&amp;$A248,""))</f>
        <v/>
      </c>
    </row>
    <row r="249" customFormat="false" ht="15" hidden="false" customHeight="false" outlineLevel="0" collapsed="false">
      <c r="A249" s="24"/>
      <c r="B249" s="27"/>
      <c r="C249" s="28"/>
      <c r="D249" s="24"/>
      <c r="E249" s="24"/>
      <c r="F249" s="24"/>
      <c r="G249" s="28"/>
      <c r="H249" s="28"/>
      <c r="I249" s="24"/>
      <c r="J249" s="24"/>
      <c r="K249" s="29" t="str">
        <f aca="false">IF($A249="","",IF(OR($C249="Decision",$C249="Conflict"),IF(COUNTIFS($I$2:$I$1001,$A249,$C$2:$C$1001,"Resolved")=0,"Open","Closed"),IF(AND($H249="Unconfirmed",OR($C249="New",$C249="Know")),IF(COUNTIFS($I$2:$I$1001,$A249,$C$2:$C$1001,"Confirmed")=0,"Unconfirmed","Confirmed"),"Logged")))</f>
        <v/>
      </c>
      <c r="L249" s="29" t="str">
        <f aca="false">IF($A249="","",AsOf-$B249)</f>
        <v/>
      </c>
      <c r="M249" s="29" t="str">
        <f aca="false">IF($K249="Open",IF($C249="Conflict","Critical",IF($L249&gt;=DecisionCritical,"Critical",IF($L249&gt;=DecisionWarn,"Warning","On track"))),IF($K249="Unconfirmed",IF($L249&gt;=UnconfirmedWarn,"Warning","On track"),""))</f>
        <v/>
      </c>
      <c r="N249" s="29" t="str">
        <f aca="false">IF($M249="","",IF($M249="Critical",3000,IF($M249="Warning",2000,1000))+$L249+ROW()/100000)</f>
        <v/>
      </c>
      <c r="O249" s="29" t="str">
        <f aca="false">IF($K249="Open",IF($C249="Conflict","decide "&amp;$A249&amp;": &lt;which version stands&gt;","decide "&amp;$A249&amp;": &lt;outcome&gt;"),IF($K249="Unconfirmed","confirm "&amp;$A249,""))</f>
        <v/>
      </c>
    </row>
    <row r="250" customFormat="false" ht="15" hidden="false" customHeight="false" outlineLevel="0" collapsed="false">
      <c r="A250" s="24"/>
      <c r="B250" s="27"/>
      <c r="C250" s="28"/>
      <c r="D250" s="24"/>
      <c r="E250" s="24"/>
      <c r="F250" s="24"/>
      <c r="G250" s="28"/>
      <c r="H250" s="28"/>
      <c r="I250" s="24"/>
      <c r="J250" s="24"/>
      <c r="K250" s="29" t="str">
        <f aca="false">IF($A250="","",IF(OR($C250="Decision",$C250="Conflict"),IF(COUNTIFS($I$2:$I$1001,$A250,$C$2:$C$1001,"Resolved")=0,"Open","Closed"),IF(AND($H250="Unconfirmed",OR($C250="New",$C250="Know")),IF(COUNTIFS($I$2:$I$1001,$A250,$C$2:$C$1001,"Confirmed")=0,"Unconfirmed","Confirmed"),"Logged")))</f>
        <v/>
      </c>
      <c r="L250" s="29" t="str">
        <f aca="false">IF($A250="","",AsOf-$B250)</f>
        <v/>
      </c>
      <c r="M250" s="29" t="str">
        <f aca="false">IF($K250="Open",IF($C250="Conflict","Critical",IF($L250&gt;=DecisionCritical,"Critical",IF($L250&gt;=DecisionWarn,"Warning","On track"))),IF($K250="Unconfirmed",IF($L250&gt;=UnconfirmedWarn,"Warning","On track"),""))</f>
        <v/>
      </c>
      <c r="N250" s="29" t="str">
        <f aca="false">IF($M250="","",IF($M250="Critical",3000,IF($M250="Warning",2000,1000))+$L250+ROW()/100000)</f>
        <v/>
      </c>
      <c r="O250" s="29" t="str">
        <f aca="false">IF($K250="Open",IF($C250="Conflict","decide "&amp;$A250&amp;": &lt;which version stands&gt;","decide "&amp;$A250&amp;": &lt;outcome&gt;"),IF($K250="Unconfirmed","confirm "&amp;$A250,""))</f>
        <v/>
      </c>
    </row>
    <row r="251" customFormat="false" ht="15" hidden="false" customHeight="false" outlineLevel="0" collapsed="false">
      <c r="A251" s="24"/>
      <c r="B251" s="27"/>
      <c r="C251" s="28"/>
      <c r="D251" s="24"/>
      <c r="E251" s="24"/>
      <c r="F251" s="24"/>
      <c r="G251" s="28"/>
      <c r="H251" s="28"/>
      <c r="I251" s="24"/>
      <c r="J251" s="24"/>
      <c r="K251" s="29" t="str">
        <f aca="false">IF($A251="","",IF(OR($C251="Decision",$C251="Conflict"),IF(COUNTIFS($I$2:$I$1001,$A251,$C$2:$C$1001,"Resolved")=0,"Open","Closed"),IF(AND($H251="Unconfirmed",OR($C251="New",$C251="Know")),IF(COUNTIFS($I$2:$I$1001,$A251,$C$2:$C$1001,"Confirmed")=0,"Unconfirmed","Confirmed"),"Logged")))</f>
        <v/>
      </c>
      <c r="L251" s="29" t="str">
        <f aca="false">IF($A251="","",AsOf-$B251)</f>
        <v/>
      </c>
      <c r="M251" s="29" t="str">
        <f aca="false">IF($K251="Open",IF($C251="Conflict","Critical",IF($L251&gt;=DecisionCritical,"Critical",IF($L251&gt;=DecisionWarn,"Warning","On track"))),IF($K251="Unconfirmed",IF($L251&gt;=UnconfirmedWarn,"Warning","On track"),""))</f>
        <v/>
      </c>
      <c r="N251" s="29" t="str">
        <f aca="false">IF($M251="","",IF($M251="Critical",3000,IF($M251="Warning",2000,1000))+$L251+ROW()/100000)</f>
        <v/>
      </c>
      <c r="O251" s="29" t="str">
        <f aca="false">IF($K251="Open",IF($C251="Conflict","decide "&amp;$A251&amp;": &lt;which version stands&gt;","decide "&amp;$A251&amp;": &lt;outcome&gt;"),IF($K251="Unconfirmed","confirm "&amp;$A251,""))</f>
        <v/>
      </c>
    </row>
    <row r="252" customFormat="false" ht="15" hidden="false" customHeight="false" outlineLevel="0" collapsed="false">
      <c r="A252" s="24"/>
      <c r="B252" s="27"/>
      <c r="C252" s="28"/>
      <c r="D252" s="24"/>
      <c r="E252" s="24"/>
      <c r="F252" s="24"/>
      <c r="G252" s="28"/>
      <c r="H252" s="28"/>
      <c r="I252" s="24"/>
      <c r="J252" s="24"/>
      <c r="K252" s="29" t="str">
        <f aca="false">IF($A252="","",IF(OR($C252="Decision",$C252="Conflict"),IF(COUNTIFS($I$2:$I$1001,$A252,$C$2:$C$1001,"Resolved")=0,"Open","Closed"),IF(AND($H252="Unconfirmed",OR($C252="New",$C252="Know")),IF(COUNTIFS($I$2:$I$1001,$A252,$C$2:$C$1001,"Confirmed")=0,"Unconfirmed","Confirmed"),"Logged")))</f>
        <v/>
      </c>
      <c r="L252" s="29" t="str">
        <f aca="false">IF($A252="","",AsOf-$B252)</f>
        <v/>
      </c>
      <c r="M252" s="29" t="str">
        <f aca="false">IF($K252="Open",IF($C252="Conflict","Critical",IF($L252&gt;=DecisionCritical,"Critical",IF($L252&gt;=DecisionWarn,"Warning","On track"))),IF($K252="Unconfirmed",IF($L252&gt;=UnconfirmedWarn,"Warning","On track"),""))</f>
        <v/>
      </c>
      <c r="N252" s="29" t="str">
        <f aca="false">IF($M252="","",IF($M252="Critical",3000,IF($M252="Warning",2000,1000))+$L252+ROW()/100000)</f>
        <v/>
      </c>
      <c r="O252" s="29" t="str">
        <f aca="false">IF($K252="Open",IF($C252="Conflict","decide "&amp;$A252&amp;": &lt;which version stands&gt;","decide "&amp;$A252&amp;": &lt;outcome&gt;"),IF($K252="Unconfirmed","confirm "&amp;$A252,""))</f>
        <v/>
      </c>
    </row>
    <row r="253" customFormat="false" ht="15" hidden="false" customHeight="false" outlineLevel="0" collapsed="false">
      <c r="A253" s="24"/>
      <c r="B253" s="27"/>
      <c r="C253" s="28"/>
      <c r="D253" s="24"/>
      <c r="E253" s="24"/>
      <c r="F253" s="24"/>
      <c r="G253" s="28"/>
      <c r="H253" s="28"/>
      <c r="I253" s="24"/>
      <c r="J253" s="24"/>
      <c r="K253" s="29" t="str">
        <f aca="false">IF($A253="","",IF(OR($C253="Decision",$C253="Conflict"),IF(COUNTIFS($I$2:$I$1001,$A253,$C$2:$C$1001,"Resolved")=0,"Open","Closed"),IF(AND($H253="Unconfirmed",OR($C253="New",$C253="Know")),IF(COUNTIFS($I$2:$I$1001,$A253,$C$2:$C$1001,"Confirmed")=0,"Unconfirmed","Confirmed"),"Logged")))</f>
        <v/>
      </c>
      <c r="L253" s="29" t="str">
        <f aca="false">IF($A253="","",AsOf-$B253)</f>
        <v/>
      </c>
      <c r="M253" s="29" t="str">
        <f aca="false">IF($K253="Open",IF($C253="Conflict","Critical",IF($L253&gt;=DecisionCritical,"Critical",IF($L253&gt;=DecisionWarn,"Warning","On track"))),IF($K253="Unconfirmed",IF($L253&gt;=UnconfirmedWarn,"Warning","On track"),""))</f>
        <v/>
      </c>
      <c r="N253" s="29" t="str">
        <f aca="false">IF($M253="","",IF($M253="Critical",3000,IF($M253="Warning",2000,1000))+$L253+ROW()/100000)</f>
        <v/>
      </c>
      <c r="O253" s="29" t="str">
        <f aca="false">IF($K253="Open",IF($C253="Conflict","decide "&amp;$A253&amp;": &lt;which version stands&gt;","decide "&amp;$A253&amp;": &lt;outcome&gt;"),IF($K253="Unconfirmed","confirm "&amp;$A253,""))</f>
        <v/>
      </c>
    </row>
    <row r="254" customFormat="false" ht="15" hidden="false" customHeight="false" outlineLevel="0" collapsed="false">
      <c r="A254" s="24"/>
      <c r="B254" s="27"/>
      <c r="C254" s="28"/>
      <c r="D254" s="24"/>
      <c r="E254" s="24"/>
      <c r="F254" s="24"/>
      <c r="G254" s="28"/>
      <c r="H254" s="28"/>
      <c r="I254" s="24"/>
      <c r="J254" s="24"/>
      <c r="K254" s="29" t="str">
        <f aca="false">IF($A254="","",IF(OR($C254="Decision",$C254="Conflict"),IF(COUNTIFS($I$2:$I$1001,$A254,$C$2:$C$1001,"Resolved")=0,"Open","Closed"),IF(AND($H254="Unconfirmed",OR($C254="New",$C254="Know")),IF(COUNTIFS($I$2:$I$1001,$A254,$C$2:$C$1001,"Confirmed")=0,"Unconfirmed","Confirmed"),"Logged")))</f>
        <v/>
      </c>
      <c r="L254" s="29" t="str">
        <f aca="false">IF($A254="","",AsOf-$B254)</f>
        <v/>
      </c>
      <c r="M254" s="29" t="str">
        <f aca="false">IF($K254="Open",IF($C254="Conflict","Critical",IF($L254&gt;=DecisionCritical,"Critical",IF($L254&gt;=DecisionWarn,"Warning","On track"))),IF($K254="Unconfirmed",IF($L254&gt;=UnconfirmedWarn,"Warning","On track"),""))</f>
        <v/>
      </c>
      <c r="N254" s="29" t="str">
        <f aca="false">IF($M254="","",IF($M254="Critical",3000,IF($M254="Warning",2000,1000))+$L254+ROW()/100000)</f>
        <v/>
      </c>
      <c r="O254" s="29" t="str">
        <f aca="false">IF($K254="Open",IF($C254="Conflict","decide "&amp;$A254&amp;": &lt;which version stands&gt;","decide "&amp;$A254&amp;": &lt;outcome&gt;"),IF($K254="Unconfirmed","confirm "&amp;$A254,""))</f>
        <v/>
      </c>
    </row>
    <row r="255" customFormat="false" ht="15" hidden="false" customHeight="false" outlineLevel="0" collapsed="false">
      <c r="A255" s="24"/>
      <c r="B255" s="27"/>
      <c r="C255" s="28"/>
      <c r="D255" s="24"/>
      <c r="E255" s="24"/>
      <c r="F255" s="24"/>
      <c r="G255" s="28"/>
      <c r="H255" s="28"/>
      <c r="I255" s="24"/>
      <c r="J255" s="24"/>
      <c r="K255" s="29" t="str">
        <f aca="false">IF($A255="","",IF(OR($C255="Decision",$C255="Conflict"),IF(COUNTIFS($I$2:$I$1001,$A255,$C$2:$C$1001,"Resolved")=0,"Open","Closed"),IF(AND($H255="Unconfirmed",OR($C255="New",$C255="Know")),IF(COUNTIFS($I$2:$I$1001,$A255,$C$2:$C$1001,"Confirmed")=0,"Unconfirmed","Confirmed"),"Logged")))</f>
        <v/>
      </c>
      <c r="L255" s="29" t="str">
        <f aca="false">IF($A255="","",AsOf-$B255)</f>
        <v/>
      </c>
      <c r="M255" s="29" t="str">
        <f aca="false">IF($K255="Open",IF($C255="Conflict","Critical",IF($L255&gt;=DecisionCritical,"Critical",IF($L255&gt;=DecisionWarn,"Warning","On track"))),IF($K255="Unconfirmed",IF($L255&gt;=UnconfirmedWarn,"Warning","On track"),""))</f>
        <v/>
      </c>
      <c r="N255" s="29" t="str">
        <f aca="false">IF($M255="","",IF($M255="Critical",3000,IF($M255="Warning",2000,1000))+$L255+ROW()/100000)</f>
        <v/>
      </c>
      <c r="O255" s="29" t="str">
        <f aca="false">IF($K255="Open",IF($C255="Conflict","decide "&amp;$A255&amp;": &lt;which version stands&gt;","decide "&amp;$A255&amp;": &lt;outcome&gt;"),IF($K255="Unconfirmed","confirm "&amp;$A255,""))</f>
        <v/>
      </c>
    </row>
    <row r="256" customFormat="false" ht="15" hidden="false" customHeight="false" outlineLevel="0" collapsed="false">
      <c r="A256" s="24"/>
      <c r="B256" s="27"/>
      <c r="C256" s="28"/>
      <c r="D256" s="24"/>
      <c r="E256" s="24"/>
      <c r="F256" s="24"/>
      <c r="G256" s="28"/>
      <c r="H256" s="28"/>
      <c r="I256" s="24"/>
      <c r="J256" s="24"/>
      <c r="K256" s="29" t="str">
        <f aca="false">IF($A256="","",IF(OR($C256="Decision",$C256="Conflict"),IF(COUNTIFS($I$2:$I$1001,$A256,$C$2:$C$1001,"Resolved")=0,"Open","Closed"),IF(AND($H256="Unconfirmed",OR($C256="New",$C256="Know")),IF(COUNTIFS($I$2:$I$1001,$A256,$C$2:$C$1001,"Confirmed")=0,"Unconfirmed","Confirmed"),"Logged")))</f>
        <v/>
      </c>
      <c r="L256" s="29" t="str">
        <f aca="false">IF($A256="","",AsOf-$B256)</f>
        <v/>
      </c>
      <c r="M256" s="29" t="str">
        <f aca="false">IF($K256="Open",IF($C256="Conflict","Critical",IF($L256&gt;=DecisionCritical,"Critical",IF($L256&gt;=DecisionWarn,"Warning","On track"))),IF($K256="Unconfirmed",IF($L256&gt;=UnconfirmedWarn,"Warning","On track"),""))</f>
        <v/>
      </c>
      <c r="N256" s="29" t="str">
        <f aca="false">IF($M256="","",IF($M256="Critical",3000,IF($M256="Warning",2000,1000))+$L256+ROW()/100000)</f>
        <v/>
      </c>
      <c r="O256" s="29" t="str">
        <f aca="false">IF($K256="Open",IF($C256="Conflict","decide "&amp;$A256&amp;": &lt;which version stands&gt;","decide "&amp;$A256&amp;": &lt;outcome&gt;"),IF($K256="Unconfirmed","confirm "&amp;$A256,""))</f>
        <v/>
      </c>
    </row>
    <row r="257" customFormat="false" ht="15" hidden="false" customHeight="false" outlineLevel="0" collapsed="false">
      <c r="A257" s="24"/>
      <c r="B257" s="27"/>
      <c r="C257" s="28"/>
      <c r="D257" s="24"/>
      <c r="E257" s="24"/>
      <c r="F257" s="24"/>
      <c r="G257" s="28"/>
      <c r="H257" s="28"/>
      <c r="I257" s="24"/>
      <c r="J257" s="24"/>
      <c r="K257" s="29" t="str">
        <f aca="false">IF($A257="","",IF(OR($C257="Decision",$C257="Conflict"),IF(COUNTIFS($I$2:$I$1001,$A257,$C$2:$C$1001,"Resolved")=0,"Open","Closed"),IF(AND($H257="Unconfirmed",OR($C257="New",$C257="Know")),IF(COUNTIFS($I$2:$I$1001,$A257,$C$2:$C$1001,"Confirmed")=0,"Unconfirmed","Confirmed"),"Logged")))</f>
        <v/>
      </c>
      <c r="L257" s="29" t="str">
        <f aca="false">IF($A257="","",AsOf-$B257)</f>
        <v/>
      </c>
      <c r="M257" s="29" t="str">
        <f aca="false">IF($K257="Open",IF($C257="Conflict","Critical",IF($L257&gt;=DecisionCritical,"Critical",IF($L257&gt;=DecisionWarn,"Warning","On track"))),IF($K257="Unconfirmed",IF($L257&gt;=UnconfirmedWarn,"Warning","On track"),""))</f>
        <v/>
      </c>
      <c r="N257" s="29" t="str">
        <f aca="false">IF($M257="","",IF($M257="Critical",3000,IF($M257="Warning",2000,1000))+$L257+ROW()/100000)</f>
        <v/>
      </c>
      <c r="O257" s="29" t="str">
        <f aca="false">IF($K257="Open",IF($C257="Conflict","decide "&amp;$A257&amp;": &lt;which version stands&gt;","decide "&amp;$A257&amp;": &lt;outcome&gt;"),IF($K257="Unconfirmed","confirm "&amp;$A257,""))</f>
        <v/>
      </c>
    </row>
    <row r="258" customFormat="false" ht="15" hidden="false" customHeight="false" outlineLevel="0" collapsed="false">
      <c r="A258" s="24"/>
      <c r="B258" s="27"/>
      <c r="C258" s="28"/>
      <c r="D258" s="24"/>
      <c r="E258" s="24"/>
      <c r="F258" s="24"/>
      <c r="G258" s="28"/>
      <c r="H258" s="28"/>
      <c r="I258" s="24"/>
      <c r="J258" s="24"/>
      <c r="K258" s="29" t="str">
        <f aca="false">IF($A258="","",IF(OR($C258="Decision",$C258="Conflict"),IF(COUNTIFS($I$2:$I$1001,$A258,$C$2:$C$1001,"Resolved")=0,"Open","Closed"),IF(AND($H258="Unconfirmed",OR($C258="New",$C258="Know")),IF(COUNTIFS($I$2:$I$1001,$A258,$C$2:$C$1001,"Confirmed")=0,"Unconfirmed","Confirmed"),"Logged")))</f>
        <v/>
      </c>
      <c r="L258" s="29" t="str">
        <f aca="false">IF($A258="","",AsOf-$B258)</f>
        <v/>
      </c>
      <c r="M258" s="29" t="str">
        <f aca="false">IF($K258="Open",IF($C258="Conflict","Critical",IF($L258&gt;=DecisionCritical,"Critical",IF($L258&gt;=DecisionWarn,"Warning","On track"))),IF($K258="Unconfirmed",IF($L258&gt;=UnconfirmedWarn,"Warning","On track"),""))</f>
        <v/>
      </c>
      <c r="N258" s="29" t="str">
        <f aca="false">IF($M258="","",IF($M258="Critical",3000,IF($M258="Warning",2000,1000))+$L258+ROW()/100000)</f>
        <v/>
      </c>
      <c r="O258" s="29" t="str">
        <f aca="false">IF($K258="Open",IF($C258="Conflict","decide "&amp;$A258&amp;": &lt;which version stands&gt;","decide "&amp;$A258&amp;": &lt;outcome&gt;"),IF($K258="Unconfirmed","confirm "&amp;$A258,""))</f>
        <v/>
      </c>
    </row>
    <row r="259" customFormat="false" ht="15" hidden="false" customHeight="false" outlineLevel="0" collapsed="false">
      <c r="A259" s="24"/>
      <c r="B259" s="27"/>
      <c r="C259" s="28"/>
      <c r="D259" s="24"/>
      <c r="E259" s="24"/>
      <c r="F259" s="24"/>
      <c r="G259" s="28"/>
      <c r="H259" s="28"/>
      <c r="I259" s="24"/>
      <c r="J259" s="24"/>
      <c r="K259" s="29" t="str">
        <f aca="false">IF($A259="","",IF(OR($C259="Decision",$C259="Conflict"),IF(COUNTIFS($I$2:$I$1001,$A259,$C$2:$C$1001,"Resolved")=0,"Open","Closed"),IF(AND($H259="Unconfirmed",OR($C259="New",$C259="Know")),IF(COUNTIFS($I$2:$I$1001,$A259,$C$2:$C$1001,"Confirmed")=0,"Unconfirmed","Confirmed"),"Logged")))</f>
        <v/>
      </c>
      <c r="L259" s="29" t="str">
        <f aca="false">IF($A259="","",AsOf-$B259)</f>
        <v/>
      </c>
      <c r="M259" s="29" t="str">
        <f aca="false">IF($K259="Open",IF($C259="Conflict","Critical",IF($L259&gt;=DecisionCritical,"Critical",IF($L259&gt;=DecisionWarn,"Warning","On track"))),IF($K259="Unconfirmed",IF($L259&gt;=UnconfirmedWarn,"Warning","On track"),""))</f>
        <v/>
      </c>
      <c r="N259" s="29" t="str">
        <f aca="false">IF($M259="","",IF($M259="Critical",3000,IF($M259="Warning",2000,1000))+$L259+ROW()/100000)</f>
        <v/>
      </c>
      <c r="O259" s="29" t="str">
        <f aca="false">IF($K259="Open",IF($C259="Conflict","decide "&amp;$A259&amp;": &lt;which version stands&gt;","decide "&amp;$A259&amp;": &lt;outcome&gt;"),IF($K259="Unconfirmed","confirm "&amp;$A259,""))</f>
        <v/>
      </c>
    </row>
    <row r="260" customFormat="false" ht="15" hidden="false" customHeight="false" outlineLevel="0" collapsed="false">
      <c r="A260" s="24"/>
      <c r="B260" s="27"/>
      <c r="C260" s="28"/>
      <c r="D260" s="24"/>
      <c r="E260" s="24"/>
      <c r="F260" s="24"/>
      <c r="G260" s="28"/>
      <c r="H260" s="28"/>
      <c r="I260" s="24"/>
      <c r="J260" s="24"/>
      <c r="K260" s="29" t="str">
        <f aca="false">IF($A260="","",IF(OR($C260="Decision",$C260="Conflict"),IF(COUNTIFS($I$2:$I$1001,$A260,$C$2:$C$1001,"Resolved")=0,"Open","Closed"),IF(AND($H260="Unconfirmed",OR($C260="New",$C260="Know")),IF(COUNTIFS($I$2:$I$1001,$A260,$C$2:$C$1001,"Confirmed")=0,"Unconfirmed","Confirmed"),"Logged")))</f>
        <v/>
      </c>
      <c r="L260" s="29" t="str">
        <f aca="false">IF($A260="","",AsOf-$B260)</f>
        <v/>
      </c>
      <c r="M260" s="29" t="str">
        <f aca="false">IF($K260="Open",IF($C260="Conflict","Critical",IF($L260&gt;=DecisionCritical,"Critical",IF($L260&gt;=DecisionWarn,"Warning","On track"))),IF($K260="Unconfirmed",IF($L260&gt;=UnconfirmedWarn,"Warning","On track"),""))</f>
        <v/>
      </c>
      <c r="N260" s="29" t="str">
        <f aca="false">IF($M260="","",IF($M260="Critical",3000,IF($M260="Warning",2000,1000))+$L260+ROW()/100000)</f>
        <v/>
      </c>
      <c r="O260" s="29" t="str">
        <f aca="false">IF($K260="Open",IF($C260="Conflict","decide "&amp;$A260&amp;": &lt;which version stands&gt;","decide "&amp;$A260&amp;": &lt;outcome&gt;"),IF($K260="Unconfirmed","confirm "&amp;$A260,""))</f>
        <v/>
      </c>
    </row>
    <row r="261" customFormat="false" ht="15" hidden="false" customHeight="false" outlineLevel="0" collapsed="false">
      <c r="A261" s="24"/>
      <c r="B261" s="27"/>
      <c r="C261" s="28"/>
      <c r="D261" s="24"/>
      <c r="E261" s="24"/>
      <c r="F261" s="24"/>
      <c r="G261" s="28"/>
      <c r="H261" s="28"/>
      <c r="I261" s="24"/>
      <c r="J261" s="24"/>
      <c r="K261" s="29" t="str">
        <f aca="false">IF($A261="","",IF(OR($C261="Decision",$C261="Conflict"),IF(COUNTIFS($I$2:$I$1001,$A261,$C$2:$C$1001,"Resolved")=0,"Open","Closed"),IF(AND($H261="Unconfirmed",OR($C261="New",$C261="Know")),IF(COUNTIFS($I$2:$I$1001,$A261,$C$2:$C$1001,"Confirmed")=0,"Unconfirmed","Confirmed"),"Logged")))</f>
        <v/>
      </c>
      <c r="L261" s="29" t="str">
        <f aca="false">IF($A261="","",AsOf-$B261)</f>
        <v/>
      </c>
      <c r="M261" s="29" t="str">
        <f aca="false">IF($K261="Open",IF($C261="Conflict","Critical",IF($L261&gt;=DecisionCritical,"Critical",IF($L261&gt;=DecisionWarn,"Warning","On track"))),IF($K261="Unconfirmed",IF($L261&gt;=UnconfirmedWarn,"Warning","On track"),""))</f>
        <v/>
      </c>
      <c r="N261" s="29" t="str">
        <f aca="false">IF($M261="","",IF($M261="Critical",3000,IF($M261="Warning",2000,1000))+$L261+ROW()/100000)</f>
        <v/>
      </c>
      <c r="O261" s="29" t="str">
        <f aca="false">IF($K261="Open",IF($C261="Conflict","decide "&amp;$A261&amp;": &lt;which version stands&gt;","decide "&amp;$A261&amp;": &lt;outcome&gt;"),IF($K261="Unconfirmed","confirm "&amp;$A261,""))</f>
        <v/>
      </c>
    </row>
    <row r="262" customFormat="false" ht="15" hidden="false" customHeight="false" outlineLevel="0" collapsed="false">
      <c r="A262" s="24"/>
      <c r="B262" s="27"/>
      <c r="C262" s="28"/>
      <c r="D262" s="24"/>
      <c r="E262" s="24"/>
      <c r="F262" s="24"/>
      <c r="G262" s="28"/>
      <c r="H262" s="28"/>
      <c r="I262" s="24"/>
      <c r="J262" s="24"/>
      <c r="K262" s="29" t="str">
        <f aca="false">IF($A262="","",IF(OR($C262="Decision",$C262="Conflict"),IF(COUNTIFS($I$2:$I$1001,$A262,$C$2:$C$1001,"Resolved")=0,"Open","Closed"),IF(AND($H262="Unconfirmed",OR($C262="New",$C262="Know")),IF(COUNTIFS($I$2:$I$1001,$A262,$C$2:$C$1001,"Confirmed")=0,"Unconfirmed","Confirmed"),"Logged")))</f>
        <v/>
      </c>
      <c r="L262" s="29" t="str">
        <f aca="false">IF($A262="","",AsOf-$B262)</f>
        <v/>
      </c>
      <c r="M262" s="29" t="str">
        <f aca="false">IF($K262="Open",IF($C262="Conflict","Critical",IF($L262&gt;=DecisionCritical,"Critical",IF($L262&gt;=DecisionWarn,"Warning","On track"))),IF($K262="Unconfirmed",IF($L262&gt;=UnconfirmedWarn,"Warning","On track"),""))</f>
        <v/>
      </c>
      <c r="N262" s="29" t="str">
        <f aca="false">IF($M262="","",IF($M262="Critical",3000,IF($M262="Warning",2000,1000))+$L262+ROW()/100000)</f>
        <v/>
      </c>
      <c r="O262" s="29" t="str">
        <f aca="false">IF($K262="Open",IF($C262="Conflict","decide "&amp;$A262&amp;": &lt;which version stands&gt;","decide "&amp;$A262&amp;": &lt;outcome&gt;"),IF($K262="Unconfirmed","confirm "&amp;$A262,""))</f>
        <v/>
      </c>
    </row>
    <row r="263" customFormat="false" ht="15" hidden="false" customHeight="false" outlineLevel="0" collapsed="false">
      <c r="A263" s="24"/>
      <c r="B263" s="27"/>
      <c r="C263" s="28"/>
      <c r="D263" s="24"/>
      <c r="E263" s="24"/>
      <c r="F263" s="24"/>
      <c r="G263" s="28"/>
      <c r="H263" s="28"/>
      <c r="I263" s="24"/>
      <c r="J263" s="24"/>
      <c r="K263" s="29" t="str">
        <f aca="false">IF($A263="","",IF(OR($C263="Decision",$C263="Conflict"),IF(COUNTIFS($I$2:$I$1001,$A263,$C$2:$C$1001,"Resolved")=0,"Open","Closed"),IF(AND($H263="Unconfirmed",OR($C263="New",$C263="Know")),IF(COUNTIFS($I$2:$I$1001,$A263,$C$2:$C$1001,"Confirmed")=0,"Unconfirmed","Confirmed"),"Logged")))</f>
        <v/>
      </c>
      <c r="L263" s="29" t="str">
        <f aca="false">IF($A263="","",AsOf-$B263)</f>
        <v/>
      </c>
      <c r="M263" s="29" t="str">
        <f aca="false">IF($K263="Open",IF($C263="Conflict","Critical",IF($L263&gt;=DecisionCritical,"Critical",IF($L263&gt;=DecisionWarn,"Warning","On track"))),IF($K263="Unconfirmed",IF($L263&gt;=UnconfirmedWarn,"Warning","On track"),""))</f>
        <v/>
      </c>
      <c r="N263" s="29" t="str">
        <f aca="false">IF($M263="","",IF($M263="Critical",3000,IF($M263="Warning",2000,1000))+$L263+ROW()/100000)</f>
        <v/>
      </c>
      <c r="O263" s="29" t="str">
        <f aca="false">IF($K263="Open",IF($C263="Conflict","decide "&amp;$A263&amp;": &lt;which version stands&gt;","decide "&amp;$A263&amp;": &lt;outcome&gt;"),IF($K263="Unconfirmed","confirm "&amp;$A263,""))</f>
        <v/>
      </c>
    </row>
    <row r="264" customFormat="false" ht="15" hidden="false" customHeight="false" outlineLevel="0" collapsed="false">
      <c r="A264" s="24"/>
      <c r="B264" s="27"/>
      <c r="C264" s="28"/>
      <c r="D264" s="24"/>
      <c r="E264" s="24"/>
      <c r="F264" s="24"/>
      <c r="G264" s="28"/>
      <c r="H264" s="28"/>
      <c r="I264" s="24"/>
      <c r="J264" s="24"/>
      <c r="K264" s="29" t="str">
        <f aca="false">IF($A264="","",IF(OR($C264="Decision",$C264="Conflict"),IF(COUNTIFS($I$2:$I$1001,$A264,$C$2:$C$1001,"Resolved")=0,"Open","Closed"),IF(AND($H264="Unconfirmed",OR($C264="New",$C264="Know")),IF(COUNTIFS($I$2:$I$1001,$A264,$C$2:$C$1001,"Confirmed")=0,"Unconfirmed","Confirmed"),"Logged")))</f>
        <v/>
      </c>
      <c r="L264" s="29" t="str">
        <f aca="false">IF($A264="","",AsOf-$B264)</f>
        <v/>
      </c>
      <c r="M264" s="29" t="str">
        <f aca="false">IF($K264="Open",IF($C264="Conflict","Critical",IF($L264&gt;=DecisionCritical,"Critical",IF($L264&gt;=DecisionWarn,"Warning","On track"))),IF($K264="Unconfirmed",IF($L264&gt;=UnconfirmedWarn,"Warning","On track"),""))</f>
        <v/>
      </c>
      <c r="N264" s="29" t="str">
        <f aca="false">IF($M264="","",IF($M264="Critical",3000,IF($M264="Warning",2000,1000))+$L264+ROW()/100000)</f>
        <v/>
      </c>
      <c r="O264" s="29" t="str">
        <f aca="false">IF($K264="Open",IF($C264="Conflict","decide "&amp;$A264&amp;": &lt;which version stands&gt;","decide "&amp;$A264&amp;": &lt;outcome&gt;"),IF($K264="Unconfirmed","confirm "&amp;$A264,""))</f>
        <v/>
      </c>
    </row>
    <row r="265" customFormat="false" ht="15" hidden="false" customHeight="false" outlineLevel="0" collapsed="false">
      <c r="A265" s="24"/>
      <c r="B265" s="27"/>
      <c r="C265" s="28"/>
      <c r="D265" s="24"/>
      <c r="E265" s="24"/>
      <c r="F265" s="24"/>
      <c r="G265" s="28"/>
      <c r="H265" s="28"/>
      <c r="I265" s="24"/>
      <c r="J265" s="24"/>
      <c r="K265" s="29" t="str">
        <f aca="false">IF($A265="","",IF(OR($C265="Decision",$C265="Conflict"),IF(COUNTIFS($I$2:$I$1001,$A265,$C$2:$C$1001,"Resolved")=0,"Open","Closed"),IF(AND($H265="Unconfirmed",OR($C265="New",$C265="Know")),IF(COUNTIFS($I$2:$I$1001,$A265,$C$2:$C$1001,"Confirmed")=0,"Unconfirmed","Confirmed"),"Logged")))</f>
        <v/>
      </c>
      <c r="L265" s="29" t="str">
        <f aca="false">IF($A265="","",AsOf-$B265)</f>
        <v/>
      </c>
      <c r="M265" s="29" t="str">
        <f aca="false">IF($K265="Open",IF($C265="Conflict","Critical",IF($L265&gt;=DecisionCritical,"Critical",IF($L265&gt;=DecisionWarn,"Warning","On track"))),IF($K265="Unconfirmed",IF($L265&gt;=UnconfirmedWarn,"Warning","On track"),""))</f>
        <v/>
      </c>
      <c r="N265" s="29" t="str">
        <f aca="false">IF($M265="","",IF($M265="Critical",3000,IF($M265="Warning",2000,1000))+$L265+ROW()/100000)</f>
        <v/>
      </c>
      <c r="O265" s="29" t="str">
        <f aca="false">IF($K265="Open",IF($C265="Conflict","decide "&amp;$A265&amp;": &lt;which version stands&gt;","decide "&amp;$A265&amp;": &lt;outcome&gt;"),IF($K265="Unconfirmed","confirm "&amp;$A265,""))</f>
        <v/>
      </c>
    </row>
    <row r="266" customFormat="false" ht="15" hidden="false" customHeight="false" outlineLevel="0" collapsed="false">
      <c r="A266" s="24"/>
      <c r="B266" s="27"/>
      <c r="C266" s="28"/>
      <c r="D266" s="24"/>
      <c r="E266" s="24"/>
      <c r="F266" s="24"/>
      <c r="G266" s="28"/>
      <c r="H266" s="28"/>
      <c r="I266" s="24"/>
      <c r="J266" s="24"/>
      <c r="K266" s="29" t="str">
        <f aca="false">IF($A266="","",IF(OR($C266="Decision",$C266="Conflict"),IF(COUNTIFS($I$2:$I$1001,$A266,$C$2:$C$1001,"Resolved")=0,"Open","Closed"),IF(AND($H266="Unconfirmed",OR($C266="New",$C266="Know")),IF(COUNTIFS($I$2:$I$1001,$A266,$C$2:$C$1001,"Confirmed")=0,"Unconfirmed","Confirmed"),"Logged")))</f>
        <v/>
      </c>
      <c r="L266" s="29" t="str">
        <f aca="false">IF($A266="","",AsOf-$B266)</f>
        <v/>
      </c>
      <c r="M266" s="29" t="str">
        <f aca="false">IF($K266="Open",IF($C266="Conflict","Critical",IF($L266&gt;=DecisionCritical,"Critical",IF($L266&gt;=DecisionWarn,"Warning","On track"))),IF($K266="Unconfirmed",IF($L266&gt;=UnconfirmedWarn,"Warning","On track"),""))</f>
        <v/>
      </c>
      <c r="N266" s="29" t="str">
        <f aca="false">IF($M266="","",IF($M266="Critical",3000,IF($M266="Warning",2000,1000))+$L266+ROW()/100000)</f>
        <v/>
      </c>
      <c r="O266" s="29" t="str">
        <f aca="false">IF($K266="Open",IF($C266="Conflict","decide "&amp;$A266&amp;": &lt;which version stands&gt;","decide "&amp;$A266&amp;": &lt;outcome&gt;"),IF($K266="Unconfirmed","confirm "&amp;$A266,""))</f>
        <v/>
      </c>
    </row>
    <row r="267" customFormat="false" ht="15" hidden="false" customHeight="false" outlineLevel="0" collapsed="false">
      <c r="A267" s="24"/>
      <c r="B267" s="27"/>
      <c r="C267" s="28"/>
      <c r="D267" s="24"/>
      <c r="E267" s="24"/>
      <c r="F267" s="24"/>
      <c r="G267" s="28"/>
      <c r="H267" s="28"/>
      <c r="I267" s="24"/>
      <c r="J267" s="24"/>
      <c r="K267" s="29" t="str">
        <f aca="false">IF($A267="","",IF(OR($C267="Decision",$C267="Conflict"),IF(COUNTIFS($I$2:$I$1001,$A267,$C$2:$C$1001,"Resolved")=0,"Open","Closed"),IF(AND($H267="Unconfirmed",OR($C267="New",$C267="Know")),IF(COUNTIFS($I$2:$I$1001,$A267,$C$2:$C$1001,"Confirmed")=0,"Unconfirmed","Confirmed"),"Logged")))</f>
        <v/>
      </c>
      <c r="L267" s="29" t="str">
        <f aca="false">IF($A267="","",AsOf-$B267)</f>
        <v/>
      </c>
      <c r="M267" s="29" t="str">
        <f aca="false">IF($K267="Open",IF($C267="Conflict","Critical",IF($L267&gt;=DecisionCritical,"Critical",IF($L267&gt;=DecisionWarn,"Warning","On track"))),IF($K267="Unconfirmed",IF($L267&gt;=UnconfirmedWarn,"Warning","On track"),""))</f>
        <v/>
      </c>
      <c r="N267" s="29" t="str">
        <f aca="false">IF($M267="","",IF($M267="Critical",3000,IF($M267="Warning",2000,1000))+$L267+ROW()/100000)</f>
        <v/>
      </c>
      <c r="O267" s="29" t="str">
        <f aca="false">IF($K267="Open",IF($C267="Conflict","decide "&amp;$A267&amp;": &lt;which version stands&gt;","decide "&amp;$A267&amp;": &lt;outcome&gt;"),IF($K267="Unconfirmed","confirm "&amp;$A267,""))</f>
        <v/>
      </c>
    </row>
    <row r="268" customFormat="false" ht="15" hidden="false" customHeight="false" outlineLevel="0" collapsed="false">
      <c r="A268" s="24"/>
      <c r="B268" s="27"/>
      <c r="C268" s="28"/>
      <c r="D268" s="24"/>
      <c r="E268" s="24"/>
      <c r="F268" s="24"/>
      <c r="G268" s="28"/>
      <c r="H268" s="28"/>
      <c r="I268" s="24"/>
      <c r="J268" s="24"/>
      <c r="K268" s="29" t="str">
        <f aca="false">IF($A268="","",IF(OR($C268="Decision",$C268="Conflict"),IF(COUNTIFS($I$2:$I$1001,$A268,$C$2:$C$1001,"Resolved")=0,"Open","Closed"),IF(AND($H268="Unconfirmed",OR($C268="New",$C268="Know")),IF(COUNTIFS($I$2:$I$1001,$A268,$C$2:$C$1001,"Confirmed")=0,"Unconfirmed","Confirmed"),"Logged")))</f>
        <v/>
      </c>
      <c r="L268" s="29" t="str">
        <f aca="false">IF($A268="","",AsOf-$B268)</f>
        <v/>
      </c>
      <c r="M268" s="29" t="str">
        <f aca="false">IF($K268="Open",IF($C268="Conflict","Critical",IF($L268&gt;=DecisionCritical,"Critical",IF($L268&gt;=DecisionWarn,"Warning","On track"))),IF($K268="Unconfirmed",IF($L268&gt;=UnconfirmedWarn,"Warning","On track"),""))</f>
        <v/>
      </c>
      <c r="N268" s="29" t="str">
        <f aca="false">IF($M268="","",IF($M268="Critical",3000,IF($M268="Warning",2000,1000))+$L268+ROW()/100000)</f>
        <v/>
      </c>
      <c r="O268" s="29" t="str">
        <f aca="false">IF($K268="Open",IF($C268="Conflict","decide "&amp;$A268&amp;": &lt;which version stands&gt;","decide "&amp;$A268&amp;": &lt;outcome&gt;"),IF($K268="Unconfirmed","confirm "&amp;$A268,""))</f>
        <v/>
      </c>
    </row>
    <row r="269" customFormat="false" ht="15" hidden="false" customHeight="false" outlineLevel="0" collapsed="false">
      <c r="A269" s="24"/>
      <c r="B269" s="27"/>
      <c r="C269" s="28"/>
      <c r="D269" s="24"/>
      <c r="E269" s="24"/>
      <c r="F269" s="24"/>
      <c r="G269" s="28"/>
      <c r="H269" s="28"/>
      <c r="I269" s="24"/>
      <c r="J269" s="24"/>
      <c r="K269" s="29" t="str">
        <f aca="false">IF($A269="","",IF(OR($C269="Decision",$C269="Conflict"),IF(COUNTIFS($I$2:$I$1001,$A269,$C$2:$C$1001,"Resolved")=0,"Open","Closed"),IF(AND($H269="Unconfirmed",OR($C269="New",$C269="Know")),IF(COUNTIFS($I$2:$I$1001,$A269,$C$2:$C$1001,"Confirmed")=0,"Unconfirmed","Confirmed"),"Logged")))</f>
        <v/>
      </c>
      <c r="L269" s="29" t="str">
        <f aca="false">IF($A269="","",AsOf-$B269)</f>
        <v/>
      </c>
      <c r="M269" s="29" t="str">
        <f aca="false">IF($K269="Open",IF($C269="Conflict","Critical",IF($L269&gt;=DecisionCritical,"Critical",IF($L269&gt;=DecisionWarn,"Warning","On track"))),IF($K269="Unconfirmed",IF($L269&gt;=UnconfirmedWarn,"Warning","On track"),""))</f>
        <v/>
      </c>
      <c r="N269" s="29" t="str">
        <f aca="false">IF($M269="","",IF($M269="Critical",3000,IF($M269="Warning",2000,1000))+$L269+ROW()/100000)</f>
        <v/>
      </c>
      <c r="O269" s="29" t="str">
        <f aca="false">IF($K269="Open",IF($C269="Conflict","decide "&amp;$A269&amp;": &lt;which version stands&gt;","decide "&amp;$A269&amp;": &lt;outcome&gt;"),IF($K269="Unconfirmed","confirm "&amp;$A269,""))</f>
        <v/>
      </c>
    </row>
    <row r="270" customFormat="false" ht="15" hidden="false" customHeight="false" outlineLevel="0" collapsed="false">
      <c r="A270" s="24"/>
      <c r="B270" s="27"/>
      <c r="C270" s="28"/>
      <c r="D270" s="24"/>
      <c r="E270" s="24"/>
      <c r="F270" s="24"/>
      <c r="G270" s="28"/>
      <c r="H270" s="28"/>
      <c r="I270" s="24"/>
      <c r="J270" s="24"/>
      <c r="K270" s="29" t="str">
        <f aca="false">IF($A270="","",IF(OR($C270="Decision",$C270="Conflict"),IF(COUNTIFS($I$2:$I$1001,$A270,$C$2:$C$1001,"Resolved")=0,"Open","Closed"),IF(AND($H270="Unconfirmed",OR($C270="New",$C270="Know")),IF(COUNTIFS($I$2:$I$1001,$A270,$C$2:$C$1001,"Confirmed")=0,"Unconfirmed","Confirmed"),"Logged")))</f>
        <v/>
      </c>
      <c r="L270" s="29" t="str">
        <f aca="false">IF($A270="","",AsOf-$B270)</f>
        <v/>
      </c>
      <c r="M270" s="29" t="str">
        <f aca="false">IF($K270="Open",IF($C270="Conflict","Critical",IF($L270&gt;=DecisionCritical,"Critical",IF($L270&gt;=DecisionWarn,"Warning","On track"))),IF($K270="Unconfirmed",IF($L270&gt;=UnconfirmedWarn,"Warning","On track"),""))</f>
        <v/>
      </c>
      <c r="N270" s="29" t="str">
        <f aca="false">IF($M270="","",IF($M270="Critical",3000,IF($M270="Warning",2000,1000))+$L270+ROW()/100000)</f>
        <v/>
      </c>
      <c r="O270" s="29" t="str">
        <f aca="false">IF($K270="Open",IF($C270="Conflict","decide "&amp;$A270&amp;": &lt;which version stands&gt;","decide "&amp;$A270&amp;": &lt;outcome&gt;"),IF($K270="Unconfirmed","confirm "&amp;$A270,""))</f>
        <v/>
      </c>
    </row>
    <row r="271" customFormat="false" ht="15" hidden="false" customHeight="false" outlineLevel="0" collapsed="false">
      <c r="A271" s="24"/>
      <c r="B271" s="27"/>
      <c r="C271" s="28"/>
      <c r="D271" s="24"/>
      <c r="E271" s="24"/>
      <c r="F271" s="24"/>
      <c r="G271" s="28"/>
      <c r="H271" s="28"/>
      <c r="I271" s="24"/>
      <c r="J271" s="24"/>
      <c r="K271" s="29" t="str">
        <f aca="false">IF($A271="","",IF(OR($C271="Decision",$C271="Conflict"),IF(COUNTIFS($I$2:$I$1001,$A271,$C$2:$C$1001,"Resolved")=0,"Open","Closed"),IF(AND($H271="Unconfirmed",OR($C271="New",$C271="Know")),IF(COUNTIFS($I$2:$I$1001,$A271,$C$2:$C$1001,"Confirmed")=0,"Unconfirmed","Confirmed"),"Logged")))</f>
        <v/>
      </c>
      <c r="L271" s="29" t="str">
        <f aca="false">IF($A271="","",AsOf-$B271)</f>
        <v/>
      </c>
      <c r="M271" s="29" t="str">
        <f aca="false">IF($K271="Open",IF($C271="Conflict","Critical",IF($L271&gt;=DecisionCritical,"Critical",IF($L271&gt;=DecisionWarn,"Warning","On track"))),IF($K271="Unconfirmed",IF($L271&gt;=UnconfirmedWarn,"Warning","On track"),""))</f>
        <v/>
      </c>
      <c r="N271" s="29" t="str">
        <f aca="false">IF($M271="","",IF($M271="Critical",3000,IF($M271="Warning",2000,1000))+$L271+ROW()/100000)</f>
        <v/>
      </c>
      <c r="O271" s="29" t="str">
        <f aca="false">IF($K271="Open",IF($C271="Conflict","decide "&amp;$A271&amp;": &lt;which version stands&gt;","decide "&amp;$A271&amp;": &lt;outcome&gt;"),IF($K271="Unconfirmed","confirm "&amp;$A271,""))</f>
        <v/>
      </c>
    </row>
    <row r="272" customFormat="false" ht="15" hidden="false" customHeight="false" outlineLevel="0" collapsed="false">
      <c r="A272" s="24"/>
      <c r="B272" s="27"/>
      <c r="C272" s="28"/>
      <c r="D272" s="24"/>
      <c r="E272" s="24"/>
      <c r="F272" s="24"/>
      <c r="G272" s="28"/>
      <c r="H272" s="28"/>
      <c r="I272" s="24"/>
      <c r="J272" s="24"/>
      <c r="K272" s="29" t="str">
        <f aca="false">IF($A272="","",IF(OR($C272="Decision",$C272="Conflict"),IF(COUNTIFS($I$2:$I$1001,$A272,$C$2:$C$1001,"Resolved")=0,"Open","Closed"),IF(AND($H272="Unconfirmed",OR($C272="New",$C272="Know")),IF(COUNTIFS($I$2:$I$1001,$A272,$C$2:$C$1001,"Confirmed")=0,"Unconfirmed","Confirmed"),"Logged")))</f>
        <v/>
      </c>
      <c r="L272" s="29" t="str">
        <f aca="false">IF($A272="","",AsOf-$B272)</f>
        <v/>
      </c>
      <c r="M272" s="29" t="str">
        <f aca="false">IF($K272="Open",IF($C272="Conflict","Critical",IF($L272&gt;=DecisionCritical,"Critical",IF($L272&gt;=DecisionWarn,"Warning","On track"))),IF($K272="Unconfirmed",IF($L272&gt;=UnconfirmedWarn,"Warning","On track"),""))</f>
        <v/>
      </c>
      <c r="N272" s="29" t="str">
        <f aca="false">IF($M272="","",IF($M272="Critical",3000,IF($M272="Warning",2000,1000))+$L272+ROW()/100000)</f>
        <v/>
      </c>
      <c r="O272" s="29" t="str">
        <f aca="false">IF($K272="Open",IF($C272="Conflict","decide "&amp;$A272&amp;": &lt;which version stands&gt;","decide "&amp;$A272&amp;": &lt;outcome&gt;"),IF($K272="Unconfirmed","confirm "&amp;$A272,""))</f>
        <v/>
      </c>
    </row>
    <row r="273" customFormat="false" ht="15" hidden="false" customHeight="false" outlineLevel="0" collapsed="false">
      <c r="A273" s="24"/>
      <c r="B273" s="27"/>
      <c r="C273" s="28"/>
      <c r="D273" s="24"/>
      <c r="E273" s="24"/>
      <c r="F273" s="24"/>
      <c r="G273" s="28"/>
      <c r="H273" s="28"/>
      <c r="I273" s="24"/>
      <c r="J273" s="24"/>
      <c r="K273" s="29" t="str">
        <f aca="false">IF($A273="","",IF(OR($C273="Decision",$C273="Conflict"),IF(COUNTIFS($I$2:$I$1001,$A273,$C$2:$C$1001,"Resolved")=0,"Open","Closed"),IF(AND($H273="Unconfirmed",OR($C273="New",$C273="Know")),IF(COUNTIFS($I$2:$I$1001,$A273,$C$2:$C$1001,"Confirmed")=0,"Unconfirmed","Confirmed"),"Logged")))</f>
        <v/>
      </c>
      <c r="L273" s="29" t="str">
        <f aca="false">IF($A273="","",AsOf-$B273)</f>
        <v/>
      </c>
      <c r="M273" s="29" t="str">
        <f aca="false">IF($K273="Open",IF($C273="Conflict","Critical",IF($L273&gt;=DecisionCritical,"Critical",IF($L273&gt;=DecisionWarn,"Warning","On track"))),IF($K273="Unconfirmed",IF($L273&gt;=UnconfirmedWarn,"Warning","On track"),""))</f>
        <v/>
      </c>
      <c r="N273" s="29" t="str">
        <f aca="false">IF($M273="","",IF($M273="Critical",3000,IF($M273="Warning",2000,1000))+$L273+ROW()/100000)</f>
        <v/>
      </c>
      <c r="O273" s="29" t="str">
        <f aca="false">IF($K273="Open",IF($C273="Conflict","decide "&amp;$A273&amp;": &lt;which version stands&gt;","decide "&amp;$A273&amp;": &lt;outcome&gt;"),IF($K273="Unconfirmed","confirm "&amp;$A273,""))</f>
        <v/>
      </c>
    </row>
    <row r="274" customFormat="false" ht="15" hidden="false" customHeight="false" outlineLevel="0" collapsed="false">
      <c r="A274" s="24"/>
      <c r="B274" s="27"/>
      <c r="C274" s="28"/>
      <c r="D274" s="24"/>
      <c r="E274" s="24"/>
      <c r="F274" s="24"/>
      <c r="G274" s="28"/>
      <c r="H274" s="28"/>
      <c r="I274" s="24"/>
      <c r="J274" s="24"/>
      <c r="K274" s="29" t="str">
        <f aca="false">IF($A274="","",IF(OR($C274="Decision",$C274="Conflict"),IF(COUNTIFS($I$2:$I$1001,$A274,$C$2:$C$1001,"Resolved")=0,"Open","Closed"),IF(AND($H274="Unconfirmed",OR($C274="New",$C274="Know")),IF(COUNTIFS($I$2:$I$1001,$A274,$C$2:$C$1001,"Confirmed")=0,"Unconfirmed","Confirmed"),"Logged")))</f>
        <v/>
      </c>
      <c r="L274" s="29" t="str">
        <f aca="false">IF($A274="","",AsOf-$B274)</f>
        <v/>
      </c>
      <c r="M274" s="29" t="str">
        <f aca="false">IF($K274="Open",IF($C274="Conflict","Critical",IF($L274&gt;=DecisionCritical,"Critical",IF($L274&gt;=DecisionWarn,"Warning","On track"))),IF($K274="Unconfirmed",IF($L274&gt;=UnconfirmedWarn,"Warning","On track"),""))</f>
        <v/>
      </c>
      <c r="N274" s="29" t="str">
        <f aca="false">IF($M274="","",IF($M274="Critical",3000,IF($M274="Warning",2000,1000))+$L274+ROW()/100000)</f>
        <v/>
      </c>
      <c r="O274" s="29" t="str">
        <f aca="false">IF($K274="Open",IF($C274="Conflict","decide "&amp;$A274&amp;": &lt;which version stands&gt;","decide "&amp;$A274&amp;": &lt;outcome&gt;"),IF($K274="Unconfirmed","confirm "&amp;$A274,""))</f>
        <v/>
      </c>
    </row>
    <row r="275" customFormat="false" ht="15" hidden="false" customHeight="false" outlineLevel="0" collapsed="false">
      <c r="A275" s="24"/>
      <c r="B275" s="27"/>
      <c r="C275" s="28"/>
      <c r="D275" s="24"/>
      <c r="E275" s="24"/>
      <c r="F275" s="24"/>
      <c r="G275" s="28"/>
      <c r="H275" s="28"/>
      <c r="I275" s="24"/>
      <c r="J275" s="24"/>
      <c r="K275" s="29" t="str">
        <f aca="false">IF($A275="","",IF(OR($C275="Decision",$C275="Conflict"),IF(COUNTIFS($I$2:$I$1001,$A275,$C$2:$C$1001,"Resolved")=0,"Open","Closed"),IF(AND($H275="Unconfirmed",OR($C275="New",$C275="Know")),IF(COUNTIFS($I$2:$I$1001,$A275,$C$2:$C$1001,"Confirmed")=0,"Unconfirmed","Confirmed"),"Logged")))</f>
        <v/>
      </c>
      <c r="L275" s="29" t="str">
        <f aca="false">IF($A275="","",AsOf-$B275)</f>
        <v/>
      </c>
      <c r="M275" s="29" t="str">
        <f aca="false">IF($K275="Open",IF($C275="Conflict","Critical",IF($L275&gt;=DecisionCritical,"Critical",IF($L275&gt;=DecisionWarn,"Warning","On track"))),IF($K275="Unconfirmed",IF($L275&gt;=UnconfirmedWarn,"Warning","On track"),""))</f>
        <v/>
      </c>
      <c r="N275" s="29" t="str">
        <f aca="false">IF($M275="","",IF($M275="Critical",3000,IF($M275="Warning",2000,1000))+$L275+ROW()/100000)</f>
        <v/>
      </c>
      <c r="O275" s="29" t="str">
        <f aca="false">IF($K275="Open",IF($C275="Conflict","decide "&amp;$A275&amp;": &lt;which version stands&gt;","decide "&amp;$A275&amp;": &lt;outcome&gt;"),IF($K275="Unconfirmed","confirm "&amp;$A275,""))</f>
        <v/>
      </c>
    </row>
    <row r="276" customFormat="false" ht="15" hidden="false" customHeight="false" outlineLevel="0" collapsed="false">
      <c r="A276" s="24"/>
      <c r="B276" s="27"/>
      <c r="C276" s="28"/>
      <c r="D276" s="24"/>
      <c r="E276" s="24"/>
      <c r="F276" s="24"/>
      <c r="G276" s="28"/>
      <c r="H276" s="28"/>
      <c r="I276" s="24"/>
      <c r="J276" s="24"/>
      <c r="K276" s="29" t="str">
        <f aca="false">IF($A276="","",IF(OR($C276="Decision",$C276="Conflict"),IF(COUNTIFS($I$2:$I$1001,$A276,$C$2:$C$1001,"Resolved")=0,"Open","Closed"),IF(AND($H276="Unconfirmed",OR($C276="New",$C276="Know")),IF(COUNTIFS($I$2:$I$1001,$A276,$C$2:$C$1001,"Confirmed")=0,"Unconfirmed","Confirmed"),"Logged")))</f>
        <v/>
      </c>
      <c r="L276" s="29" t="str">
        <f aca="false">IF($A276="","",AsOf-$B276)</f>
        <v/>
      </c>
      <c r="M276" s="29" t="str">
        <f aca="false">IF($K276="Open",IF($C276="Conflict","Critical",IF($L276&gt;=DecisionCritical,"Critical",IF($L276&gt;=DecisionWarn,"Warning","On track"))),IF($K276="Unconfirmed",IF($L276&gt;=UnconfirmedWarn,"Warning","On track"),""))</f>
        <v/>
      </c>
      <c r="N276" s="29" t="str">
        <f aca="false">IF($M276="","",IF($M276="Critical",3000,IF($M276="Warning",2000,1000))+$L276+ROW()/100000)</f>
        <v/>
      </c>
      <c r="O276" s="29" t="str">
        <f aca="false">IF($K276="Open",IF($C276="Conflict","decide "&amp;$A276&amp;": &lt;which version stands&gt;","decide "&amp;$A276&amp;": &lt;outcome&gt;"),IF($K276="Unconfirmed","confirm "&amp;$A276,""))</f>
        <v/>
      </c>
    </row>
    <row r="277" customFormat="false" ht="15" hidden="false" customHeight="false" outlineLevel="0" collapsed="false">
      <c r="A277" s="24"/>
      <c r="B277" s="27"/>
      <c r="C277" s="28"/>
      <c r="D277" s="24"/>
      <c r="E277" s="24"/>
      <c r="F277" s="24"/>
      <c r="G277" s="28"/>
      <c r="H277" s="28"/>
      <c r="I277" s="24"/>
      <c r="J277" s="24"/>
      <c r="K277" s="29" t="str">
        <f aca="false">IF($A277="","",IF(OR($C277="Decision",$C277="Conflict"),IF(COUNTIFS($I$2:$I$1001,$A277,$C$2:$C$1001,"Resolved")=0,"Open","Closed"),IF(AND($H277="Unconfirmed",OR($C277="New",$C277="Know")),IF(COUNTIFS($I$2:$I$1001,$A277,$C$2:$C$1001,"Confirmed")=0,"Unconfirmed","Confirmed"),"Logged")))</f>
        <v/>
      </c>
      <c r="L277" s="29" t="str">
        <f aca="false">IF($A277="","",AsOf-$B277)</f>
        <v/>
      </c>
      <c r="M277" s="29" t="str">
        <f aca="false">IF($K277="Open",IF($C277="Conflict","Critical",IF($L277&gt;=DecisionCritical,"Critical",IF($L277&gt;=DecisionWarn,"Warning","On track"))),IF($K277="Unconfirmed",IF($L277&gt;=UnconfirmedWarn,"Warning","On track"),""))</f>
        <v/>
      </c>
      <c r="N277" s="29" t="str">
        <f aca="false">IF($M277="","",IF($M277="Critical",3000,IF($M277="Warning",2000,1000))+$L277+ROW()/100000)</f>
        <v/>
      </c>
      <c r="O277" s="29" t="str">
        <f aca="false">IF($K277="Open",IF($C277="Conflict","decide "&amp;$A277&amp;": &lt;which version stands&gt;","decide "&amp;$A277&amp;": &lt;outcome&gt;"),IF($K277="Unconfirmed","confirm "&amp;$A277,""))</f>
        <v/>
      </c>
    </row>
    <row r="278" customFormat="false" ht="15" hidden="false" customHeight="false" outlineLevel="0" collapsed="false">
      <c r="A278" s="24"/>
      <c r="B278" s="27"/>
      <c r="C278" s="28"/>
      <c r="D278" s="24"/>
      <c r="E278" s="24"/>
      <c r="F278" s="24"/>
      <c r="G278" s="28"/>
      <c r="H278" s="28"/>
      <c r="I278" s="24"/>
      <c r="J278" s="24"/>
      <c r="K278" s="29" t="str">
        <f aca="false">IF($A278="","",IF(OR($C278="Decision",$C278="Conflict"),IF(COUNTIFS($I$2:$I$1001,$A278,$C$2:$C$1001,"Resolved")=0,"Open","Closed"),IF(AND($H278="Unconfirmed",OR($C278="New",$C278="Know")),IF(COUNTIFS($I$2:$I$1001,$A278,$C$2:$C$1001,"Confirmed")=0,"Unconfirmed","Confirmed"),"Logged")))</f>
        <v/>
      </c>
      <c r="L278" s="29" t="str">
        <f aca="false">IF($A278="","",AsOf-$B278)</f>
        <v/>
      </c>
      <c r="M278" s="29" t="str">
        <f aca="false">IF($K278="Open",IF($C278="Conflict","Critical",IF($L278&gt;=DecisionCritical,"Critical",IF($L278&gt;=DecisionWarn,"Warning","On track"))),IF($K278="Unconfirmed",IF($L278&gt;=UnconfirmedWarn,"Warning","On track"),""))</f>
        <v/>
      </c>
      <c r="N278" s="29" t="str">
        <f aca="false">IF($M278="","",IF($M278="Critical",3000,IF($M278="Warning",2000,1000))+$L278+ROW()/100000)</f>
        <v/>
      </c>
      <c r="O278" s="29" t="str">
        <f aca="false">IF($K278="Open",IF($C278="Conflict","decide "&amp;$A278&amp;": &lt;which version stands&gt;","decide "&amp;$A278&amp;": &lt;outcome&gt;"),IF($K278="Unconfirmed","confirm "&amp;$A278,""))</f>
        <v/>
      </c>
    </row>
    <row r="279" customFormat="false" ht="15" hidden="false" customHeight="false" outlineLevel="0" collapsed="false">
      <c r="A279" s="24"/>
      <c r="B279" s="27"/>
      <c r="C279" s="28"/>
      <c r="D279" s="24"/>
      <c r="E279" s="24"/>
      <c r="F279" s="24"/>
      <c r="G279" s="28"/>
      <c r="H279" s="28"/>
      <c r="I279" s="24"/>
      <c r="J279" s="24"/>
      <c r="K279" s="29" t="str">
        <f aca="false">IF($A279="","",IF(OR($C279="Decision",$C279="Conflict"),IF(COUNTIFS($I$2:$I$1001,$A279,$C$2:$C$1001,"Resolved")=0,"Open","Closed"),IF(AND($H279="Unconfirmed",OR($C279="New",$C279="Know")),IF(COUNTIFS($I$2:$I$1001,$A279,$C$2:$C$1001,"Confirmed")=0,"Unconfirmed","Confirmed"),"Logged")))</f>
        <v/>
      </c>
      <c r="L279" s="29" t="str">
        <f aca="false">IF($A279="","",AsOf-$B279)</f>
        <v/>
      </c>
      <c r="M279" s="29" t="str">
        <f aca="false">IF($K279="Open",IF($C279="Conflict","Critical",IF($L279&gt;=DecisionCritical,"Critical",IF($L279&gt;=DecisionWarn,"Warning","On track"))),IF($K279="Unconfirmed",IF($L279&gt;=UnconfirmedWarn,"Warning","On track"),""))</f>
        <v/>
      </c>
      <c r="N279" s="29" t="str">
        <f aca="false">IF($M279="","",IF($M279="Critical",3000,IF($M279="Warning",2000,1000))+$L279+ROW()/100000)</f>
        <v/>
      </c>
      <c r="O279" s="29" t="str">
        <f aca="false">IF($K279="Open",IF($C279="Conflict","decide "&amp;$A279&amp;": &lt;which version stands&gt;","decide "&amp;$A279&amp;": &lt;outcome&gt;"),IF($K279="Unconfirmed","confirm "&amp;$A279,""))</f>
        <v/>
      </c>
    </row>
    <row r="280" customFormat="false" ht="15" hidden="false" customHeight="false" outlineLevel="0" collapsed="false">
      <c r="A280" s="24"/>
      <c r="B280" s="27"/>
      <c r="C280" s="28"/>
      <c r="D280" s="24"/>
      <c r="E280" s="24"/>
      <c r="F280" s="24"/>
      <c r="G280" s="28"/>
      <c r="H280" s="28"/>
      <c r="I280" s="24"/>
      <c r="J280" s="24"/>
      <c r="K280" s="29" t="str">
        <f aca="false">IF($A280="","",IF(OR($C280="Decision",$C280="Conflict"),IF(COUNTIFS($I$2:$I$1001,$A280,$C$2:$C$1001,"Resolved")=0,"Open","Closed"),IF(AND($H280="Unconfirmed",OR($C280="New",$C280="Know")),IF(COUNTIFS($I$2:$I$1001,$A280,$C$2:$C$1001,"Confirmed")=0,"Unconfirmed","Confirmed"),"Logged")))</f>
        <v/>
      </c>
      <c r="L280" s="29" t="str">
        <f aca="false">IF($A280="","",AsOf-$B280)</f>
        <v/>
      </c>
      <c r="M280" s="29" t="str">
        <f aca="false">IF($K280="Open",IF($C280="Conflict","Critical",IF($L280&gt;=DecisionCritical,"Critical",IF($L280&gt;=DecisionWarn,"Warning","On track"))),IF($K280="Unconfirmed",IF($L280&gt;=UnconfirmedWarn,"Warning","On track"),""))</f>
        <v/>
      </c>
      <c r="N280" s="29" t="str">
        <f aca="false">IF($M280="","",IF($M280="Critical",3000,IF($M280="Warning",2000,1000))+$L280+ROW()/100000)</f>
        <v/>
      </c>
      <c r="O280" s="29" t="str">
        <f aca="false">IF($K280="Open",IF($C280="Conflict","decide "&amp;$A280&amp;": &lt;which version stands&gt;","decide "&amp;$A280&amp;": &lt;outcome&gt;"),IF($K280="Unconfirmed","confirm "&amp;$A280,""))</f>
        <v/>
      </c>
    </row>
    <row r="281" customFormat="false" ht="15" hidden="false" customHeight="false" outlineLevel="0" collapsed="false">
      <c r="A281" s="24"/>
      <c r="B281" s="27"/>
      <c r="C281" s="28"/>
      <c r="D281" s="24"/>
      <c r="E281" s="24"/>
      <c r="F281" s="24"/>
      <c r="G281" s="28"/>
      <c r="H281" s="28"/>
      <c r="I281" s="24"/>
      <c r="J281" s="24"/>
      <c r="K281" s="29" t="str">
        <f aca="false">IF($A281="","",IF(OR($C281="Decision",$C281="Conflict"),IF(COUNTIFS($I$2:$I$1001,$A281,$C$2:$C$1001,"Resolved")=0,"Open","Closed"),IF(AND($H281="Unconfirmed",OR($C281="New",$C281="Know")),IF(COUNTIFS($I$2:$I$1001,$A281,$C$2:$C$1001,"Confirmed")=0,"Unconfirmed","Confirmed"),"Logged")))</f>
        <v/>
      </c>
      <c r="L281" s="29" t="str">
        <f aca="false">IF($A281="","",AsOf-$B281)</f>
        <v/>
      </c>
      <c r="M281" s="29" t="str">
        <f aca="false">IF($K281="Open",IF($C281="Conflict","Critical",IF($L281&gt;=DecisionCritical,"Critical",IF($L281&gt;=DecisionWarn,"Warning","On track"))),IF($K281="Unconfirmed",IF($L281&gt;=UnconfirmedWarn,"Warning","On track"),""))</f>
        <v/>
      </c>
      <c r="N281" s="29" t="str">
        <f aca="false">IF($M281="","",IF($M281="Critical",3000,IF($M281="Warning",2000,1000))+$L281+ROW()/100000)</f>
        <v/>
      </c>
      <c r="O281" s="29" t="str">
        <f aca="false">IF($K281="Open",IF($C281="Conflict","decide "&amp;$A281&amp;": &lt;which version stands&gt;","decide "&amp;$A281&amp;": &lt;outcome&gt;"),IF($K281="Unconfirmed","confirm "&amp;$A281,""))</f>
        <v/>
      </c>
    </row>
    <row r="282" customFormat="false" ht="15" hidden="false" customHeight="false" outlineLevel="0" collapsed="false">
      <c r="A282" s="24"/>
      <c r="B282" s="27"/>
      <c r="C282" s="28"/>
      <c r="D282" s="24"/>
      <c r="E282" s="24"/>
      <c r="F282" s="24"/>
      <c r="G282" s="28"/>
      <c r="H282" s="28"/>
      <c r="I282" s="24"/>
      <c r="J282" s="24"/>
      <c r="K282" s="29" t="str">
        <f aca="false">IF($A282="","",IF(OR($C282="Decision",$C282="Conflict"),IF(COUNTIFS($I$2:$I$1001,$A282,$C$2:$C$1001,"Resolved")=0,"Open","Closed"),IF(AND($H282="Unconfirmed",OR($C282="New",$C282="Know")),IF(COUNTIFS($I$2:$I$1001,$A282,$C$2:$C$1001,"Confirmed")=0,"Unconfirmed","Confirmed"),"Logged")))</f>
        <v/>
      </c>
      <c r="L282" s="29" t="str">
        <f aca="false">IF($A282="","",AsOf-$B282)</f>
        <v/>
      </c>
      <c r="M282" s="29" t="str">
        <f aca="false">IF($K282="Open",IF($C282="Conflict","Critical",IF($L282&gt;=DecisionCritical,"Critical",IF($L282&gt;=DecisionWarn,"Warning","On track"))),IF($K282="Unconfirmed",IF($L282&gt;=UnconfirmedWarn,"Warning","On track"),""))</f>
        <v/>
      </c>
      <c r="N282" s="29" t="str">
        <f aca="false">IF($M282="","",IF($M282="Critical",3000,IF($M282="Warning",2000,1000))+$L282+ROW()/100000)</f>
        <v/>
      </c>
      <c r="O282" s="29" t="str">
        <f aca="false">IF($K282="Open",IF($C282="Conflict","decide "&amp;$A282&amp;": &lt;which version stands&gt;","decide "&amp;$A282&amp;": &lt;outcome&gt;"),IF($K282="Unconfirmed","confirm "&amp;$A282,""))</f>
        <v/>
      </c>
    </row>
    <row r="283" customFormat="false" ht="15" hidden="false" customHeight="false" outlineLevel="0" collapsed="false">
      <c r="A283" s="24"/>
      <c r="B283" s="27"/>
      <c r="C283" s="28"/>
      <c r="D283" s="24"/>
      <c r="E283" s="24"/>
      <c r="F283" s="24"/>
      <c r="G283" s="28"/>
      <c r="H283" s="28"/>
      <c r="I283" s="24"/>
      <c r="J283" s="24"/>
      <c r="K283" s="29" t="str">
        <f aca="false">IF($A283="","",IF(OR($C283="Decision",$C283="Conflict"),IF(COUNTIFS($I$2:$I$1001,$A283,$C$2:$C$1001,"Resolved")=0,"Open","Closed"),IF(AND($H283="Unconfirmed",OR($C283="New",$C283="Know")),IF(COUNTIFS($I$2:$I$1001,$A283,$C$2:$C$1001,"Confirmed")=0,"Unconfirmed","Confirmed"),"Logged")))</f>
        <v/>
      </c>
      <c r="L283" s="29" t="str">
        <f aca="false">IF($A283="","",AsOf-$B283)</f>
        <v/>
      </c>
      <c r="M283" s="29" t="str">
        <f aca="false">IF($K283="Open",IF($C283="Conflict","Critical",IF($L283&gt;=DecisionCritical,"Critical",IF($L283&gt;=DecisionWarn,"Warning","On track"))),IF($K283="Unconfirmed",IF($L283&gt;=UnconfirmedWarn,"Warning","On track"),""))</f>
        <v/>
      </c>
      <c r="N283" s="29" t="str">
        <f aca="false">IF($M283="","",IF($M283="Critical",3000,IF($M283="Warning",2000,1000))+$L283+ROW()/100000)</f>
        <v/>
      </c>
      <c r="O283" s="29" t="str">
        <f aca="false">IF($K283="Open",IF($C283="Conflict","decide "&amp;$A283&amp;": &lt;which version stands&gt;","decide "&amp;$A283&amp;": &lt;outcome&gt;"),IF($K283="Unconfirmed","confirm "&amp;$A283,""))</f>
        <v/>
      </c>
    </row>
    <row r="284" customFormat="false" ht="15" hidden="false" customHeight="false" outlineLevel="0" collapsed="false">
      <c r="A284" s="24"/>
      <c r="B284" s="27"/>
      <c r="C284" s="28"/>
      <c r="D284" s="24"/>
      <c r="E284" s="24"/>
      <c r="F284" s="24"/>
      <c r="G284" s="28"/>
      <c r="H284" s="28"/>
      <c r="I284" s="24"/>
      <c r="J284" s="24"/>
      <c r="K284" s="29" t="str">
        <f aca="false">IF($A284="","",IF(OR($C284="Decision",$C284="Conflict"),IF(COUNTIFS($I$2:$I$1001,$A284,$C$2:$C$1001,"Resolved")=0,"Open","Closed"),IF(AND($H284="Unconfirmed",OR($C284="New",$C284="Know")),IF(COUNTIFS($I$2:$I$1001,$A284,$C$2:$C$1001,"Confirmed")=0,"Unconfirmed","Confirmed"),"Logged")))</f>
        <v/>
      </c>
      <c r="L284" s="29" t="str">
        <f aca="false">IF($A284="","",AsOf-$B284)</f>
        <v/>
      </c>
      <c r="M284" s="29" t="str">
        <f aca="false">IF($K284="Open",IF($C284="Conflict","Critical",IF($L284&gt;=DecisionCritical,"Critical",IF($L284&gt;=DecisionWarn,"Warning","On track"))),IF($K284="Unconfirmed",IF($L284&gt;=UnconfirmedWarn,"Warning","On track"),""))</f>
        <v/>
      </c>
      <c r="N284" s="29" t="str">
        <f aca="false">IF($M284="","",IF($M284="Critical",3000,IF($M284="Warning",2000,1000))+$L284+ROW()/100000)</f>
        <v/>
      </c>
      <c r="O284" s="29" t="str">
        <f aca="false">IF($K284="Open",IF($C284="Conflict","decide "&amp;$A284&amp;": &lt;which version stands&gt;","decide "&amp;$A284&amp;": &lt;outcome&gt;"),IF($K284="Unconfirmed","confirm "&amp;$A284,""))</f>
        <v/>
      </c>
    </row>
    <row r="285" customFormat="false" ht="15" hidden="false" customHeight="false" outlineLevel="0" collapsed="false">
      <c r="A285" s="24"/>
      <c r="B285" s="27"/>
      <c r="C285" s="28"/>
      <c r="D285" s="24"/>
      <c r="E285" s="24"/>
      <c r="F285" s="24"/>
      <c r="G285" s="28"/>
      <c r="H285" s="28"/>
      <c r="I285" s="24"/>
      <c r="J285" s="24"/>
      <c r="K285" s="29" t="str">
        <f aca="false">IF($A285="","",IF(OR($C285="Decision",$C285="Conflict"),IF(COUNTIFS($I$2:$I$1001,$A285,$C$2:$C$1001,"Resolved")=0,"Open","Closed"),IF(AND($H285="Unconfirmed",OR($C285="New",$C285="Know")),IF(COUNTIFS($I$2:$I$1001,$A285,$C$2:$C$1001,"Confirmed")=0,"Unconfirmed","Confirmed"),"Logged")))</f>
        <v/>
      </c>
      <c r="L285" s="29" t="str">
        <f aca="false">IF($A285="","",AsOf-$B285)</f>
        <v/>
      </c>
      <c r="M285" s="29" t="str">
        <f aca="false">IF($K285="Open",IF($C285="Conflict","Critical",IF($L285&gt;=DecisionCritical,"Critical",IF($L285&gt;=DecisionWarn,"Warning","On track"))),IF($K285="Unconfirmed",IF($L285&gt;=UnconfirmedWarn,"Warning","On track"),""))</f>
        <v/>
      </c>
      <c r="N285" s="29" t="str">
        <f aca="false">IF($M285="","",IF($M285="Critical",3000,IF($M285="Warning",2000,1000))+$L285+ROW()/100000)</f>
        <v/>
      </c>
      <c r="O285" s="29" t="str">
        <f aca="false">IF($K285="Open",IF($C285="Conflict","decide "&amp;$A285&amp;": &lt;which version stands&gt;","decide "&amp;$A285&amp;": &lt;outcome&gt;"),IF($K285="Unconfirmed","confirm "&amp;$A285,""))</f>
        <v/>
      </c>
    </row>
    <row r="286" customFormat="false" ht="15" hidden="false" customHeight="false" outlineLevel="0" collapsed="false">
      <c r="A286" s="24"/>
      <c r="B286" s="27"/>
      <c r="C286" s="28"/>
      <c r="D286" s="24"/>
      <c r="E286" s="24"/>
      <c r="F286" s="24"/>
      <c r="G286" s="28"/>
      <c r="H286" s="28"/>
      <c r="I286" s="24"/>
      <c r="J286" s="24"/>
      <c r="K286" s="29" t="str">
        <f aca="false">IF($A286="","",IF(OR($C286="Decision",$C286="Conflict"),IF(COUNTIFS($I$2:$I$1001,$A286,$C$2:$C$1001,"Resolved")=0,"Open","Closed"),IF(AND($H286="Unconfirmed",OR($C286="New",$C286="Know")),IF(COUNTIFS($I$2:$I$1001,$A286,$C$2:$C$1001,"Confirmed")=0,"Unconfirmed","Confirmed"),"Logged")))</f>
        <v/>
      </c>
      <c r="L286" s="29" t="str">
        <f aca="false">IF($A286="","",AsOf-$B286)</f>
        <v/>
      </c>
      <c r="M286" s="29" t="str">
        <f aca="false">IF($K286="Open",IF($C286="Conflict","Critical",IF($L286&gt;=DecisionCritical,"Critical",IF($L286&gt;=DecisionWarn,"Warning","On track"))),IF($K286="Unconfirmed",IF($L286&gt;=UnconfirmedWarn,"Warning","On track"),""))</f>
        <v/>
      </c>
      <c r="N286" s="29" t="str">
        <f aca="false">IF($M286="","",IF($M286="Critical",3000,IF($M286="Warning",2000,1000))+$L286+ROW()/100000)</f>
        <v/>
      </c>
      <c r="O286" s="29" t="str">
        <f aca="false">IF($K286="Open",IF($C286="Conflict","decide "&amp;$A286&amp;": &lt;which version stands&gt;","decide "&amp;$A286&amp;": &lt;outcome&gt;"),IF($K286="Unconfirmed","confirm "&amp;$A286,""))</f>
        <v/>
      </c>
    </row>
    <row r="287" customFormat="false" ht="15" hidden="false" customHeight="false" outlineLevel="0" collapsed="false">
      <c r="A287" s="24"/>
      <c r="B287" s="27"/>
      <c r="C287" s="28"/>
      <c r="D287" s="24"/>
      <c r="E287" s="24"/>
      <c r="F287" s="24"/>
      <c r="G287" s="28"/>
      <c r="H287" s="28"/>
      <c r="I287" s="24"/>
      <c r="J287" s="24"/>
      <c r="K287" s="29" t="str">
        <f aca="false">IF($A287="","",IF(OR($C287="Decision",$C287="Conflict"),IF(COUNTIFS($I$2:$I$1001,$A287,$C$2:$C$1001,"Resolved")=0,"Open","Closed"),IF(AND($H287="Unconfirmed",OR($C287="New",$C287="Know")),IF(COUNTIFS($I$2:$I$1001,$A287,$C$2:$C$1001,"Confirmed")=0,"Unconfirmed","Confirmed"),"Logged")))</f>
        <v/>
      </c>
      <c r="L287" s="29" t="str">
        <f aca="false">IF($A287="","",AsOf-$B287)</f>
        <v/>
      </c>
      <c r="M287" s="29" t="str">
        <f aca="false">IF($K287="Open",IF($C287="Conflict","Critical",IF($L287&gt;=DecisionCritical,"Critical",IF($L287&gt;=DecisionWarn,"Warning","On track"))),IF($K287="Unconfirmed",IF($L287&gt;=UnconfirmedWarn,"Warning","On track"),""))</f>
        <v/>
      </c>
      <c r="N287" s="29" t="str">
        <f aca="false">IF($M287="","",IF($M287="Critical",3000,IF($M287="Warning",2000,1000))+$L287+ROW()/100000)</f>
        <v/>
      </c>
      <c r="O287" s="29" t="str">
        <f aca="false">IF($K287="Open",IF($C287="Conflict","decide "&amp;$A287&amp;": &lt;which version stands&gt;","decide "&amp;$A287&amp;": &lt;outcome&gt;"),IF($K287="Unconfirmed","confirm "&amp;$A287,""))</f>
        <v/>
      </c>
    </row>
    <row r="288" customFormat="false" ht="15" hidden="false" customHeight="false" outlineLevel="0" collapsed="false">
      <c r="A288" s="24"/>
      <c r="B288" s="27"/>
      <c r="C288" s="28"/>
      <c r="D288" s="24"/>
      <c r="E288" s="24"/>
      <c r="F288" s="24"/>
      <c r="G288" s="28"/>
      <c r="H288" s="28"/>
      <c r="I288" s="24"/>
      <c r="J288" s="24"/>
      <c r="K288" s="29" t="str">
        <f aca="false">IF($A288="","",IF(OR($C288="Decision",$C288="Conflict"),IF(COUNTIFS($I$2:$I$1001,$A288,$C$2:$C$1001,"Resolved")=0,"Open","Closed"),IF(AND($H288="Unconfirmed",OR($C288="New",$C288="Know")),IF(COUNTIFS($I$2:$I$1001,$A288,$C$2:$C$1001,"Confirmed")=0,"Unconfirmed","Confirmed"),"Logged")))</f>
        <v/>
      </c>
      <c r="L288" s="29" t="str">
        <f aca="false">IF($A288="","",AsOf-$B288)</f>
        <v/>
      </c>
      <c r="M288" s="29" t="str">
        <f aca="false">IF($K288="Open",IF($C288="Conflict","Critical",IF($L288&gt;=DecisionCritical,"Critical",IF($L288&gt;=DecisionWarn,"Warning","On track"))),IF($K288="Unconfirmed",IF($L288&gt;=UnconfirmedWarn,"Warning","On track"),""))</f>
        <v/>
      </c>
      <c r="N288" s="29" t="str">
        <f aca="false">IF($M288="","",IF($M288="Critical",3000,IF($M288="Warning",2000,1000))+$L288+ROW()/100000)</f>
        <v/>
      </c>
      <c r="O288" s="29" t="str">
        <f aca="false">IF($K288="Open",IF($C288="Conflict","decide "&amp;$A288&amp;": &lt;which version stands&gt;","decide "&amp;$A288&amp;": &lt;outcome&gt;"),IF($K288="Unconfirmed","confirm "&amp;$A288,""))</f>
        <v/>
      </c>
    </row>
    <row r="289" customFormat="false" ht="15" hidden="false" customHeight="false" outlineLevel="0" collapsed="false">
      <c r="A289" s="24"/>
      <c r="B289" s="27"/>
      <c r="C289" s="28"/>
      <c r="D289" s="24"/>
      <c r="E289" s="24"/>
      <c r="F289" s="24"/>
      <c r="G289" s="28"/>
      <c r="H289" s="28"/>
      <c r="I289" s="24"/>
      <c r="J289" s="24"/>
      <c r="K289" s="29" t="str">
        <f aca="false">IF($A289="","",IF(OR($C289="Decision",$C289="Conflict"),IF(COUNTIFS($I$2:$I$1001,$A289,$C$2:$C$1001,"Resolved")=0,"Open","Closed"),IF(AND($H289="Unconfirmed",OR($C289="New",$C289="Know")),IF(COUNTIFS($I$2:$I$1001,$A289,$C$2:$C$1001,"Confirmed")=0,"Unconfirmed","Confirmed"),"Logged")))</f>
        <v/>
      </c>
      <c r="L289" s="29" t="str">
        <f aca="false">IF($A289="","",AsOf-$B289)</f>
        <v/>
      </c>
      <c r="M289" s="29" t="str">
        <f aca="false">IF($K289="Open",IF($C289="Conflict","Critical",IF($L289&gt;=DecisionCritical,"Critical",IF($L289&gt;=DecisionWarn,"Warning","On track"))),IF($K289="Unconfirmed",IF($L289&gt;=UnconfirmedWarn,"Warning","On track"),""))</f>
        <v/>
      </c>
      <c r="N289" s="29" t="str">
        <f aca="false">IF($M289="","",IF($M289="Critical",3000,IF($M289="Warning",2000,1000))+$L289+ROW()/100000)</f>
        <v/>
      </c>
      <c r="O289" s="29" t="str">
        <f aca="false">IF($K289="Open",IF($C289="Conflict","decide "&amp;$A289&amp;": &lt;which version stands&gt;","decide "&amp;$A289&amp;": &lt;outcome&gt;"),IF($K289="Unconfirmed","confirm "&amp;$A289,""))</f>
        <v/>
      </c>
    </row>
    <row r="290" customFormat="false" ht="15" hidden="false" customHeight="false" outlineLevel="0" collapsed="false">
      <c r="A290" s="24"/>
      <c r="B290" s="27"/>
      <c r="C290" s="28"/>
      <c r="D290" s="24"/>
      <c r="E290" s="24"/>
      <c r="F290" s="24"/>
      <c r="G290" s="28"/>
      <c r="H290" s="28"/>
      <c r="I290" s="24"/>
      <c r="J290" s="24"/>
      <c r="K290" s="29" t="str">
        <f aca="false">IF($A290="","",IF(OR($C290="Decision",$C290="Conflict"),IF(COUNTIFS($I$2:$I$1001,$A290,$C$2:$C$1001,"Resolved")=0,"Open","Closed"),IF(AND($H290="Unconfirmed",OR($C290="New",$C290="Know")),IF(COUNTIFS($I$2:$I$1001,$A290,$C$2:$C$1001,"Confirmed")=0,"Unconfirmed","Confirmed"),"Logged")))</f>
        <v/>
      </c>
      <c r="L290" s="29" t="str">
        <f aca="false">IF($A290="","",AsOf-$B290)</f>
        <v/>
      </c>
      <c r="M290" s="29" t="str">
        <f aca="false">IF($K290="Open",IF($C290="Conflict","Critical",IF($L290&gt;=DecisionCritical,"Critical",IF($L290&gt;=DecisionWarn,"Warning","On track"))),IF($K290="Unconfirmed",IF($L290&gt;=UnconfirmedWarn,"Warning","On track"),""))</f>
        <v/>
      </c>
      <c r="N290" s="29" t="str">
        <f aca="false">IF($M290="","",IF($M290="Critical",3000,IF($M290="Warning",2000,1000))+$L290+ROW()/100000)</f>
        <v/>
      </c>
      <c r="O290" s="29" t="str">
        <f aca="false">IF($K290="Open",IF($C290="Conflict","decide "&amp;$A290&amp;": &lt;which version stands&gt;","decide "&amp;$A290&amp;": &lt;outcome&gt;"),IF($K290="Unconfirmed","confirm "&amp;$A290,""))</f>
        <v/>
      </c>
    </row>
    <row r="291" customFormat="false" ht="15" hidden="false" customHeight="false" outlineLevel="0" collapsed="false">
      <c r="A291" s="24"/>
      <c r="B291" s="27"/>
      <c r="C291" s="28"/>
      <c r="D291" s="24"/>
      <c r="E291" s="24"/>
      <c r="F291" s="24"/>
      <c r="G291" s="28"/>
      <c r="H291" s="28"/>
      <c r="I291" s="24"/>
      <c r="J291" s="24"/>
      <c r="K291" s="29" t="str">
        <f aca="false">IF($A291="","",IF(OR($C291="Decision",$C291="Conflict"),IF(COUNTIFS($I$2:$I$1001,$A291,$C$2:$C$1001,"Resolved")=0,"Open","Closed"),IF(AND($H291="Unconfirmed",OR($C291="New",$C291="Know")),IF(COUNTIFS($I$2:$I$1001,$A291,$C$2:$C$1001,"Confirmed")=0,"Unconfirmed","Confirmed"),"Logged")))</f>
        <v/>
      </c>
      <c r="L291" s="29" t="str">
        <f aca="false">IF($A291="","",AsOf-$B291)</f>
        <v/>
      </c>
      <c r="M291" s="29" t="str">
        <f aca="false">IF($K291="Open",IF($C291="Conflict","Critical",IF($L291&gt;=DecisionCritical,"Critical",IF($L291&gt;=DecisionWarn,"Warning","On track"))),IF($K291="Unconfirmed",IF($L291&gt;=UnconfirmedWarn,"Warning","On track"),""))</f>
        <v/>
      </c>
      <c r="N291" s="29" t="str">
        <f aca="false">IF($M291="","",IF($M291="Critical",3000,IF($M291="Warning",2000,1000))+$L291+ROW()/100000)</f>
        <v/>
      </c>
      <c r="O291" s="29" t="str">
        <f aca="false">IF($K291="Open",IF($C291="Conflict","decide "&amp;$A291&amp;": &lt;which version stands&gt;","decide "&amp;$A291&amp;": &lt;outcome&gt;"),IF($K291="Unconfirmed","confirm "&amp;$A291,""))</f>
        <v/>
      </c>
    </row>
    <row r="292" customFormat="false" ht="15" hidden="false" customHeight="false" outlineLevel="0" collapsed="false">
      <c r="A292" s="24"/>
      <c r="B292" s="27"/>
      <c r="C292" s="28"/>
      <c r="D292" s="24"/>
      <c r="E292" s="24"/>
      <c r="F292" s="24"/>
      <c r="G292" s="28"/>
      <c r="H292" s="28"/>
      <c r="I292" s="24"/>
      <c r="J292" s="24"/>
      <c r="K292" s="29" t="str">
        <f aca="false">IF($A292="","",IF(OR($C292="Decision",$C292="Conflict"),IF(COUNTIFS($I$2:$I$1001,$A292,$C$2:$C$1001,"Resolved")=0,"Open","Closed"),IF(AND($H292="Unconfirmed",OR($C292="New",$C292="Know")),IF(COUNTIFS($I$2:$I$1001,$A292,$C$2:$C$1001,"Confirmed")=0,"Unconfirmed","Confirmed"),"Logged")))</f>
        <v/>
      </c>
      <c r="L292" s="29" t="str">
        <f aca="false">IF($A292="","",AsOf-$B292)</f>
        <v/>
      </c>
      <c r="M292" s="29" t="str">
        <f aca="false">IF($K292="Open",IF($C292="Conflict","Critical",IF($L292&gt;=DecisionCritical,"Critical",IF($L292&gt;=DecisionWarn,"Warning","On track"))),IF($K292="Unconfirmed",IF($L292&gt;=UnconfirmedWarn,"Warning","On track"),""))</f>
        <v/>
      </c>
      <c r="N292" s="29" t="str">
        <f aca="false">IF($M292="","",IF($M292="Critical",3000,IF($M292="Warning",2000,1000))+$L292+ROW()/100000)</f>
        <v/>
      </c>
      <c r="O292" s="29" t="str">
        <f aca="false">IF($K292="Open",IF($C292="Conflict","decide "&amp;$A292&amp;": &lt;which version stands&gt;","decide "&amp;$A292&amp;": &lt;outcome&gt;"),IF($K292="Unconfirmed","confirm "&amp;$A292,""))</f>
        <v/>
      </c>
    </row>
    <row r="293" customFormat="false" ht="15" hidden="false" customHeight="false" outlineLevel="0" collapsed="false">
      <c r="A293" s="24"/>
      <c r="B293" s="27"/>
      <c r="C293" s="28"/>
      <c r="D293" s="24"/>
      <c r="E293" s="24"/>
      <c r="F293" s="24"/>
      <c r="G293" s="28"/>
      <c r="H293" s="28"/>
      <c r="I293" s="24"/>
      <c r="J293" s="24"/>
      <c r="K293" s="29" t="str">
        <f aca="false">IF($A293="","",IF(OR($C293="Decision",$C293="Conflict"),IF(COUNTIFS($I$2:$I$1001,$A293,$C$2:$C$1001,"Resolved")=0,"Open","Closed"),IF(AND($H293="Unconfirmed",OR($C293="New",$C293="Know")),IF(COUNTIFS($I$2:$I$1001,$A293,$C$2:$C$1001,"Confirmed")=0,"Unconfirmed","Confirmed"),"Logged")))</f>
        <v/>
      </c>
      <c r="L293" s="29" t="str">
        <f aca="false">IF($A293="","",AsOf-$B293)</f>
        <v/>
      </c>
      <c r="M293" s="29" t="str">
        <f aca="false">IF($K293="Open",IF($C293="Conflict","Critical",IF($L293&gt;=DecisionCritical,"Critical",IF($L293&gt;=DecisionWarn,"Warning","On track"))),IF($K293="Unconfirmed",IF($L293&gt;=UnconfirmedWarn,"Warning","On track"),""))</f>
        <v/>
      </c>
      <c r="N293" s="29" t="str">
        <f aca="false">IF($M293="","",IF($M293="Critical",3000,IF($M293="Warning",2000,1000))+$L293+ROW()/100000)</f>
        <v/>
      </c>
      <c r="O293" s="29" t="str">
        <f aca="false">IF($K293="Open",IF($C293="Conflict","decide "&amp;$A293&amp;": &lt;which version stands&gt;","decide "&amp;$A293&amp;": &lt;outcome&gt;"),IF($K293="Unconfirmed","confirm "&amp;$A293,""))</f>
        <v/>
      </c>
    </row>
    <row r="294" customFormat="false" ht="15" hidden="false" customHeight="false" outlineLevel="0" collapsed="false">
      <c r="A294" s="24"/>
      <c r="B294" s="27"/>
      <c r="C294" s="28"/>
      <c r="D294" s="24"/>
      <c r="E294" s="24"/>
      <c r="F294" s="24"/>
      <c r="G294" s="28"/>
      <c r="H294" s="28"/>
      <c r="I294" s="24"/>
      <c r="J294" s="24"/>
      <c r="K294" s="29" t="str">
        <f aca="false">IF($A294="","",IF(OR($C294="Decision",$C294="Conflict"),IF(COUNTIFS($I$2:$I$1001,$A294,$C$2:$C$1001,"Resolved")=0,"Open","Closed"),IF(AND($H294="Unconfirmed",OR($C294="New",$C294="Know")),IF(COUNTIFS($I$2:$I$1001,$A294,$C$2:$C$1001,"Confirmed")=0,"Unconfirmed","Confirmed"),"Logged")))</f>
        <v/>
      </c>
      <c r="L294" s="29" t="str">
        <f aca="false">IF($A294="","",AsOf-$B294)</f>
        <v/>
      </c>
      <c r="M294" s="29" t="str">
        <f aca="false">IF($K294="Open",IF($C294="Conflict","Critical",IF($L294&gt;=DecisionCritical,"Critical",IF($L294&gt;=DecisionWarn,"Warning","On track"))),IF($K294="Unconfirmed",IF($L294&gt;=UnconfirmedWarn,"Warning","On track"),""))</f>
        <v/>
      </c>
      <c r="N294" s="29" t="str">
        <f aca="false">IF($M294="","",IF($M294="Critical",3000,IF($M294="Warning",2000,1000))+$L294+ROW()/100000)</f>
        <v/>
      </c>
      <c r="O294" s="29" t="str">
        <f aca="false">IF($K294="Open",IF($C294="Conflict","decide "&amp;$A294&amp;": &lt;which version stands&gt;","decide "&amp;$A294&amp;": &lt;outcome&gt;"),IF($K294="Unconfirmed","confirm "&amp;$A294,""))</f>
        <v/>
      </c>
    </row>
    <row r="295" customFormat="false" ht="15" hidden="false" customHeight="false" outlineLevel="0" collapsed="false">
      <c r="A295" s="24"/>
      <c r="B295" s="27"/>
      <c r="C295" s="28"/>
      <c r="D295" s="24"/>
      <c r="E295" s="24"/>
      <c r="F295" s="24"/>
      <c r="G295" s="28"/>
      <c r="H295" s="28"/>
      <c r="I295" s="24"/>
      <c r="J295" s="24"/>
      <c r="K295" s="29" t="str">
        <f aca="false">IF($A295="","",IF(OR($C295="Decision",$C295="Conflict"),IF(COUNTIFS($I$2:$I$1001,$A295,$C$2:$C$1001,"Resolved")=0,"Open","Closed"),IF(AND($H295="Unconfirmed",OR($C295="New",$C295="Know")),IF(COUNTIFS($I$2:$I$1001,$A295,$C$2:$C$1001,"Confirmed")=0,"Unconfirmed","Confirmed"),"Logged")))</f>
        <v/>
      </c>
      <c r="L295" s="29" t="str">
        <f aca="false">IF($A295="","",AsOf-$B295)</f>
        <v/>
      </c>
      <c r="M295" s="29" t="str">
        <f aca="false">IF($K295="Open",IF($C295="Conflict","Critical",IF($L295&gt;=DecisionCritical,"Critical",IF($L295&gt;=DecisionWarn,"Warning","On track"))),IF($K295="Unconfirmed",IF($L295&gt;=UnconfirmedWarn,"Warning","On track"),""))</f>
        <v/>
      </c>
      <c r="N295" s="29" t="str">
        <f aca="false">IF($M295="","",IF($M295="Critical",3000,IF($M295="Warning",2000,1000))+$L295+ROW()/100000)</f>
        <v/>
      </c>
      <c r="O295" s="29" t="str">
        <f aca="false">IF($K295="Open",IF($C295="Conflict","decide "&amp;$A295&amp;": &lt;which version stands&gt;","decide "&amp;$A295&amp;": &lt;outcome&gt;"),IF($K295="Unconfirmed","confirm "&amp;$A295,""))</f>
        <v/>
      </c>
    </row>
    <row r="296" customFormat="false" ht="15" hidden="false" customHeight="false" outlineLevel="0" collapsed="false">
      <c r="A296" s="24"/>
      <c r="B296" s="27"/>
      <c r="C296" s="28"/>
      <c r="D296" s="24"/>
      <c r="E296" s="24"/>
      <c r="F296" s="24"/>
      <c r="G296" s="28"/>
      <c r="H296" s="28"/>
      <c r="I296" s="24"/>
      <c r="J296" s="24"/>
      <c r="K296" s="29" t="str">
        <f aca="false">IF($A296="","",IF(OR($C296="Decision",$C296="Conflict"),IF(COUNTIFS($I$2:$I$1001,$A296,$C$2:$C$1001,"Resolved")=0,"Open","Closed"),IF(AND($H296="Unconfirmed",OR($C296="New",$C296="Know")),IF(COUNTIFS($I$2:$I$1001,$A296,$C$2:$C$1001,"Confirmed")=0,"Unconfirmed","Confirmed"),"Logged")))</f>
        <v/>
      </c>
      <c r="L296" s="29" t="str">
        <f aca="false">IF($A296="","",AsOf-$B296)</f>
        <v/>
      </c>
      <c r="M296" s="29" t="str">
        <f aca="false">IF($K296="Open",IF($C296="Conflict","Critical",IF($L296&gt;=DecisionCritical,"Critical",IF($L296&gt;=DecisionWarn,"Warning","On track"))),IF($K296="Unconfirmed",IF($L296&gt;=UnconfirmedWarn,"Warning","On track"),""))</f>
        <v/>
      </c>
      <c r="N296" s="29" t="str">
        <f aca="false">IF($M296="","",IF($M296="Critical",3000,IF($M296="Warning",2000,1000))+$L296+ROW()/100000)</f>
        <v/>
      </c>
      <c r="O296" s="29" t="str">
        <f aca="false">IF($K296="Open",IF($C296="Conflict","decide "&amp;$A296&amp;": &lt;which version stands&gt;","decide "&amp;$A296&amp;": &lt;outcome&gt;"),IF($K296="Unconfirmed","confirm "&amp;$A296,""))</f>
        <v/>
      </c>
    </row>
    <row r="297" customFormat="false" ht="15" hidden="false" customHeight="false" outlineLevel="0" collapsed="false">
      <c r="A297" s="24"/>
      <c r="B297" s="27"/>
      <c r="C297" s="28"/>
      <c r="D297" s="24"/>
      <c r="E297" s="24"/>
      <c r="F297" s="24"/>
      <c r="G297" s="28"/>
      <c r="H297" s="28"/>
      <c r="I297" s="24"/>
      <c r="J297" s="24"/>
      <c r="K297" s="29" t="str">
        <f aca="false">IF($A297="","",IF(OR($C297="Decision",$C297="Conflict"),IF(COUNTIFS($I$2:$I$1001,$A297,$C$2:$C$1001,"Resolved")=0,"Open","Closed"),IF(AND($H297="Unconfirmed",OR($C297="New",$C297="Know")),IF(COUNTIFS($I$2:$I$1001,$A297,$C$2:$C$1001,"Confirmed")=0,"Unconfirmed","Confirmed"),"Logged")))</f>
        <v/>
      </c>
      <c r="L297" s="29" t="str">
        <f aca="false">IF($A297="","",AsOf-$B297)</f>
        <v/>
      </c>
      <c r="M297" s="29" t="str">
        <f aca="false">IF($K297="Open",IF($C297="Conflict","Critical",IF($L297&gt;=DecisionCritical,"Critical",IF($L297&gt;=DecisionWarn,"Warning","On track"))),IF($K297="Unconfirmed",IF($L297&gt;=UnconfirmedWarn,"Warning","On track"),""))</f>
        <v/>
      </c>
      <c r="N297" s="29" t="str">
        <f aca="false">IF($M297="","",IF($M297="Critical",3000,IF($M297="Warning",2000,1000))+$L297+ROW()/100000)</f>
        <v/>
      </c>
      <c r="O297" s="29" t="str">
        <f aca="false">IF($K297="Open",IF($C297="Conflict","decide "&amp;$A297&amp;": &lt;which version stands&gt;","decide "&amp;$A297&amp;": &lt;outcome&gt;"),IF($K297="Unconfirmed","confirm "&amp;$A297,""))</f>
        <v/>
      </c>
    </row>
    <row r="298" customFormat="false" ht="15" hidden="false" customHeight="false" outlineLevel="0" collapsed="false">
      <c r="A298" s="24"/>
      <c r="B298" s="27"/>
      <c r="C298" s="28"/>
      <c r="D298" s="24"/>
      <c r="E298" s="24"/>
      <c r="F298" s="24"/>
      <c r="G298" s="28"/>
      <c r="H298" s="28"/>
      <c r="I298" s="24"/>
      <c r="J298" s="24"/>
      <c r="K298" s="29" t="str">
        <f aca="false">IF($A298="","",IF(OR($C298="Decision",$C298="Conflict"),IF(COUNTIFS($I$2:$I$1001,$A298,$C$2:$C$1001,"Resolved")=0,"Open","Closed"),IF(AND($H298="Unconfirmed",OR($C298="New",$C298="Know")),IF(COUNTIFS($I$2:$I$1001,$A298,$C$2:$C$1001,"Confirmed")=0,"Unconfirmed","Confirmed"),"Logged")))</f>
        <v/>
      </c>
      <c r="L298" s="29" t="str">
        <f aca="false">IF($A298="","",AsOf-$B298)</f>
        <v/>
      </c>
      <c r="M298" s="29" t="str">
        <f aca="false">IF($K298="Open",IF($C298="Conflict","Critical",IF($L298&gt;=DecisionCritical,"Critical",IF($L298&gt;=DecisionWarn,"Warning","On track"))),IF($K298="Unconfirmed",IF($L298&gt;=UnconfirmedWarn,"Warning","On track"),""))</f>
        <v/>
      </c>
      <c r="N298" s="29" t="str">
        <f aca="false">IF($M298="","",IF($M298="Critical",3000,IF($M298="Warning",2000,1000))+$L298+ROW()/100000)</f>
        <v/>
      </c>
      <c r="O298" s="29" t="str">
        <f aca="false">IF($K298="Open",IF($C298="Conflict","decide "&amp;$A298&amp;": &lt;which version stands&gt;","decide "&amp;$A298&amp;": &lt;outcome&gt;"),IF($K298="Unconfirmed","confirm "&amp;$A298,""))</f>
        <v/>
      </c>
    </row>
    <row r="299" customFormat="false" ht="15" hidden="false" customHeight="false" outlineLevel="0" collapsed="false">
      <c r="A299" s="24"/>
      <c r="B299" s="27"/>
      <c r="C299" s="28"/>
      <c r="D299" s="24"/>
      <c r="E299" s="24"/>
      <c r="F299" s="24"/>
      <c r="G299" s="28"/>
      <c r="H299" s="28"/>
      <c r="I299" s="24"/>
      <c r="J299" s="24"/>
      <c r="K299" s="29" t="str">
        <f aca="false">IF($A299="","",IF(OR($C299="Decision",$C299="Conflict"),IF(COUNTIFS($I$2:$I$1001,$A299,$C$2:$C$1001,"Resolved")=0,"Open","Closed"),IF(AND($H299="Unconfirmed",OR($C299="New",$C299="Know")),IF(COUNTIFS($I$2:$I$1001,$A299,$C$2:$C$1001,"Confirmed")=0,"Unconfirmed","Confirmed"),"Logged")))</f>
        <v/>
      </c>
      <c r="L299" s="29" t="str">
        <f aca="false">IF($A299="","",AsOf-$B299)</f>
        <v/>
      </c>
      <c r="M299" s="29" t="str">
        <f aca="false">IF($K299="Open",IF($C299="Conflict","Critical",IF($L299&gt;=DecisionCritical,"Critical",IF($L299&gt;=DecisionWarn,"Warning","On track"))),IF($K299="Unconfirmed",IF($L299&gt;=UnconfirmedWarn,"Warning","On track"),""))</f>
        <v/>
      </c>
      <c r="N299" s="29" t="str">
        <f aca="false">IF($M299="","",IF($M299="Critical",3000,IF($M299="Warning",2000,1000))+$L299+ROW()/100000)</f>
        <v/>
      </c>
      <c r="O299" s="29" t="str">
        <f aca="false">IF($K299="Open",IF($C299="Conflict","decide "&amp;$A299&amp;": &lt;which version stands&gt;","decide "&amp;$A299&amp;": &lt;outcome&gt;"),IF($K299="Unconfirmed","confirm "&amp;$A299,""))</f>
        <v/>
      </c>
    </row>
    <row r="300" customFormat="false" ht="15" hidden="false" customHeight="false" outlineLevel="0" collapsed="false">
      <c r="A300" s="24"/>
      <c r="B300" s="27"/>
      <c r="C300" s="28"/>
      <c r="D300" s="24"/>
      <c r="E300" s="24"/>
      <c r="F300" s="24"/>
      <c r="G300" s="28"/>
      <c r="H300" s="28"/>
      <c r="I300" s="24"/>
      <c r="J300" s="24"/>
      <c r="K300" s="29" t="str">
        <f aca="false">IF($A300="","",IF(OR($C300="Decision",$C300="Conflict"),IF(COUNTIFS($I$2:$I$1001,$A300,$C$2:$C$1001,"Resolved")=0,"Open","Closed"),IF(AND($H300="Unconfirmed",OR($C300="New",$C300="Know")),IF(COUNTIFS($I$2:$I$1001,$A300,$C$2:$C$1001,"Confirmed")=0,"Unconfirmed","Confirmed"),"Logged")))</f>
        <v/>
      </c>
      <c r="L300" s="29" t="str">
        <f aca="false">IF($A300="","",AsOf-$B300)</f>
        <v/>
      </c>
      <c r="M300" s="29" t="str">
        <f aca="false">IF($K300="Open",IF($C300="Conflict","Critical",IF($L300&gt;=DecisionCritical,"Critical",IF($L300&gt;=DecisionWarn,"Warning","On track"))),IF($K300="Unconfirmed",IF($L300&gt;=UnconfirmedWarn,"Warning","On track"),""))</f>
        <v/>
      </c>
      <c r="N300" s="29" t="str">
        <f aca="false">IF($M300="","",IF($M300="Critical",3000,IF($M300="Warning",2000,1000))+$L300+ROW()/100000)</f>
        <v/>
      </c>
      <c r="O300" s="29" t="str">
        <f aca="false">IF($K300="Open",IF($C300="Conflict","decide "&amp;$A300&amp;": &lt;which version stands&gt;","decide "&amp;$A300&amp;": &lt;outcome&gt;"),IF($K300="Unconfirmed","confirm "&amp;$A300,""))</f>
        <v/>
      </c>
    </row>
    <row r="301" customFormat="false" ht="15" hidden="false" customHeight="false" outlineLevel="0" collapsed="false">
      <c r="A301" s="24"/>
      <c r="B301" s="27"/>
      <c r="C301" s="28"/>
      <c r="D301" s="24"/>
      <c r="E301" s="24"/>
      <c r="F301" s="24"/>
      <c r="G301" s="28"/>
      <c r="H301" s="28"/>
      <c r="I301" s="24"/>
      <c r="J301" s="24"/>
      <c r="K301" s="29" t="str">
        <f aca="false">IF($A301="","",IF(OR($C301="Decision",$C301="Conflict"),IF(COUNTIFS($I$2:$I$1001,$A301,$C$2:$C$1001,"Resolved")=0,"Open","Closed"),IF(AND($H301="Unconfirmed",OR($C301="New",$C301="Know")),IF(COUNTIFS($I$2:$I$1001,$A301,$C$2:$C$1001,"Confirmed")=0,"Unconfirmed","Confirmed"),"Logged")))</f>
        <v/>
      </c>
      <c r="L301" s="29" t="str">
        <f aca="false">IF($A301="","",AsOf-$B301)</f>
        <v/>
      </c>
      <c r="M301" s="29" t="str">
        <f aca="false">IF($K301="Open",IF($C301="Conflict","Critical",IF($L301&gt;=DecisionCritical,"Critical",IF($L301&gt;=DecisionWarn,"Warning","On track"))),IF($K301="Unconfirmed",IF($L301&gt;=UnconfirmedWarn,"Warning","On track"),""))</f>
        <v/>
      </c>
      <c r="N301" s="29" t="str">
        <f aca="false">IF($M301="","",IF($M301="Critical",3000,IF($M301="Warning",2000,1000))+$L301+ROW()/100000)</f>
        <v/>
      </c>
      <c r="O301" s="29" t="str">
        <f aca="false">IF($K301="Open",IF($C301="Conflict","decide "&amp;$A301&amp;": &lt;which version stands&gt;","decide "&amp;$A301&amp;": &lt;outcome&gt;"),IF($K301="Unconfirmed","confirm "&amp;$A301,""))</f>
        <v/>
      </c>
    </row>
    <row r="302" customFormat="false" ht="15" hidden="false" customHeight="false" outlineLevel="0" collapsed="false">
      <c r="A302" s="24"/>
      <c r="B302" s="27"/>
      <c r="C302" s="28"/>
      <c r="D302" s="24"/>
      <c r="E302" s="24"/>
      <c r="F302" s="24"/>
      <c r="G302" s="28"/>
      <c r="H302" s="28"/>
      <c r="I302" s="24"/>
      <c r="J302" s="24"/>
      <c r="K302" s="29" t="str">
        <f aca="false">IF($A302="","",IF(OR($C302="Decision",$C302="Conflict"),IF(COUNTIFS($I$2:$I$1001,$A302,$C$2:$C$1001,"Resolved")=0,"Open","Closed"),IF(AND($H302="Unconfirmed",OR($C302="New",$C302="Know")),IF(COUNTIFS($I$2:$I$1001,$A302,$C$2:$C$1001,"Confirmed")=0,"Unconfirmed","Confirmed"),"Logged")))</f>
        <v/>
      </c>
      <c r="L302" s="29" t="str">
        <f aca="false">IF($A302="","",AsOf-$B302)</f>
        <v/>
      </c>
      <c r="M302" s="29" t="str">
        <f aca="false">IF($K302="Open",IF($C302="Conflict","Critical",IF($L302&gt;=DecisionCritical,"Critical",IF($L302&gt;=DecisionWarn,"Warning","On track"))),IF($K302="Unconfirmed",IF($L302&gt;=UnconfirmedWarn,"Warning","On track"),""))</f>
        <v/>
      </c>
      <c r="N302" s="29" t="str">
        <f aca="false">IF($M302="","",IF($M302="Critical",3000,IF($M302="Warning",2000,1000))+$L302+ROW()/100000)</f>
        <v/>
      </c>
      <c r="O302" s="29" t="str">
        <f aca="false">IF($K302="Open",IF($C302="Conflict","decide "&amp;$A302&amp;": &lt;which version stands&gt;","decide "&amp;$A302&amp;": &lt;outcome&gt;"),IF($K302="Unconfirmed","confirm "&amp;$A302,""))</f>
        <v/>
      </c>
    </row>
    <row r="303" customFormat="false" ht="15" hidden="false" customHeight="false" outlineLevel="0" collapsed="false">
      <c r="A303" s="24"/>
      <c r="B303" s="27"/>
      <c r="C303" s="28"/>
      <c r="D303" s="24"/>
      <c r="E303" s="24"/>
      <c r="F303" s="24"/>
      <c r="G303" s="28"/>
      <c r="H303" s="28"/>
      <c r="I303" s="24"/>
      <c r="J303" s="24"/>
      <c r="K303" s="29" t="str">
        <f aca="false">IF($A303="","",IF(OR($C303="Decision",$C303="Conflict"),IF(COUNTIFS($I$2:$I$1001,$A303,$C$2:$C$1001,"Resolved")=0,"Open","Closed"),IF(AND($H303="Unconfirmed",OR($C303="New",$C303="Know")),IF(COUNTIFS($I$2:$I$1001,$A303,$C$2:$C$1001,"Confirmed")=0,"Unconfirmed","Confirmed"),"Logged")))</f>
        <v/>
      </c>
      <c r="L303" s="29" t="str">
        <f aca="false">IF($A303="","",AsOf-$B303)</f>
        <v/>
      </c>
      <c r="M303" s="29" t="str">
        <f aca="false">IF($K303="Open",IF($C303="Conflict","Critical",IF($L303&gt;=DecisionCritical,"Critical",IF($L303&gt;=DecisionWarn,"Warning","On track"))),IF($K303="Unconfirmed",IF($L303&gt;=UnconfirmedWarn,"Warning","On track"),""))</f>
        <v/>
      </c>
      <c r="N303" s="29" t="str">
        <f aca="false">IF($M303="","",IF($M303="Critical",3000,IF($M303="Warning",2000,1000))+$L303+ROW()/100000)</f>
        <v/>
      </c>
      <c r="O303" s="29" t="str">
        <f aca="false">IF($K303="Open",IF($C303="Conflict","decide "&amp;$A303&amp;": &lt;which version stands&gt;","decide "&amp;$A303&amp;": &lt;outcome&gt;"),IF($K303="Unconfirmed","confirm "&amp;$A303,""))</f>
        <v/>
      </c>
    </row>
    <row r="304" customFormat="false" ht="15" hidden="false" customHeight="false" outlineLevel="0" collapsed="false">
      <c r="A304" s="24"/>
      <c r="B304" s="27"/>
      <c r="C304" s="28"/>
      <c r="D304" s="24"/>
      <c r="E304" s="24"/>
      <c r="F304" s="24"/>
      <c r="G304" s="28"/>
      <c r="H304" s="28"/>
      <c r="I304" s="24"/>
      <c r="J304" s="24"/>
      <c r="K304" s="29" t="str">
        <f aca="false">IF($A304="","",IF(OR($C304="Decision",$C304="Conflict"),IF(COUNTIFS($I$2:$I$1001,$A304,$C$2:$C$1001,"Resolved")=0,"Open","Closed"),IF(AND($H304="Unconfirmed",OR($C304="New",$C304="Know")),IF(COUNTIFS($I$2:$I$1001,$A304,$C$2:$C$1001,"Confirmed")=0,"Unconfirmed","Confirmed"),"Logged")))</f>
        <v/>
      </c>
      <c r="L304" s="29" t="str">
        <f aca="false">IF($A304="","",AsOf-$B304)</f>
        <v/>
      </c>
      <c r="M304" s="29" t="str">
        <f aca="false">IF($K304="Open",IF($C304="Conflict","Critical",IF($L304&gt;=DecisionCritical,"Critical",IF($L304&gt;=DecisionWarn,"Warning","On track"))),IF($K304="Unconfirmed",IF($L304&gt;=UnconfirmedWarn,"Warning","On track"),""))</f>
        <v/>
      </c>
      <c r="N304" s="29" t="str">
        <f aca="false">IF($M304="","",IF($M304="Critical",3000,IF($M304="Warning",2000,1000))+$L304+ROW()/100000)</f>
        <v/>
      </c>
      <c r="O304" s="29" t="str">
        <f aca="false">IF($K304="Open",IF($C304="Conflict","decide "&amp;$A304&amp;": &lt;which version stands&gt;","decide "&amp;$A304&amp;": &lt;outcome&gt;"),IF($K304="Unconfirmed","confirm "&amp;$A304,""))</f>
        <v/>
      </c>
    </row>
    <row r="305" customFormat="false" ht="15" hidden="false" customHeight="false" outlineLevel="0" collapsed="false">
      <c r="A305" s="24"/>
      <c r="B305" s="27"/>
      <c r="C305" s="28"/>
      <c r="D305" s="24"/>
      <c r="E305" s="24"/>
      <c r="F305" s="24"/>
      <c r="G305" s="28"/>
      <c r="H305" s="28"/>
      <c r="I305" s="24"/>
      <c r="J305" s="24"/>
      <c r="K305" s="29" t="str">
        <f aca="false">IF($A305="","",IF(OR($C305="Decision",$C305="Conflict"),IF(COUNTIFS($I$2:$I$1001,$A305,$C$2:$C$1001,"Resolved")=0,"Open","Closed"),IF(AND($H305="Unconfirmed",OR($C305="New",$C305="Know")),IF(COUNTIFS($I$2:$I$1001,$A305,$C$2:$C$1001,"Confirmed")=0,"Unconfirmed","Confirmed"),"Logged")))</f>
        <v/>
      </c>
      <c r="L305" s="29" t="str">
        <f aca="false">IF($A305="","",AsOf-$B305)</f>
        <v/>
      </c>
      <c r="M305" s="29" t="str">
        <f aca="false">IF($K305="Open",IF($C305="Conflict","Critical",IF($L305&gt;=DecisionCritical,"Critical",IF($L305&gt;=DecisionWarn,"Warning","On track"))),IF($K305="Unconfirmed",IF($L305&gt;=UnconfirmedWarn,"Warning","On track"),""))</f>
        <v/>
      </c>
      <c r="N305" s="29" t="str">
        <f aca="false">IF($M305="","",IF($M305="Critical",3000,IF($M305="Warning",2000,1000))+$L305+ROW()/100000)</f>
        <v/>
      </c>
      <c r="O305" s="29" t="str">
        <f aca="false">IF($K305="Open",IF($C305="Conflict","decide "&amp;$A305&amp;": &lt;which version stands&gt;","decide "&amp;$A305&amp;": &lt;outcome&gt;"),IF($K305="Unconfirmed","confirm "&amp;$A305,""))</f>
        <v/>
      </c>
    </row>
    <row r="306" customFormat="false" ht="15" hidden="false" customHeight="false" outlineLevel="0" collapsed="false">
      <c r="A306" s="24"/>
      <c r="B306" s="27"/>
      <c r="C306" s="28"/>
      <c r="D306" s="24"/>
      <c r="E306" s="24"/>
      <c r="F306" s="24"/>
      <c r="G306" s="28"/>
      <c r="H306" s="28"/>
      <c r="I306" s="24"/>
      <c r="J306" s="24"/>
      <c r="K306" s="29" t="str">
        <f aca="false">IF($A306="","",IF(OR($C306="Decision",$C306="Conflict"),IF(COUNTIFS($I$2:$I$1001,$A306,$C$2:$C$1001,"Resolved")=0,"Open","Closed"),IF(AND($H306="Unconfirmed",OR($C306="New",$C306="Know")),IF(COUNTIFS($I$2:$I$1001,$A306,$C$2:$C$1001,"Confirmed")=0,"Unconfirmed","Confirmed"),"Logged")))</f>
        <v/>
      </c>
      <c r="L306" s="29" t="str">
        <f aca="false">IF($A306="","",AsOf-$B306)</f>
        <v/>
      </c>
      <c r="M306" s="29" t="str">
        <f aca="false">IF($K306="Open",IF($C306="Conflict","Critical",IF($L306&gt;=DecisionCritical,"Critical",IF($L306&gt;=DecisionWarn,"Warning","On track"))),IF($K306="Unconfirmed",IF($L306&gt;=UnconfirmedWarn,"Warning","On track"),""))</f>
        <v/>
      </c>
      <c r="N306" s="29" t="str">
        <f aca="false">IF($M306="","",IF($M306="Critical",3000,IF($M306="Warning",2000,1000))+$L306+ROW()/100000)</f>
        <v/>
      </c>
      <c r="O306" s="29" t="str">
        <f aca="false">IF($K306="Open",IF($C306="Conflict","decide "&amp;$A306&amp;": &lt;which version stands&gt;","decide "&amp;$A306&amp;": &lt;outcome&gt;"),IF($K306="Unconfirmed","confirm "&amp;$A306,""))</f>
        <v/>
      </c>
    </row>
    <row r="307" customFormat="false" ht="15" hidden="false" customHeight="false" outlineLevel="0" collapsed="false">
      <c r="A307" s="24"/>
      <c r="B307" s="27"/>
      <c r="C307" s="28"/>
      <c r="D307" s="24"/>
      <c r="E307" s="24"/>
      <c r="F307" s="24"/>
      <c r="G307" s="28"/>
      <c r="H307" s="28"/>
      <c r="I307" s="24"/>
      <c r="J307" s="24"/>
      <c r="K307" s="29" t="str">
        <f aca="false">IF($A307="","",IF(OR($C307="Decision",$C307="Conflict"),IF(COUNTIFS($I$2:$I$1001,$A307,$C$2:$C$1001,"Resolved")=0,"Open","Closed"),IF(AND($H307="Unconfirmed",OR($C307="New",$C307="Know")),IF(COUNTIFS($I$2:$I$1001,$A307,$C$2:$C$1001,"Confirmed")=0,"Unconfirmed","Confirmed"),"Logged")))</f>
        <v/>
      </c>
      <c r="L307" s="29" t="str">
        <f aca="false">IF($A307="","",AsOf-$B307)</f>
        <v/>
      </c>
      <c r="M307" s="29" t="str">
        <f aca="false">IF($K307="Open",IF($C307="Conflict","Critical",IF($L307&gt;=DecisionCritical,"Critical",IF($L307&gt;=DecisionWarn,"Warning","On track"))),IF($K307="Unconfirmed",IF($L307&gt;=UnconfirmedWarn,"Warning","On track"),""))</f>
        <v/>
      </c>
      <c r="N307" s="29" t="str">
        <f aca="false">IF($M307="","",IF($M307="Critical",3000,IF($M307="Warning",2000,1000))+$L307+ROW()/100000)</f>
        <v/>
      </c>
      <c r="O307" s="29" t="str">
        <f aca="false">IF($K307="Open",IF($C307="Conflict","decide "&amp;$A307&amp;": &lt;which version stands&gt;","decide "&amp;$A307&amp;": &lt;outcome&gt;"),IF($K307="Unconfirmed","confirm "&amp;$A307,""))</f>
        <v/>
      </c>
    </row>
    <row r="308" customFormat="false" ht="15" hidden="false" customHeight="false" outlineLevel="0" collapsed="false">
      <c r="A308" s="24"/>
      <c r="B308" s="27"/>
      <c r="C308" s="28"/>
      <c r="D308" s="24"/>
      <c r="E308" s="24"/>
      <c r="F308" s="24"/>
      <c r="G308" s="28"/>
      <c r="H308" s="28"/>
      <c r="I308" s="24"/>
      <c r="J308" s="24"/>
      <c r="K308" s="29" t="str">
        <f aca="false">IF($A308="","",IF(OR($C308="Decision",$C308="Conflict"),IF(COUNTIFS($I$2:$I$1001,$A308,$C$2:$C$1001,"Resolved")=0,"Open","Closed"),IF(AND($H308="Unconfirmed",OR($C308="New",$C308="Know")),IF(COUNTIFS($I$2:$I$1001,$A308,$C$2:$C$1001,"Confirmed")=0,"Unconfirmed","Confirmed"),"Logged")))</f>
        <v/>
      </c>
      <c r="L308" s="29" t="str">
        <f aca="false">IF($A308="","",AsOf-$B308)</f>
        <v/>
      </c>
      <c r="M308" s="29" t="str">
        <f aca="false">IF($K308="Open",IF($C308="Conflict","Critical",IF($L308&gt;=DecisionCritical,"Critical",IF($L308&gt;=DecisionWarn,"Warning","On track"))),IF($K308="Unconfirmed",IF($L308&gt;=UnconfirmedWarn,"Warning","On track"),""))</f>
        <v/>
      </c>
      <c r="N308" s="29" t="str">
        <f aca="false">IF($M308="","",IF($M308="Critical",3000,IF($M308="Warning",2000,1000))+$L308+ROW()/100000)</f>
        <v/>
      </c>
      <c r="O308" s="29" t="str">
        <f aca="false">IF($K308="Open",IF($C308="Conflict","decide "&amp;$A308&amp;": &lt;which version stands&gt;","decide "&amp;$A308&amp;": &lt;outcome&gt;"),IF($K308="Unconfirmed","confirm "&amp;$A308,""))</f>
        <v/>
      </c>
    </row>
    <row r="309" customFormat="false" ht="15" hidden="false" customHeight="false" outlineLevel="0" collapsed="false">
      <c r="A309" s="24"/>
      <c r="B309" s="27"/>
      <c r="C309" s="28"/>
      <c r="D309" s="24"/>
      <c r="E309" s="24"/>
      <c r="F309" s="24"/>
      <c r="G309" s="28"/>
      <c r="H309" s="28"/>
      <c r="I309" s="24"/>
      <c r="J309" s="24"/>
      <c r="K309" s="29" t="str">
        <f aca="false">IF($A309="","",IF(OR($C309="Decision",$C309="Conflict"),IF(COUNTIFS($I$2:$I$1001,$A309,$C$2:$C$1001,"Resolved")=0,"Open","Closed"),IF(AND($H309="Unconfirmed",OR($C309="New",$C309="Know")),IF(COUNTIFS($I$2:$I$1001,$A309,$C$2:$C$1001,"Confirmed")=0,"Unconfirmed","Confirmed"),"Logged")))</f>
        <v/>
      </c>
      <c r="L309" s="29" t="str">
        <f aca="false">IF($A309="","",AsOf-$B309)</f>
        <v/>
      </c>
      <c r="M309" s="29" t="str">
        <f aca="false">IF($K309="Open",IF($C309="Conflict","Critical",IF($L309&gt;=DecisionCritical,"Critical",IF($L309&gt;=DecisionWarn,"Warning","On track"))),IF($K309="Unconfirmed",IF($L309&gt;=UnconfirmedWarn,"Warning","On track"),""))</f>
        <v/>
      </c>
      <c r="N309" s="29" t="str">
        <f aca="false">IF($M309="","",IF($M309="Critical",3000,IF($M309="Warning",2000,1000))+$L309+ROW()/100000)</f>
        <v/>
      </c>
      <c r="O309" s="29" t="str">
        <f aca="false">IF($K309="Open",IF($C309="Conflict","decide "&amp;$A309&amp;": &lt;which version stands&gt;","decide "&amp;$A309&amp;": &lt;outcome&gt;"),IF($K309="Unconfirmed","confirm "&amp;$A309,""))</f>
        <v/>
      </c>
    </row>
    <row r="310" customFormat="false" ht="15" hidden="false" customHeight="false" outlineLevel="0" collapsed="false">
      <c r="A310" s="24"/>
      <c r="B310" s="27"/>
      <c r="C310" s="28"/>
      <c r="D310" s="24"/>
      <c r="E310" s="24"/>
      <c r="F310" s="24"/>
      <c r="G310" s="28"/>
      <c r="H310" s="28"/>
      <c r="I310" s="24"/>
      <c r="J310" s="24"/>
      <c r="K310" s="29" t="str">
        <f aca="false">IF($A310="","",IF(OR($C310="Decision",$C310="Conflict"),IF(COUNTIFS($I$2:$I$1001,$A310,$C$2:$C$1001,"Resolved")=0,"Open","Closed"),IF(AND($H310="Unconfirmed",OR($C310="New",$C310="Know")),IF(COUNTIFS($I$2:$I$1001,$A310,$C$2:$C$1001,"Confirmed")=0,"Unconfirmed","Confirmed"),"Logged")))</f>
        <v/>
      </c>
      <c r="L310" s="29" t="str">
        <f aca="false">IF($A310="","",AsOf-$B310)</f>
        <v/>
      </c>
      <c r="M310" s="29" t="str">
        <f aca="false">IF($K310="Open",IF($C310="Conflict","Critical",IF($L310&gt;=DecisionCritical,"Critical",IF($L310&gt;=DecisionWarn,"Warning","On track"))),IF($K310="Unconfirmed",IF($L310&gt;=UnconfirmedWarn,"Warning","On track"),""))</f>
        <v/>
      </c>
      <c r="N310" s="29" t="str">
        <f aca="false">IF($M310="","",IF($M310="Critical",3000,IF($M310="Warning",2000,1000))+$L310+ROW()/100000)</f>
        <v/>
      </c>
      <c r="O310" s="29" t="str">
        <f aca="false">IF($K310="Open",IF($C310="Conflict","decide "&amp;$A310&amp;": &lt;which version stands&gt;","decide "&amp;$A310&amp;": &lt;outcome&gt;"),IF($K310="Unconfirmed","confirm "&amp;$A310,""))</f>
        <v/>
      </c>
    </row>
    <row r="311" customFormat="false" ht="15" hidden="false" customHeight="false" outlineLevel="0" collapsed="false">
      <c r="A311" s="24"/>
      <c r="B311" s="27"/>
      <c r="C311" s="28"/>
      <c r="D311" s="24"/>
      <c r="E311" s="24"/>
      <c r="F311" s="24"/>
      <c r="G311" s="28"/>
      <c r="H311" s="28"/>
      <c r="I311" s="24"/>
      <c r="J311" s="24"/>
      <c r="K311" s="29" t="str">
        <f aca="false">IF($A311="","",IF(OR($C311="Decision",$C311="Conflict"),IF(COUNTIFS($I$2:$I$1001,$A311,$C$2:$C$1001,"Resolved")=0,"Open","Closed"),IF(AND($H311="Unconfirmed",OR($C311="New",$C311="Know")),IF(COUNTIFS($I$2:$I$1001,$A311,$C$2:$C$1001,"Confirmed")=0,"Unconfirmed","Confirmed"),"Logged")))</f>
        <v/>
      </c>
      <c r="L311" s="29" t="str">
        <f aca="false">IF($A311="","",AsOf-$B311)</f>
        <v/>
      </c>
      <c r="M311" s="29" t="str">
        <f aca="false">IF($K311="Open",IF($C311="Conflict","Critical",IF($L311&gt;=DecisionCritical,"Critical",IF($L311&gt;=DecisionWarn,"Warning","On track"))),IF($K311="Unconfirmed",IF($L311&gt;=UnconfirmedWarn,"Warning","On track"),""))</f>
        <v/>
      </c>
      <c r="N311" s="29" t="str">
        <f aca="false">IF($M311="","",IF($M311="Critical",3000,IF($M311="Warning",2000,1000))+$L311+ROW()/100000)</f>
        <v/>
      </c>
      <c r="O311" s="29" t="str">
        <f aca="false">IF($K311="Open",IF($C311="Conflict","decide "&amp;$A311&amp;": &lt;which version stands&gt;","decide "&amp;$A311&amp;": &lt;outcome&gt;"),IF($K311="Unconfirmed","confirm "&amp;$A311,""))</f>
        <v/>
      </c>
    </row>
    <row r="312" customFormat="false" ht="15" hidden="false" customHeight="false" outlineLevel="0" collapsed="false">
      <c r="A312" s="24"/>
      <c r="B312" s="27"/>
      <c r="C312" s="28"/>
      <c r="D312" s="24"/>
      <c r="E312" s="24"/>
      <c r="F312" s="24"/>
      <c r="G312" s="28"/>
      <c r="H312" s="28"/>
      <c r="I312" s="24"/>
      <c r="J312" s="24"/>
      <c r="K312" s="29" t="str">
        <f aca="false">IF($A312="","",IF(OR($C312="Decision",$C312="Conflict"),IF(COUNTIFS($I$2:$I$1001,$A312,$C$2:$C$1001,"Resolved")=0,"Open","Closed"),IF(AND($H312="Unconfirmed",OR($C312="New",$C312="Know")),IF(COUNTIFS($I$2:$I$1001,$A312,$C$2:$C$1001,"Confirmed")=0,"Unconfirmed","Confirmed"),"Logged")))</f>
        <v/>
      </c>
      <c r="L312" s="29" t="str">
        <f aca="false">IF($A312="","",AsOf-$B312)</f>
        <v/>
      </c>
      <c r="M312" s="29" t="str">
        <f aca="false">IF($K312="Open",IF($C312="Conflict","Critical",IF($L312&gt;=DecisionCritical,"Critical",IF($L312&gt;=DecisionWarn,"Warning","On track"))),IF($K312="Unconfirmed",IF($L312&gt;=UnconfirmedWarn,"Warning","On track"),""))</f>
        <v/>
      </c>
      <c r="N312" s="29" t="str">
        <f aca="false">IF($M312="","",IF($M312="Critical",3000,IF($M312="Warning",2000,1000))+$L312+ROW()/100000)</f>
        <v/>
      </c>
      <c r="O312" s="29" t="str">
        <f aca="false">IF($K312="Open",IF($C312="Conflict","decide "&amp;$A312&amp;": &lt;which version stands&gt;","decide "&amp;$A312&amp;": &lt;outcome&gt;"),IF($K312="Unconfirmed","confirm "&amp;$A312,""))</f>
        <v/>
      </c>
    </row>
    <row r="313" customFormat="false" ht="15" hidden="false" customHeight="false" outlineLevel="0" collapsed="false">
      <c r="A313" s="24"/>
      <c r="B313" s="27"/>
      <c r="C313" s="28"/>
      <c r="D313" s="24"/>
      <c r="E313" s="24"/>
      <c r="F313" s="24"/>
      <c r="G313" s="28"/>
      <c r="H313" s="28"/>
      <c r="I313" s="24"/>
      <c r="J313" s="24"/>
      <c r="K313" s="29" t="str">
        <f aca="false">IF($A313="","",IF(OR($C313="Decision",$C313="Conflict"),IF(COUNTIFS($I$2:$I$1001,$A313,$C$2:$C$1001,"Resolved")=0,"Open","Closed"),IF(AND($H313="Unconfirmed",OR($C313="New",$C313="Know")),IF(COUNTIFS($I$2:$I$1001,$A313,$C$2:$C$1001,"Confirmed")=0,"Unconfirmed","Confirmed"),"Logged")))</f>
        <v/>
      </c>
      <c r="L313" s="29" t="str">
        <f aca="false">IF($A313="","",AsOf-$B313)</f>
        <v/>
      </c>
      <c r="M313" s="29" t="str">
        <f aca="false">IF($K313="Open",IF($C313="Conflict","Critical",IF($L313&gt;=DecisionCritical,"Critical",IF($L313&gt;=DecisionWarn,"Warning","On track"))),IF($K313="Unconfirmed",IF($L313&gt;=UnconfirmedWarn,"Warning","On track"),""))</f>
        <v/>
      </c>
      <c r="N313" s="29" t="str">
        <f aca="false">IF($M313="","",IF($M313="Critical",3000,IF($M313="Warning",2000,1000))+$L313+ROW()/100000)</f>
        <v/>
      </c>
      <c r="O313" s="29" t="str">
        <f aca="false">IF($K313="Open",IF($C313="Conflict","decide "&amp;$A313&amp;": &lt;which version stands&gt;","decide "&amp;$A313&amp;": &lt;outcome&gt;"),IF($K313="Unconfirmed","confirm "&amp;$A313,""))</f>
        <v/>
      </c>
    </row>
    <row r="314" customFormat="false" ht="15" hidden="false" customHeight="false" outlineLevel="0" collapsed="false">
      <c r="A314" s="24"/>
      <c r="B314" s="27"/>
      <c r="C314" s="28"/>
      <c r="D314" s="24"/>
      <c r="E314" s="24"/>
      <c r="F314" s="24"/>
      <c r="G314" s="28"/>
      <c r="H314" s="28"/>
      <c r="I314" s="24"/>
      <c r="J314" s="24"/>
      <c r="K314" s="29" t="str">
        <f aca="false">IF($A314="","",IF(OR($C314="Decision",$C314="Conflict"),IF(COUNTIFS($I$2:$I$1001,$A314,$C$2:$C$1001,"Resolved")=0,"Open","Closed"),IF(AND($H314="Unconfirmed",OR($C314="New",$C314="Know")),IF(COUNTIFS($I$2:$I$1001,$A314,$C$2:$C$1001,"Confirmed")=0,"Unconfirmed","Confirmed"),"Logged")))</f>
        <v/>
      </c>
      <c r="L314" s="29" t="str">
        <f aca="false">IF($A314="","",AsOf-$B314)</f>
        <v/>
      </c>
      <c r="M314" s="29" t="str">
        <f aca="false">IF($K314="Open",IF($C314="Conflict","Critical",IF($L314&gt;=DecisionCritical,"Critical",IF($L314&gt;=DecisionWarn,"Warning","On track"))),IF($K314="Unconfirmed",IF($L314&gt;=UnconfirmedWarn,"Warning","On track"),""))</f>
        <v/>
      </c>
      <c r="N314" s="29" t="str">
        <f aca="false">IF($M314="","",IF($M314="Critical",3000,IF($M314="Warning",2000,1000))+$L314+ROW()/100000)</f>
        <v/>
      </c>
      <c r="O314" s="29" t="str">
        <f aca="false">IF($K314="Open",IF($C314="Conflict","decide "&amp;$A314&amp;": &lt;which version stands&gt;","decide "&amp;$A314&amp;": &lt;outcome&gt;"),IF($K314="Unconfirmed","confirm "&amp;$A314,""))</f>
        <v/>
      </c>
    </row>
    <row r="315" customFormat="false" ht="15" hidden="false" customHeight="false" outlineLevel="0" collapsed="false">
      <c r="A315" s="24"/>
      <c r="B315" s="27"/>
      <c r="C315" s="28"/>
      <c r="D315" s="24"/>
      <c r="E315" s="24"/>
      <c r="F315" s="24"/>
      <c r="G315" s="28"/>
      <c r="H315" s="28"/>
      <c r="I315" s="24"/>
      <c r="J315" s="24"/>
      <c r="K315" s="29" t="str">
        <f aca="false">IF($A315="","",IF(OR($C315="Decision",$C315="Conflict"),IF(COUNTIFS($I$2:$I$1001,$A315,$C$2:$C$1001,"Resolved")=0,"Open","Closed"),IF(AND($H315="Unconfirmed",OR($C315="New",$C315="Know")),IF(COUNTIFS($I$2:$I$1001,$A315,$C$2:$C$1001,"Confirmed")=0,"Unconfirmed","Confirmed"),"Logged")))</f>
        <v/>
      </c>
      <c r="L315" s="29" t="str">
        <f aca="false">IF($A315="","",AsOf-$B315)</f>
        <v/>
      </c>
      <c r="M315" s="29" t="str">
        <f aca="false">IF($K315="Open",IF($C315="Conflict","Critical",IF($L315&gt;=DecisionCritical,"Critical",IF($L315&gt;=DecisionWarn,"Warning","On track"))),IF($K315="Unconfirmed",IF($L315&gt;=UnconfirmedWarn,"Warning","On track"),""))</f>
        <v/>
      </c>
      <c r="N315" s="29" t="str">
        <f aca="false">IF($M315="","",IF($M315="Critical",3000,IF($M315="Warning",2000,1000))+$L315+ROW()/100000)</f>
        <v/>
      </c>
      <c r="O315" s="29" t="str">
        <f aca="false">IF($K315="Open",IF($C315="Conflict","decide "&amp;$A315&amp;": &lt;which version stands&gt;","decide "&amp;$A315&amp;": &lt;outcome&gt;"),IF($K315="Unconfirmed","confirm "&amp;$A315,""))</f>
        <v/>
      </c>
    </row>
    <row r="316" customFormat="false" ht="15" hidden="false" customHeight="false" outlineLevel="0" collapsed="false">
      <c r="A316" s="24"/>
      <c r="B316" s="27"/>
      <c r="C316" s="28"/>
      <c r="D316" s="24"/>
      <c r="E316" s="24"/>
      <c r="F316" s="24"/>
      <c r="G316" s="28"/>
      <c r="H316" s="28"/>
      <c r="I316" s="24"/>
      <c r="J316" s="24"/>
      <c r="K316" s="29" t="str">
        <f aca="false">IF($A316="","",IF(OR($C316="Decision",$C316="Conflict"),IF(COUNTIFS($I$2:$I$1001,$A316,$C$2:$C$1001,"Resolved")=0,"Open","Closed"),IF(AND($H316="Unconfirmed",OR($C316="New",$C316="Know")),IF(COUNTIFS($I$2:$I$1001,$A316,$C$2:$C$1001,"Confirmed")=0,"Unconfirmed","Confirmed"),"Logged")))</f>
        <v/>
      </c>
      <c r="L316" s="29" t="str">
        <f aca="false">IF($A316="","",AsOf-$B316)</f>
        <v/>
      </c>
      <c r="M316" s="29" t="str">
        <f aca="false">IF($K316="Open",IF($C316="Conflict","Critical",IF($L316&gt;=DecisionCritical,"Critical",IF($L316&gt;=DecisionWarn,"Warning","On track"))),IF($K316="Unconfirmed",IF($L316&gt;=UnconfirmedWarn,"Warning","On track"),""))</f>
        <v/>
      </c>
      <c r="N316" s="29" t="str">
        <f aca="false">IF($M316="","",IF($M316="Critical",3000,IF($M316="Warning",2000,1000))+$L316+ROW()/100000)</f>
        <v/>
      </c>
      <c r="O316" s="29" t="str">
        <f aca="false">IF($K316="Open",IF($C316="Conflict","decide "&amp;$A316&amp;": &lt;which version stands&gt;","decide "&amp;$A316&amp;": &lt;outcome&gt;"),IF($K316="Unconfirmed","confirm "&amp;$A316,""))</f>
        <v/>
      </c>
    </row>
    <row r="317" customFormat="false" ht="15" hidden="false" customHeight="false" outlineLevel="0" collapsed="false">
      <c r="A317" s="24"/>
      <c r="B317" s="27"/>
      <c r="C317" s="28"/>
      <c r="D317" s="24"/>
      <c r="E317" s="24"/>
      <c r="F317" s="24"/>
      <c r="G317" s="28"/>
      <c r="H317" s="28"/>
      <c r="I317" s="24"/>
      <c r="J317" s="24"/>
      <c r="K317" s="29" t="str">
        <f aca="false">IF($A317="","",IF(OR($C317="Decision",$C317="Conflict"),IF(COUNTIFS($I$2:$I$1001,$A317,$C$2:$C$1001,"Resolved")=0,"Open","Closed"),IF(AND($H317="Unconfirmed",OR($C317="New",$C317="Know")),IF(COUNTIFS($I$2:$I$1001,$A317,$C$2:$C$1001,"Confirmed")=0,"Unconfirmed","Confirmed"),"Logged")))</f>
        <v/>
      </c>
      <c r="L317" s="29" t="str">
        <f aca="false">IF($A317="","",AsOf-$B317)</f>
        <v/>
      </c>
      <c r="M317" s="29" t="str">
        <f aca="false">IF($K317="Open",IF($C317="Conflict","Critical",IF($L317&gt;=DecisionCritical,"Critical",IF($L317&gt;=DecisionWarn,"Warning","On track"))),IF($K317="Unconfirmed",IF($L317&gt;=UnconfirmedWarn,"Warning","On track"),""))</f>
        <v/>
      </c>
      <c r="N317" s="29" t="str">
        <f aca="false">IF($M317="","",IF($M317="Critical",3000,IF($M317="Warning",2000,1000))+$L317+ROW()/100000)</f>
        <v/>
      </c>
      <c r="O317" s="29" t="str">
        <f aca="false">IF($K317="Open",IF($C317="Conflict","decide "&amp;$A317&amp;": &lt;which version stands&gt;","decide "&amp;$A317&amp;": &lt;outcome&gt;"),IF($K317="Unconfirmed","confirm "&amp;$A317,""))</f>
        <v/>
      </c>
    </row>
    <row r="318" customFormat="false" ht="15" hidden="false" customHeight="false" outlineLevel="0" collapsed="false">
      <c r="A318" s="24"/>
      <c r="B318" s="27"/>
      <c r="C318" s="28"/>
      <c r="D318" s="24"/>
      <c r="E318" s="24"/>
      <c r="F318" s="24"/>
      <c r="G318" s="28"/>
      <c r="H318" s="28"/>
      <c r="I318" s="24"/>
      <c r="J318" s="24"/>
      <c r="K318" s="29" t="str">
        <f aca="false">IF($A318="","",IF(OR($C318="Decision",$C318="Conflict"),IF(COUNTIFS($I$2:$I$1001,$A318,$C$2:$C$1001,"Resolved")=0,"Open","Closed"),IF(AND($H318="Unconfirmed",OR($C318="New",$C318="Know")),IF(COUNTIFS($I$2:$I$1001,$A318,$C$2:$C$1001,"Confirmed")=0,"Unconfirmed","Confirmed"),"Logged")))</f>
        <v/>
      </c>
      <c r="L318" s="29" t="str">
        <f aca="false">IF($A318="","",AsOf-$B318)</f>
        <v/>
      </c>
      <c r="M318" s="29" t="str">
        <f aca="false">IF($K318="Open",IF($C318="Conflict","Critical",IF($L318&gt;=DecisionCritical,"Critical",IF($L318&gt;=DecisionWarn,"Warning","On track"))),IF($K318="Unconfirmed",IF($L318&gt;=UnconfirmedWarn,"Warning","On track"),""))</f>
        <v/>
      </c>
      <c r="N318" s="29" t="str">
        <f aca="false">IF($M318="","",IF($M318="Critical",3000,IF($M318="Warning",2000,1000))+$L318+ROW()/100000)</f>
        <v/>
      </c>
      <c r="O318" s="29" t="str">
        <f aca="false">IF($K318="Open",IF($C318="Conflict","decide "&amp;$A318&amp;": &lt;which version stands&gt;","decide "&amp;$A318&amp;": &lt;outcome&gt;"),IF($K318="Unconfirmed","confirm "&amp;$A318,""))</f>
        <v/>
      </c>
    </row>
    <row r="319" customFormat="false" ht="15" hidden="false" customHeight="false" outlineLevel="0" collapsed="false">
      <c r="A319" s="24"/>
      <c r="B319" s="27"/>
      <c r="C319" s="28"/>
      <c r="D319" s="24"/>
      <c r="E319" s="24"/>
      <c r="F319" s="24"/>
      <c r="G319" s="28"/>
      <c r="H319" s="28"/>
      <c r="I319" s="24"/>
      <c r="J319" s="24"/>
      <c r="K319" s="29" t="str">
        <f aca="false">IF($A319="","",IF(OR($C319="Decision",$C319="Conflict"),IF(COUNTIFS($I$2:$I$1001,$A319,$C$2:$C$1001,"Resolved")=0,"Open","Closed"),IF(AND($H319="Unconfirmed",OR($C319="New",$C319="Know")),IF(COUNTIFS($I$2:$I$1001,$A319,$C$2:$C$1001,"Confirmed")=0,"Unconfirmed","Confirmed"),"Logged")))</f>
        <v/>
      </c>
      <c r="L319" s="29" t="str">
        <f aca="false">IF($A319="","",AsOf-$B319)</f>
        <v/>
      </c>
      <c r="M319" s="29" t="str">
        <f aca="false">IF($K319="Open",IF($C319="Conflict","Critical",IF($L319&gt;=DecisionCritical,"Critical",IF($L319&gt;=DecisionWarn,"Warning","On track"))),IF($K319="Unconfirmed",IF($L319&gt;=UnconfirmedWarn,"Warning","On track"),""))</f>
        <v/>
      </c>
      <c r="N319" s="29" t="str">
        <f aca="false">IF($M319="","",IF($M319="Critical",3000,IF($M319="Warning",2000,1000))+$L319+ROW()/100000)</f>
        <v/>
      </c>
      <c r="O319" s="29" t="str">
        <f aca="false">IF($K319="Open",IF($C319="Conflict","decide "&amp;$A319&amp;": &lt;which version stands&gt;","decide "&amp;$A319&amp;": &lt;outcome&gt;"),IF($K319="Unconfirmed","confirm "&amp;$A319,""))</f>
        <v/>
      </c>
    </row>
    <row r="320" customFormat="false" ht="15" hidden="false" customHeight="false" outlineLevel="0" collapsed="false">
      <c r="A320" s="24"/>
      <c r="B320" s="27"/>
      <c r="C320" s="28"/>
      <c r="D320" s="24"/>
      <c r="E320" s="24"/>
      <c r="F320" s="24"/>
      <c r="G320" s="28"/>
      <c r="H320" s="28"/>
      <c r="I320" s="24"/>
      <c r="J320" s="24"/>
      <c r="K320" s="29" t="str">
        <f aca="false">IF($A320="","",IF(OR($C320="Decision",$C320="Conflict"),IF(COUNTIFS($I$2:$I$1001,$A320,$C$2:$C$1001,"Resolved")=0,"Open","Closed"),IF(AND($H320="Unconfirmed",OR($C320="New",$C320="Know")),IF(COUNTIFS($I$2:$I$1001,$A320,$C$2:$C$1001,"Confirmed")=0,"Unconfirmed","Confirmed"),"Logged")))</f>
        <v/>
      </c>
      <c r="L320" s="29" t="str">
        <f aca="false">IF($A320="","",AsOf-$B320)</f>
        <v/>
      </c>
      <c r="M320" s="29" t="str">
        <f aca="false">IF($K320="Open",IF($C320="Conflict","Critical",IF($L320&gt;=DecisionCritical,"Critical",IF($L320&gt;=DecisionWarn,"Warning","On track"))),IF($K320="Unconfirmed",IF($L320&gt;=UnconfirmedWarn,"Warning","On track"),""))</f>
        <v/>
      </c>
      <c r="N320" s="29" t="str">
        <f aca="false">IF($M320="","",IF($M320="Critical",3000,IF($M320="Warning",2000,1000))+$L320+ROW()/100000)</f>
        <v/>
      </c>
      <c r="O320" s="29" t="str">
        <f aca="false">IF($K320="Open",IF($C320="Conflict","decide "&amp;$A320&amp;": &lt;which version stands&gt;","decide "&amp;$A320&amp;": &lt;outcome&gt;"),IF($K320="Unconfirmed","confirm "&amp;$A320,""))</f>
        <v/>
      </c>
    </row>
    <row r="321" customFormat="false" ht="15" hidden="false" customHeight="false" outlineLevel="0" collapsed="false">
      <c r="A321" s="24"/>
      <c r="B321" s="27"/>
      <c r="C321" s="28"/>
      <c r="D321" s="24"/>
      <c r="E321" s="24"/>
      <c r="F321" s="24"/>
      <c r="G321" s="28"/>
      <c r="H321" s="28"/>
      <c r="I321" s="24"/>
      <c r="J321" s="24"/>
      <c r="K321" s="29" t="str">
        <f aca="false">IF($A321="","",IF(OR($C321="Decision",$C321="Conflict"),IF(COUNTIFS($I$2:$I$1001,$A321,$C$2:$C$1001,"Resolved")=0,"Open","Closed"),IF(AND($H321="Unconfirmed",OR($C321="New",$C321="Know")),IF(COUNTIFS($I$2:$I$1001,$A321,$C$2:$C$1001,"Confirmed")=0,"Unconfirmed","Confirmed"),"Logged")))</f>
        <v/>
      </c>
      <c r="L321" s="29" t="str">
        <f aca="false">IF($A321="","",AsOf-$B321)</f>
        <v/>
      </c>
      <c r="M321" s="29" t="str">
        <f aca="false">IF($K321="Open",IF($C321="Conflict","Critical",IF($L321&gt;=DecisionCritical,"Critical",IF($L321&gt;=DecisionWarn,"Warning","On track"))),IF($K321="Unconfirmed",IF($L321&gt;=UnconfirmedWarn,"Warning","On track"),""))</f>
        <v/>
      </c>
      <c r="N321" s="29" t="str">
        <f aca="false">IF($M321="","",IF($M321="Critical",3000,IF($M321="Warning",2000,1000))+$L321+ROW()/100000)</f>
        <v/>
      </c>
      <c r="O321" s="29" t="str">
        <f aca="false">IF($K321="Open",IF($C321="Conflict","decide "&amp;$A321&amp;": &lt;which version stands&gt;","decide "&amp;$A321&amp;": &lt;outcome&gt;"),IF($K321="Unconfirmed","confirm "&amp;$A321,""))</f>
        <v/>
      </c>
    </row>
    <row r="322" customFormat="false" ht="15" hidden="false" customHeight="false" outlineLevel="0" collapsed="false">
      <c r="A322" s="24"/>
      <c r="B322" s="27"/>
      <c r="C322" s="28"/>
      <c r="D322" s="24"/>
      <c r="E322" s="24"/>
      <c r="F322" s="24"/>
      <c r="G322" s="28"/>
      <c r="H322" s="28"/>
      <c r="I322" s="24"/>
      <c r="J322" s="24"/>
      <c r="K322" s="29" t="str">
        <f aca="false">IF($A322="","",IF(OR($C322="Decision",$C322="Conflict"),IF(COUNTIFS($I$2:$I$1001,$A322,$C$2:$C$1001,"Resolved")=0,"Open","Closed"),IF(AND($H322="Unconfirmed",OR($C322="New",$C322="Know")),IF(COUNTIFS($I$2:$I$1001,$A322,$C$2:$C$1001,"Confirmed")=0,"Unconfirmed","Confirmed"),"Logged")))</f>
        <v/>
      </c>
      <c r="L322" s="29" t="str">
        <f aca="false">IF($A322="","",AsOf-$B322)</f>
        <v/>
      </c>
      <c r="M322" s="29" t="str">
        <f aca="false">IF($K322="Open",IF($C322="Conflict","Critical",IF($L322&gt;=DecisionCritical,"Critical",IF($L322&gt;=DecisionWarn,"Warning","On track"))),IF($K322="Unconfirmed",IF($L322&gt;=UnconfirmedWarn,"Warning","On track"),""))</f>
        <v/>
      </c>
      <c r="N322" s="29" t="str">
        <f aca="false">IF($M322="","",IF($M322="Critical",3000,IF($M322="Warning",2000,1000))+$L322+ROW()/100000)</f>
        <v/>
      </c>
      <c r="O322" s="29" t="str">
        <f aca="false">IF($K322="Open",IF($C322="Conflict","decide "&amp;$A322&amp;": &lt;which version stands&gt;","decide "&amp;$A322&amp;": &lt;outcome&gt;"),IF($K322="Unconfirmed","confirm "&amp;$A322,""))</f>
        <v/>
      </c>
    </row>
    <row r="323" customFormat="false" ht="15" hidden="false" customHeight="false" outlineLevel="0" collapsed="false">
      <c r="A323" s="24"/>
      <c r="B323" s="27"/>
      <c r="C323" s="28"/>
      <c r="D323" s="24"/>
      <c r="E323" s="24"/>
      <c r="F323" s="24"/>
      <c r="G323" s="28"/>
      <c r="H323" s="28"/>
      <c r="I323" s="24"/>
      <c r="J323" s="24"/>
      <c r="K323" s="29" t="str">
        <f aca="false">IF($A323="","",IF(OR($C323="Decision",$C323="Conflict"),IF(COUNTIFS($I$2:$I$1001,$A323,$C$2:$C$1001,"Resolved")=0,"Open","Closed"),IF(AND($H323="Unconfirmed",OR($C323="New",$C323="Know")),IF(COUNTIFS($I$2:$I$1001,$A323,$C$2:$C$1001,"Confirmed")=0,"Unconfirmed","Confirmed"),"Logged")))</f>
        <v/>
      </c>
      <c r="L323" s="29" t="str">
        <f aca="false">IF($A323="","",AsOf-$B323)</f>
        <v/>
      </c>
      <c r="M323" s="29" t="str">
        <f aca="false">IF($K323="Open",IF($C323="Conflict","Critical",IF($L323&gt;=DecisionCritical,"Critical",IF($L323&gt;=DecisionWarn,"Warning","On track"))),IF($K323="Unconfirmed",IF($L323&gt;=UnconfirmedWarn,"Warning","On track"),""))</f>
        <v/>
      </c>
      <c r="N323" s="29" t="str">
        <f aca="false">IF($M323="","",IF($M323="Critical",3000,IF($M323="Warning",2000,1000))+$L323+ROW()/100000)</f>
        <v/>
      </c>
      <c r="O323" s="29" t="str">
        <f aca="false">IF($K323="Open",IF($C323="Conflict","decide "&amp;$A323&amp;": &lt;which version stands&gt;","decide "&amp;$A323&amp;": &lt;outcome&gt;"),IF($K323="Unconfirmed","confirm "&amp;$A323,""))</f>
        <v/>
      </c>
    </row>
    <row r="324" customFormat="false" ht="15" hidden="false" customHeight="false" outlineLevel="0" collapsed="false">
      <c r="A324" s="24"/>
      <c r="B324" s="27"/>
      <c r="C324" s="28"/>
      <c r="D324" s="24"/>
      <c r="E324" s="24"/>
      <c r="F324" s="24"/>
      <c r="G324" s="28"/>
      <c r="H324" s="28"/>
      <c r="I324" s="24"/>
      <c r="J324" s="24"/>
      <c r="K324" s="29" t="str">
        <f aca="false">IF($A324="","",IF(OR($C324="Decision",$C324="Conflict"),IF(COUNTIFS($I$2:$I$1001,$A324,$C$2:$C$1001,"Resolved")=0,"Open","Closed"),IF(AND($H324="Unconfirmed",OR($C324="New",$C324="Know")),IF(COUNTIFS($I$2:$I$1001,$A324,$C$2:$C$1001,"Confirmed")=0,"Unconfirmed","Confirmed"),"Logged")))</f>
        <v/>
      </c>
      <c r="L324" s="29" t="str">
        <f aca="false">IF($A324="","",AsOf-$B324)</f>
        <v/>
      </c>
      <c r="M324" s="29" t="str">
        <f aca="false">IF($K324="Open",IF($C324="Conflict","Critical",IF($L324&gt;=DecisionCritical,"Critical",IF($L324&gt;=DecisionWarn,"Warning","On track"))),IF($K324="Unconfirmed",IF($L324&gt;=UnconfirmedWarn,"Warning","On track"),""))</f>
        <v/>
      </c>
      <c r="N324" s="29" t="str">
        <f aca="false">IF($M324="","",IF($M324="Critical",3000,IF($M324="Warning",2000,1000))+$L324+ROW()/100000)</f>
        <v/>
      </c>
      <c r="O324" s="29" t="str">
        <f aca="false">IF($K324="Open",IF($C324="Conflict","decide "&amp;$A324&amp;": &lt;which version stands&gt;","decide "&amp;$A324&amp;": &lt;outcome&gt;"),IF($K324="Unconfirmed","confirm "&amp;$A324,""))</f>
        <v/>
      </c>
    </row>
    <row r="325" customFormat="false" ht="15" hidden="false" customHeight="false" outlineLevel="0" collapsed="false">
      <c r="A325" s="24"/>
      <c r="B325" s="27"/>
      <c r="C325" s="28"/>
      <c r="D325" s="24"/>
      <c r="E325" s="24"/>
      <c r="F325" s="24"/>
      <c r="G325" s="28"/>
      <c r="H325" s="28"/>
      <c r="I325" s="24"/>
      <c r="J325" s="24"/>
      <c r="K325" s="29" t="str">
        <f aca="false">IF($A325="","",IF(OR($C325="Decision",$C325="Conflict"),IF(COUNTIFS($I$2:$I$1001,$A325,$C$2:$C$1001,"Resolved")=0,"Open","Closed"),IF(AND($H325="Unconfirmed",OR($C325="New",$C325="Know")),IF(COUNTIFS($I$2:$I$1001,$A325,$C$2:$C$1001,"Confirmed")=0,"Unconfirmed","Confirmed"),"Logged")))</f>
        <v/>
      </c>
      <c r="L325" s="29" t="str">
        <f aca="false">IF($A325="","",AsOf-$B325)</f>
        <v/>
      </c>
      <c r="M325" s="29" t="str">
        <f aca="false">IF($K325="Open",IF($C325="Conflict","Critical",IF($L325&gt;=DecisionCritical,"Critical",IF($L325&gt;=DecisionWarn,"Warning","On track"))),IF($K325="Unconfirmed",IF($L325&gt;=UnconfirmedWarn,"Warning","On track"),""))</f>
        <v/>
      </c>
      <c r="N325" s="29" t="str">
        <f aca="false">IF($M325="","",IF($M325="Critical",3000,IF($M325="Warning",2000,1000))+$L325+ROW()/100000)</f>
        <v/>
      </c>
      <c r="O325" s="29" t="str">
        <f aca="false">IF($K325="Open",IF($C325="Conflict","decide "&amp;$A325&amp;": &lt;which version stands&gt;","decide "&amp;$A325&amp;": &lt;outcome&gt;"),IF($K325="Unconfirmed","confirm "&amp;$A325,""))</f>
        <v/>
      </c>
    </row>
    <row r="326" customFormat="false" ht="15" hidden="false" customHeight="false" outlineLevel="0" collapsed="false">
      <c r="A326" s="24"/>
      <c r="B326" s="27"/>
      <c r="C326" s="28"/>
      <c r="D326" s="24"/>
      <c r="E326" s="24"/>
      <c r="F326" s="24"/>
      <c r="G326" s="28"/>
      <c r="H326" s="28"/>
      <c r="I326" s="24"/>
      <c r="J326" s="24"/>
      <c r="K326" s="29" t="str">
        <f aca="false">IF($A326="","",IF(OR($C326="Decision",$C326="Conflict"),IF(COUNTIFS($I$2:$I$1001,$A326,$C$2:$C$1001,"Resolved")=0,"Open","Closed"),IF(AND($H326="Unconfirmed",OR($C326="New",$C326="Know")),IF(COUNTIFS($I$2:$I$1001,$A326,$C$2:$C$1001,"Confirmed")=0,"Unconfirmed","Confirmed"),"Logged")))</f>
        <v/>
      </c>
      <c r="L326" s="29" t="str">
        <f aca="false">IF($A326="","",AsOf-$B326)</f>
        <v/>
      </c>
      <c r="M326" s="29" t="str">
        <f aca="false">IF($K326="Open",IF($C326="Conflict","Critical",IF($L326&gt;=DecisionCritical,"Critical",IF($L326&gt;=DecisionWarn,"Warning","On track"))),IF($K326="Unconfirmed",IF($L326&gt;=UnconfirmedWarn,"Warning","On track"),""))</f>
        <v/>
      </c>
      <c r="N326" s="29" t="str">
        <f aca="false">IF($M326="","",IF($M326="Critical",3000,IF($M326="Warning",2000,1000))+$L326+ROW()/100000)</f>
        <v/>
      </c>
      <c r="O326" s="29" t="str">
        <f aca="false">IF($K326="Open",IF($C326="Conflict","decide "&amp;$A326&amp;": &lt;which version stands&gt;","decide "&amp;$A326&amp;": &lt;outcome&gt;"),IF($K326="Unconfirmed","confirm "&amp;$A326,""))</f>
        <v/>
      </c>
    </row>
    <row r="327" customFormat="false" ht="15" hidden="false" customHeight="false" outlineLevel="0" collapsed="false">
      <c r="A327" s="24"/>
      <c r="B327" s="27"/>
      <c r="C327" s="28"/>
      <c r="D327" s="24"/>
      <c r="E327" s="24"/>
      <c r="F327" s="24"/>
      <c r="G327" s="28"/>
      <c r="H327" s="28"/>
      <c r="I327" s="24"/>
      <c r="J327" s="24"/>
      <c r="K327" s="29" t="str">
        <f aca="false">IF($A327="","",IF(OR($C327="Decision",$C327="Conflict"),IF(COUNTIFS($I$2:$I$1001,$A327,$C$2:$C$1001,"Resolved")=0,"Open","Closed"),IF(AND($H327="Unconfirmed",OR($C327="New",$C327="Know")),IF(COUNTIFS($I$2:$I$1001,$A327,$C$2:$C$1001,"Confirmed")=0,"Unconfirmed","Confirmed"),"Logged")))</f>
        <v/>
      </c>
      <c r="L327" s="29" t="str">
        <f aca="false">IF($A327="","",AsOf-$B327)</f>
        <v/>
      </c>
      <c r="M327" s="29" t="str">
        <f aca="false">IF($K327="Open",IF($C327="Conflict","Critical",IF($L327&gt;=DecisionCritical,"Critical",IF($L327&gt;=DecisionWarn,"Warning","On track"))),IF($K327="Unconfirmed",IF($L327&gt;=UnconfirmedWarn,"Warning","On track"),""))</f>
        <v/>
      </c>
      <c r="N327" s="29" t="str">
        <f aca="false">IF($M327="","",IF($M327="Critical",3000,IF($M327="Warning",2000,1000))+$L327+ROW()/100000)</f>
        <v/>
      </c>
      <c r="O327" s="29" t="str">
        <f aca="false">IF($K327="Open",IF($C327="Conflict","decide "&amp;$A327&amp;": &lt;which version stands&gt;","decide "&amp;$A327&amp;": &lt;outcome&gt;"),IF($K327="Unconfirmed","confirm "&amp;$A327,""))</f>
        <v/>
      </c>
    </row>
    <row r="328" customFormat="false" ht="15" hidden="false" customHeight="false" outlineLevel="0" collapsed="false">
      <c r="A328" s="24"/>
      <c r="B328" s="27"/>
      <c r="C328" s="28"/>
      <c r="D328" s="24"/>
      <c r="E328" s="24"/>
      <c r="F328" s="24"/>
      <c r="G328" s="28"/>
      <c r="H328" s="28"/>
      <c r="I328" s="24"/>
      <c r="J328" s="24"/>
      <c r="K328" s="29" t="str">
        <f aca="false">IF($A328="","",IF(OR($C328="Decision",$C328="Conflict"),IF(COUNTIFS($I$2:$I$1001,$A328,$C$2:$C$1001,"Resolved")=0,"Open","Closed"),IF(AND($H328="Unconfirmed",OR($C328="New",$C328="Know")),IF(COUNTIFS($I$2:$I$1001,$A328,$C$2:$C$1001,"Confirmed")=0,"Unconfirmed","Confirmed"),"Logged")))</f>
        <v/>
      </c>
      <c r="L328" s="29" t="str">
        <f aca="false">IF($A328="","",AsOf-$B328)</f>
        <v/>
      </c>
      <c r="M328" s="29" t="str">
        <f aca="false">IF($K328="Open",IF($C328="Conflict","Critical",IF($L328&gt;=DecisionCritical,"Critical",IF($L328&gt;=DecisionWarn,"Warning","On track"))),IF($K328="Unconfirmed",IF($L328&gt;=UnconfirmedWarn,"Warning","On track"),""))</f>
        <v/>
      </c>
      <c r="N328" s="29" t="str">
        <f aca="false">IF($M328="","",IF($M328="Critical",3000,IF($M328="Warning",2000,1000))+$L328+ROW()/100000)</f>
        <v/>
      </c>
      <c r="O328" s="29" t="str">
        <f aca="false">IF($K328="Open",IF($C328="Conflict","decide "&amp;$A328&amp;": &lt;which version stands&gt;","decide "&amp;$A328&amp;": &lt;outcome&gt;"),IF($K328="Unconfirmed","confirm "&amp;$A328,""))</f>
        <v/>
      </c>
    </row>
    <row r="329" customFormat="false" ht="15" hidden="false" customHeight="false" outlineLevel="0" collapsed="false">
      <c r="A329" s="24"/>
      <c r="B329" s="27"/>
      <c r="C329" s="28"/>
      <c r="D329" s="24"/>
      <c r="E329" s="24"/>
      <c r="F329" s="24"/>
      <c r="G329" s="28"/>
      <c r="H329" s="28"/>
      <c r="I329" s="24"/>
      <c r="J329" s="24"/>
      <c r="K329" s="29" t="str">
        <f aca="false">IF($A329="","",IF(OR($C329="Decision",$C329="Conflict"),IF(COUNTIFS($I$2:$I$1001,$A329,$C$2:$C$1001,"Resolved")=0,"Open","Closed"),IF(AND($H329="Unconfirmed",OR($C329="New",$C329="Know")),IF(COUNTIFS($I$2:$I$1001,$A329,$C$2:$C$1001,"Confirmed")=0,"Unconfirmed","Confirmed"),"Logged")))</f>
        <v/>
      </c>
      <c r="L329" s="29" t="str">
        <f aca="false">IF($A329="","",AsOf-$B329)</f>
        <v/>
      </c>
      <c r="M329" s="29" t="str">
        <f aca="false">IF($K329="Open",IF($C329="Conflict","Critical",IF($L329&gt;=DecisionCritical,"Critical",IF($L329&gt;=DecisionWarn,"Warning","On track"))),IF($K329="Unconfirmed",IF($L329&gt;=UnconfirmedWarn,"Warning","On track"),""))</f>
        <v/>
      </c>
      <c r="N329" s="29" t="str">
        <f aca="false">IF($M329="","",IF($M329="Critical",3000,IF($M329="Warning",2000,1000))+$L329+ROW()/100000)</f>
        <v/>
      </c>
      <c r="O329" s="29" t="str">
        <f aca="false">IF($K329="Open",IF($C329="Conflict","decide "&amp;$A329&amp;": &lt;which version stands&gt;","decide "&amp;$A329&amp;": &lt;outcome&gt;"),IF($K329="Unconfirmed","confirm "&amp;$A329,""))</f>
        <v/>
      </c>
    </row>
    <row r="330" customFormat="false" ht="15" hidden="false" customHeight="false" outlineLevel="0" collapsed="false">
      <c r="A330" s="24"/>
      <c r="B330" s="27"/>
      <c r="C330" s="28"/>
      <c r="D330" s="24"/>
      <c r="E330" s="24"/>
      <c r="F330" s="24"/>
      <c r="G330" s="28"/>
      <c r="H330" s="28"/>
      <c r="I330" s="24"/>
      <c r="J330" s="24"/>
      <c r="K330" s="29" t="str">
        <f aca="false">IF($A330="","",IF(OR($C330="Decision",$C330="Conflict"),IF(COUNTIFS($I$2:$I$1001,$A330,$C$2:$C$1001,"Resolved")=0,"Open","Closed"),IF(AND($H330="Unconfirmed",OR($C330="New",$C330="Know")),IF(COUNTIFS($I$2:$I$1001,$A330,$C$2:$C$1001,"Confirmed")=0,"Unconfirmed","Confirmed"),"Logged")))</f>
        <v/>
      </c>
      <c r="L330" s="29" t="str">
        <f aca="false">IF($A330="","",AsOf-$B330)</f>
        <v/>
      </c>
      <c r="M330" s="29" t="str">
        <f aca="false">IF($K330="Open",IF($C330="Conflict","Critical",IF($L330&gt;=DecisionCritical,"Critical",IF($L330&gt;=DecisionWarn,"Warning","On track"))),IF($K330="Unconfirmed",IF($L330&gt;=UnconfirmedWarn,"Warning","On track"),""))</f>
        <v/>
      </c>
      <c r="N330" s="29" t="str">
        <f aca="false">IF($M330="","",IF($M330="Critical",3000,IF($M330="Warning",2000,1000))+$L330+ROW()/100000)</f>
        <v/>
      </c>
      <c r="O330" s="29" t="str">
        <f aca="false">IF($K330="Open",IF($C330="Conflict","decide "&amp;$A330&amp;": &lt;which version stands&gt;","decide "&amp;$A330&amp;": &lt;outcome&gt;"),IF($K330="Unconfirmed","confirm "&amp;$A330,""))</f>
        <v/>
      </c>
    </row>
    <row r="331" customFormat="false" ht="15" hidden="false" customHeight="false" outlineLevel="0" collapsed="false">
      <c r="A331" s="24"/>
      <c r="B331" s="27"/>
      <c r="C331" s="28"/>
      <c r="D331" s="24"/>
      <c r="E331" s="24"/>
      <c r="F331" s="24"/>
      <c r="G331" s="28"/>
      <c r="H331" s="28"/>
      <c r="I331" s="24"/>
      <c r="J331" s="24"/>
      <c r="K331" s="29" t="str">
        <f aca="false">IF($A331="","",IF(OR($C331="Decision",$C331="Conflict"),IF(COUNTIFS($I$2:$I$1001,$A331,$C$2:$C$1001,"Resolved")=0,"Open","Closed"),IF(AND($H331="Unconfirmed",OR($C331="New",$C331="Know")),IF(COUNTIFS($I$2:$I$1001,$A331,$C$2:$C$1001,"Confirmed")=0,"Unconfirmed","Confirmed"),"Logged")))</f>
        <v/>
      </c>
      <c r="L331" s="29" t="str">
        <f aca="false">IF($A331="","",AsOf-$B331)</f>
        <v/>
      </c>
      <c r="M331" s="29" t="str">
        <f aca="false">IF($K331="Open",IF($C331="Conflict","Critical",IF($L331&gt;=DecisionCritical,"Critical",IF($L331&gt;=DecisionWarn,"Warning","On track"))),IF($K331="Unconfirmed",IF($L331&gt;=UnconfirmedWarn,"Warning","On track"),""))</f>
        <v/>
      </c>
      <c r="N331" s="29" t="str">
        <f aca="false">IF($M331="","",IF($M331="Critical",3000,IF($M331="Warning",2000,1000))+$L331+ROW()/100000)</f>
        <v/>
      </c>
      <c r="O331" s="29" t="str">
        <f aca="false">IF($K331="Open",IF($C331="Conflict","decide "&amp;$A331&amp;": &lt;which version stands&gt;","decide "&amp;$A331&amp;": &lt;outcome&gt;"),IF($K331="Unconfirmed","confirm "&amp;$A331,""))</f>
        <v/>
      </c>
    </row>
    <row r="332" customFormat="false" ht="15" hidden="false" customHeight="false" outlineLevel="0" collapsed="false">
      <c r="A332" s="24"/>
      <c r="B332" s="27"/>
      <c r="C332" s="28"/>
      <c r="D332" s="24"/>
      <c r="E332" s="24"/>
      <c r="F332" s="24"/>
      <c r="G332" s="28"/>
      <c r="H332" s="28"/>
      <c r="I332" s="24"/>
      <c r="J332" s="24"/>
      <c r="K332" s="29" t="str">
        <f aca="false">IF($A332="","",IF(OR($C332="Decision",$C332="Conflict"),IF(COUNTIFS($I$2:$I$1001,$A332,$C$2:$C$1001,"Resolved")=0,"Open","Closed"),IF(AND($H332="Unconfirmed",OR($C332="New",$C332="Know")),IF(COUNTIFS($I$2:$I$1001,$A332,$C$2:$C$1001,"Confirmed")=0,"Unconfirmed","Confirmed"),"Logged")))</f>
        <v/>
      </c>
      <c r="L332" s="29" t="str">
        <f aca="false">IF($A332="","",AsOf-$B332)</f>
        <v/>
      </c>
      <c r="M332" s="29" t="str">
        <f aca="false">IF($K332="Open",IF($C332="Conflict","Critical",IF($L332&gt;=DecisionCritical,"Critical",IF($L332&gt;=DecisionWarn,"Warning","On track"))),IF($K332="Unconfirmed",IF($L332&gt;=UnconfirmedWarn,"Warning","On track"),""))</f>
        <v/>
      </c>
      <c r="N332" s="29" t="str">
        <f aca="false">IF($M332="","",IF($M332="Critical",3000,IF($M332="Warning",2000,1000))+$L332+ROW()/100000)</f>
        <v/>
      </c>
      <c r="O332" s="29" t="str">
        <f aca="false">IF($K332="Open",IF($C332="Conflict","decide "&amp;$A332&amp;": &lt;which version stands&gt;","decide "&amp;$A332&amp;": &lt;outcome&gt;"),IF($K332="Unconfirmed","confirm "&amp;$A332,""))</f>
        <v/>
      </c>
    </row>
    <row r="333" customFormat="false" ht="15" hidden="false" customHeight="false" outlineLevel="0" collapsed="false">
      <c r="A333" s="24"/>
      <c r="B333" s="27"/>
      <c r="C333" s="28"/>
      <c r="D333" s="24"/>
      <c r="E333" s="24"/>
      <c r="F333" s="24"/>
      <c r="G333" s="28"/>
      <c r="H333" s="28"/>
      <c r="I333" s="24"/>
      <c r="J333" s="24"/>
      <c r="K333" s="29" t="str">
        <f aca="false">IF($A333="","",IF(OR($C333="Decision",$C333="Conflict"),IF(COUNTIFS($I$2:$I$1001,$A333,$C$2:$C$1001,"Resolved")=0,"Open","Closed"),IF(AND($H333="Unconfirmed",OR($C333="New",$C333="Know")),IF(COUNTIFS($I$2:$I$1001,$A333,$C$2:$C$1001,"Confirmed")=0,"Unconfirmed","Confirmed"),"Logged")))</f>
        <v/>
      </c>
      <c r="L333" s="29" t="str">
        <f aca="false">IF($A333="","",AsOf-$B333)</f>
        <v/>
      </c>
      <c r="M333" s="29" t="str">
        <f aca="false">IF($K333="Open",IF($C333="Conflict","Critical",IF($L333&gt;=DecisionCritical,"Critical",IF($L333&gt;=DecisionWarn,"Warning","On track"))),IF($K333="Unconfirmed",IF($L333&gt;=UnconfirmedWarn,"Warning","On track"),""))</f>
        <v/>
      </c>
      <c r="N333" s="29" t="str">
        <f aca="false">IF($M333="","",IF($M333="Critical",3000,IF($M333="Warning",2000,1000))+$L333+ROW()/100000)</f>
        <v/>
      </c>
      <c r="O333" s="29" t="str">
        <f aca="false">IF($K333="Open",IF($C333="Conflict","decide "&amp;$A333&amp;": &lt;which version stands&gt;","decide "&amp;$A333&amp;": &lt;outcome&gt;"),IF($K333="Unconfirmed","confirm "&amp;$A333,""))</f>
        <v/>
      </c>
    </row>
    <row r="334" customFormat="false" ht="15" hidden="false" customHeight="false" outlineLevel="0" collapsed="false">
      <c r="A334" s="24"/>
      <c r="B334" s="27"/>
      <c r="C334" s="28"/>
      <c r="D334" s="24"/>
      <c r="E334" s="24"/>
      <c r="F334" s="24"/>
      <c r="G334" s="28"/>
      <c r="H334" s="28"/>
      <c r="I334" s="24"/>
      <c r="J334" s="24"/>
      <c r="K334" s="29" t="str">
        <f aca="false">IF($A334="","",IF(OR($C334="Decision",$C334="Conflict"),IF(COUNTIFS($I$2:$I$1001,$A334,$C$2:$C$1001,"Resolved")=0,"Open","Closed"),IF(AND($H334="Unconfirmed",OR($C334="New",$C334="Know")),IF(COUNTIFS($I$2:$I$1001,$A334,$C$2:$C$1001,"Confirmed")=0,"Unconfirmed","Confirmed"),"Logged")))</f>
        <v/>
      </c>
      <c r="L334" s="29" t="str">
        <f aca="false">IF($A334="","",AsOf-$B334)</f>
        <v/>
      </c>
      <c r="M334" s="29" t="str">
        <f aca="false">IF($K334="Open",IF($C334="Conflict","Critical",IF($L334&gt;=DecisionCritical,"Critical",IF($L334&gt;=DecisionWarn,"Warning","On track"))),IF($K334="Unconfirmed",IF($L334&gt;=UnconfirmedWarn,"Warning","On track"),""))</f>
        <v/>
      </c>
      <c r="N334" s="29" t="str">
        <f aca="false">IF($M334="","",IF($M334="Critical",3000,IF($M334="Warning",2000,1000))+$L334+ROW()/100000)</f>
        <v/>
      </c>
      <c r="O334" s="29" t="str">
        <f aca="false">IF($K334="Open",IF($C334="Conflict","decide "&amp;$A334&amp;": &lt;which version stands&gt;","decide "&amp;$A334&amp;": &lt;outcome&gt;"),IF($K334="Unconfirmed","confirm "&amp;$A334,""))</f>
        <v/>
      </c>
    </row>
    <row r="335" customFormat="false" ht="15" hidden="false" customHeight="false" outlineLevel="0" collapsed="false">
      <c r="A335" s="24"/>
      <c r="B335" s="27"/>
      <c r="C335" s="28"/>
      <c r="D335" s="24"/>
      <c r="E335" s="24"/>
      <c r="F335" s="24"/>
      <c r="G335" s="28"/>
      <c r="H335" s="28"/>
      <c r="I335" s="24"/>
      <c r="J335" s="24"/>
      <c r="K335" s="29" t="str">
        <f aca="false">IF($A335="","",IF(OR($C335="Decision",$C335="Conflict"),IF(COUNTIFS($I$2:$I$1001,$A335,$C$2:$C$1001,"Resolved")=0,"Open","Closed"),IF(AND($H335="Unconfirmed",OR($C335="New",$C335="Know")),IF(COUNTIFS($I$2:$I$1001,$A335,$C$2:$C$1001,"Confirmed")=0,"Unconfirmed","Confirmed"),"Logged")))</f>
        <v/>
      </c>
      <c r="L335" s="29" t="str">
        <f aca="false">IF($A335="","",AsOf-$B335)</f>
        <v/>
      </c>
      <c r="M335" s="29" t="str">
        <f aca="false">IF($K335="Open",IF($C335="Conflict","Critical",IF($L335&gt;=DecisionCritical,"Critical",IF($L335&gt;=DecisionWarn,"Warning","On track"))),IF($K335="Unconfirmed",IF($L335&gt;=UnconfirmedWarn,"Warning","On track"),""))</f>
        <v/>
      </c>
      <c r="N335" s="29" t="str">
        <f aca="false">IF($M335="","",IF($M335="Critical",3000,IF($M335="Warning",2000,1000))+$L335+ROW()/100000)</f>
        <v/>
      </c>
      <c r="O335" s="29" t="str">
        <f aca="false">IF($K335="Open",IF($C335="Conflict","decide "&amp;$A335&amp;": &lt;which version stands&gt;","decide "&amp;$A335&amp;": &lt;outcome&gt;"),IF($K335="Unconfirmed","confirm "&amp;$A335,""))</f>
        <v/>
      </c>
    </row>
    <row r="336" customFormat="false" ht="15" hidden="false" customHeight="false" outlineLevel="0" collapsed="false">
      <c r="A336" s="24"/>
      <c r="B336" s="27"/>
      <c r="C336" s="28"/>
      <c r="D336" s="24"/>
      <c r="E336" s="24"/>
      <c r="F336" s="24"/>
      <c r="G336" s="28"/>
      <c r="H336" s="28"/>
      <c r="I336" s="24"/>
      <c r="J336" s="24"/>
      <c r="K336" s="29" t="str">
        <f aca="false">IF($A336="","",IF(OR($C336="Decision",$C336="Conflict"),IF(COUNTIFS($I$2:$I$1001,$A336,$C$2:$C$1001,"Resolved")=0,"Open","Closed"),IF(AND($H336="Unconfirmed",OR($C336="New",$C336="Know")),IF(COUNTIFS($I$2:$I$1001,$A336,$C$2:$C$1001,"Confirmed")=0,"Unconfirmed","Confirmed"),"Logged")))</f>
        <v/>
      </c>
      <c r="L336" s="29" t="str">
        <f aca="false">IF($A336="","",AsOf-$B336)</f>
        <v/>
      </c>
      <c r="M336" s="29" t="str">
        <f aca="false">IF($K336="Open",IF($C336="Conflict","Critical",IF($L336&gt;=DecisionCritical,"Critical",IF($L336&gt;=DecisionWarn,"Warning","On track"))),IF($K336="Unconfirmed",IF($L336&gt;=UnconfirmedWarn,"Warning","On track"),""))</f>
        <v/>
      </c>
      <c r="N336" s="29" t="str">
        <f aca="false">IF($M336="","",IF($M336="Critical",3000,IF($M336="Warning",2000,1000))+$L336+ROW()/100000)</f>
        <v/>
      </c>
      <c r="O336" s="29" t="str">
        <f aca="false">IF($K336="Open",IF($C336="Conflict","decide "&amp;$A336&amp;": &lt;which version stands&gt;","decide "&amp;$A336&amp;": &lt;outcome&gt;"),IF($K336="Unconfirmed","confirm "&amp;$A336,""))</f>
        <v/>
      </c>
    </row>
    <row r="337" customFormat="false" ht="15" hidden="false" customHeight="false" outlineLevel="0" collapsed="false">
      <c r="A337" s="24"/>
      <c r="B337" s="27"/>
      <c r="C337" s="28"/>
      <c r="D337" s="24"/>
      <c r="E337" s="24"/>
      <c r="F337" s="24"/>
      <c r="G337" s="28"/>
      <c r="H337" s="28"/>
      <c r="I337" s="24"/>
      <c r="J337" s="24"/>
      <c r="K337" s="29" t="str">
        <f aca="false">IF($A337="","",IF(OR($C337="Decision",$C337="Conflict"),IF(COUNTIFS($I$2:$I$1001,$A337,$C$2:$C$1001,"Resolved")=0,"Open","Closed"),IF(AND($H337="Unconfirmed",OR($C337="New",$C337="Know")),IF(COUNTIFS($I$2:$I$1001,$A337,$C$2:$C$1001,"Confirmed")=0,"Unconfirmed","Confirmed"),"Logged")))</f>
        <v/>
      </c>
      <c r="L337" s="29" t="str">
        <f aca="false">IF($A337="","",AsOf-$B337)</f>
        <v/>
      </c>
      <c r="M337" s="29" t="str">
        <f aca="false">IF($K337="Open",IF($C337="Conflict","Critical",IF($L337&gt;=DecisionCritical,"Critical",IF($L337&gt;=DecisionWarn,"Warning","On track"))),IF($K337="Unconfirmed",IF($L337&gt;=UnconfirmedWarn,"Warning","On track"),""))</f>
        <v/>
      </c>
      <c r="N337" s="29" t="str">
        <f aca="false">IF($M337="","",IF($M337="Critical",3000,IF($M337="Warning",2000,1000))+$L337+ROW()/100000)</f>
        <v/>
      </c>
      <c r="O337" s="29" t="str">
        <f aca="false">IF($K337="Open",IF($C337="Conflict","decide "&amp;$A337&amp;": &lt;which version stands&gt;","decide "&amp;$A337&amp;": &lt;outcome&gt;"),IF($K337="Unconfirmed","confirm "&amp;$A337,""))</f>
        <v/>
      </c>
    </row>
    <row r="338" customFormat="false" ht="15" hidden="false" customHeight="false" outlineLevel="0" collapsed="false">
      <c r="A338" s="24"/>
      <c r="B338" s="27"/>
      <c r="C338" s="28"/>
      <c r="D338" s="24"/>
      <c r="E338" s="24"/>
      <c r="F338" s="24"/>
      <c r="G338" s="28"/>
      <c r="H338" s="28"/>
      <c r="I338" s="24"/>
      <c r="J338" s="24"/>
      <c r="K338" s="29" t="str">
        <f aca="false">IF($A338="","",IF(OR($C338="Decision",$C338="Conflict"),IF(COUNTIFS($I$2:$I$1001,$A338,$C$2:$C$1001,"Resolved")=0,"Open","Closed"),IF(AND($H338="Unconfirmed",OR($C338="New",$C338="Know")),IF(COUNTIFS($I$2:$I$1001,$A338,$C$2:$C$1001,"Confirmed")=0,"Unconfirmed","Confirmed"),"Logged")))</f>
        <v/>
      </c>
      <c r="L338" s="29" t="str">
        <f aca="false">IF($A338="","",AsOf-$B338)</f>
        <v/>
      </c>
      <c r="M338" s="29" t="str">
        <f aca="false">IF($K338="Open",IF($C338="Conflict","Critical",IF($L338&gt;=DecisionCritical,"Critical",IF($L338&gt;=DecisionWarn,"Warning","On track"))),IF($K338="Unconfirmed",IF($L338&gt;=UnconfirmedWarn,"Warning","On track"),""))</f>
        <v/>
      </c>
      <c r="N338" s="29" t="str">
        <f aca="false">IF($M338="","",IF($M338="Critical",3000,IF($M338="Warning",2000,1000))+$L338+ROW()/100000)</f>
        <v/>
      </c>
      <c r="O338" s="29" t="str">
        <f aca="false">IF($K338="Open",IF($C338="Conflict","decide "&amp;$A338&amp;": &lt;which version stands&gt;","decide "&amp;$A338&amp;": &lt;outcome&gt;"),IF($K338="Unconfirmed","confirm "&amp;$A338,""))</f>
        <v/>
      </c>
    </row>
    <row r="339" customFormat="false" ht="15" hidden="false" customHeight="false" outlineLevel="0" collapsed="false">
      <c r="A339" s="24"/>
      <c r="B339" s="27"/>
      <c r="C339" s="28"/>
      <c r="D339" s="24"/>
      <c r="E339" s="24"/>
      <c r="F339" s="24"/>
      <c r="G339" s="28"/>
      <c r="H339" s="28"/>
      <c r="I339" s="24"/>
      <c r="J339" s="24"/>
      <c r="K339" s="29" t="str">
        <f aca="false">IF($A339="","",IF(OR($C339="Decision",$C339="Conflict"),IF(COUNTIFS($I$2:$I$1001,$A339,$C$2:$C$1001,"Resolved")=0,"Open","Closed"),IF(AND($H339="Unconfirmed",OR($C339="New",$C339="Know")),IF(COUNTIFS($I$2:$I$1001,$A339,$C$2:$C$1001,"Confirmed")=0,"Unconfirmed","Confirmed"),"Logged")))</f>
        <v/>
      </c>
      <c r="L339" s="29" t="str">
        <f aca="false">IF($A339="","",AsOf-$B339)</f>
        <v/>
      </c>
      <c r="M339" s="29" t="str">
        <f aca="false">IF($K339="Open",IF($C339="Conflict","Critical",IF($L339&gt;=DecisionCritical,"Critical",IF($L339&gt;=DecisionWarn,"Warning","On track"))),IF($K339="Unconfirmed",IF($L339&gt;=UnconfirmedWarn,"Warning","On track"),""))</f>
        <v/>
      </c>
      <c r="N339" s="29" t="str">
        <f aca="false">IF($M339="","",IF($M339="Critical",3000,IF($M339="Warning",2000,1000))+$L339+ROW()/100000)</f>
        <v/>
      </c>
      <c r="O339" s="29" t="str">
        <f aca="false">IF($K339="Open",IF($C339="Conflict","decide "&amp;$A339&amp;": &lt;which version stands&gt;","decide "&amp;$A339&amp;": &lt;outcome&gt;"),IF($K339="Unconfirmed","confirm "&amp;$A339,""))</f>
        <v/>
      </c>
    </row>
    <row r="340" customFormat="false" ht="15" hidden="false" customHeight="false" outlineLevel="0" collapsed="false">
      <c r="A340" s="24"/>
      <c r="B340" s="27"/>
      <c r="C340" s="28"/>
      <c r="D340" s="24"/>
      <c r="E340" s="24"/>
      <c r="F340" s="24"/>
      <c r="G340" s="28"/>
      <c r="H340" s="28"/>
      <c r="I340" s="24"/>
      <c r="J340" s="24"/>
      <c r="K340" s="29" t="str">
        <f aca="false">IF($A340="","",IF(OR($C340="Decision",$C340="Conflict"),IF(COUNTIFS($I$2:$I$1001,$A340,$C$2:$C$1001,"Resolved")=0,"Open","Closed"),IF(AND($H340="Unconfirmed",OR($C340="New",$C340="Know")),IF(COUNTIFS($I$2:$I$1001,$A340,$C$2:$C$1001,"Confirmed")=0,"Unconfirmed","Confirmed"),"Logged")))</f>
        <v/>
      </c>
      <c r="L340" s="29" t="str">
        <f aca="false">IF($A340="","",AsOf-$B340)</f>
        <v/>
      </c>
      <c r="M340" s="29" t="str">
        <f aca="false">IF($K340="Open",IF($C340="Conflict","Critical",IF($L340&gt;=DecisionCritical,"Critical",IF($L340&gt;=DecisionWarn,"Warning","On track"))),IF($K340="Unconfirmed",IF($L340&gt;=UnconfirmedWarn,"Warning","On track"),""))</f>
        <v/>
      </c>
      <c r="N340" s="29" t="str">
        <f aca="false">IF($M340="","",IF($M340="Critical",3000,IF($M340="Warning",2000,1000))+$L340+ROW()/100000)</f>
        <v/>
      </c>
      <c r="O340" s="29" t="str">
        <f aca="false">IF($K340="Open",IF($C340="Conflict","decide "&amp;$A340&amp;": &lt;which version stands&gt;","decide "&amp;$A340&amp;": &lt;outcome&gt;"),IF($K340="Unconfirmed","confirm "&amp;$A340,""))</f>
        <v/>
      </c>
    </row>
    <row r="341" customFormat="false" ht="15" hidden="false" customHeight="false" outlineLevel="0" collapsed="false">
      <c r="A341" s="24"/>
      <c r="B341" s="27"/>
      <c r="C341" s="28"/>
      <c r="D341" s="24"/>
      <c r="E341" s="24"/>
      <c r="F341" s="24"/>
      <c r="G341" s="28"/>
      <c r="H341" s="28"/>
      <c r="I341" s="24"/>
      <c r="J341" s="24"/>
      <c r="K341" s="29" t="str">
        <f aca="false">IF($A341="","",IF(OR($C341="Decision",$C341="Conflict"),IF(COUNTIFS($I$2:$I$1001,$A341,$C$2:$C$1001,"Resolved")=0,"Open","Closed"),IF(AND($H341="Unconfirmed",OR($C341="New",$C341="Know")),IF(COUNTIFS($I$2:$I$1001,$A341,$C$2:$C$1001,"Confirmed")=0,"Unconfirmed","Confirmed"),"Logged")))</f>
        <v/>
      </c>
      <c r="L341" s="29" t="str">
        <f aca="false">IF($A341="","",AsOf-$B341)</f>
        <v/>
      </c>
      <c r="M341" s="29" t="str">
        <f aca="false">IF($K341="Open",IF($C341="Conflict","Critical",IF($L341&gt;=DecisionCritical,"Critical",IF($L341&gt;=DecisionWarn,"Warning","On track"))),IF($K341="Unconfirmed",IF($L341&gt;=UnconfirmedWarn,"Warning","On track"),""))</f>
        <v/>
      </c>
      <c r="N341" s="29" t="str">
        <f aca="false">IF($M341="","",IF($M341="Critical",3000,IF($M341="Warning",2000,1000))+$L341+ROW()/100000)</f>
        <v/>
      </c>
      <c r="O341" s="29" t="str">
        <f aca="false">IF($K341="Open",IF($C341="Conflict","decide "&amp;$A341&amp;": &lt;which version stands&gt;","decide "&amp;$A341&amp;": &lt;outcome&gt;"),IF($K341="Unconfirmed","confirm "&amp;$A341,""))</f>
        <v/>
      </c>
    </row>
    <row r="342" customFormat="false" ht="15" hidden="false" customHeight="false" outlineLevel="0" collapsed="false">
      <c r="A342" s="24"/>
      <c r="B342" s="27"/>
      <c r="C342" s="28"/>
      <c r="D342" s="24"/>
      <c r="E342" s="24"/>
      <c r="F342" s="24"/>
      <c r="G342" s="28"/>
      <c r="H342" s="28"/>
      <c r="I342" s="24"/>
      <c r="J342" s="24"/>
      <c r="K342" s="29" t="str">
        <f aca="false">IF($A342="","",IF(OR($C342="Decision",$C342="Conflict"),IF(COUNTIFS($I$2:$I$1001,$A342,$C$2:$C$1001,"Resolved")=0,"Open","Closed"),IF(AND($H342="Unconfirmed",OR($C342="New",$C342="Know")),IF(COUNTIFS($I$2:$I$1001,$A342,$C$2:$C$1001,"Confirmed")=0,"Unconfirmed","Confirmed"),"Logged")))</f>
        <v/>
      </c>
      <c r="L342" s="29" t="str">
        <f aca="false">IF($A342="","",AsOf-$B342)</f>
        <v/>
      </c>
      <c r="M342" s="29" t="str">
        <f aca="false">IF($K342="Open",IF($C342="Conflict","Critical",IF($L342&gt;=DecisionCritical,"Critical",IF($L342&gt;=DecisionWarn,"Warning","On track"))),IF($K342="Unconfirmed",IF($L342&gt;=UnconfirmedWarn,"Warning","On track"),""))</f>
        <v/>
      </c>
      <c r="N342" s="29" t="str">
        <f aca="false">IF($M342="","",IF($M342="Critical",3000,IF($M342="Warning",2000,1000))+$L342+ROW()/100000)</f>
        <v/>
      </c>
      <c r="O342" s="29" t="str">
        <f aca="false">IF($K342="Open",IF($C342="Conflict","decide "&amp;$A342&amp;": &lt;which version stands&gt;","decide "&amp;$A342&amp;": &lt;outcome&gt;"),IF($K342="Unconfirmed","confirm "&amp;$A342,""))</f>
        <v/>
      </c>
    </row>
    <row r="343" customFormat="false" ht="15" hidden="false" customHeight="false" outlineLevel="0" collapsed="false">
      <c r="A343" s="24"/>
      <c r="B343" s="27"/>
      <c r="C343" s="28"/>
      <c r="D343" s="24"/>
      <c r="E343" s="24"/>
      <c r="F343" s="24"/>
      <c r="G343" s="28"/>
      <c r="H343" s="28"/>
      <c r="I343" s="24"/>
      <c r="J343" s="24"/>
      <c r="K343" s="29" t="str">
        <f aca="false">IF($A343="","",IF(OR($C343="Decision",$C343="Conflict"),IF(COUNTIFS($I$2:$I$1001,$A343,$C$2:$C$1001,"Resolved")=0,"Open","Closed"),IF(AND($H343="Unconfirmed",OR($C343="New",$C343="Know")),IF(COUNTIFS($I$2:$I$1001,$A343,$C$2:$C$1001,"Confirmed")=0,"Unconfirmed","Confirmed"),"Logged")))</f>
        <v/>
      </c>
      <c r="L343" s="29" t="str">
        <f aca="false">IF($A343="","",AsOf-$B343)</f>
        <v/>
      </c>
      <c r="M343" s="29" t="str">
        <f aca="false">IF($K343="Open",IF($C343="Conflict","Critical",IF($L343&gt;=DecisionCritical,"Critical",IF($L343&gt;=DecisionWarn,"Warning","On track"))),IF($K343="Unconfirmed",IF($L343&gt;=UnconfirmedWarn,"Warning","On track"),""))</f>
        <v/>
      </c>
      <c r="N343" s="29" t="str">
        <f aca="false">IF($M343="","",IF($M343="Critical",3000,IF($M343="Warning",2000,1000))+$L343+ROW()/100000)</f>
        <v/>
      </c>
      <c r="O343" s="29" t="str">
        <f aca="false">IF($K343="Open",IF($C343="Conflict","decide "&amp;$A343&amp;": &lt;which version stands&gt;","decide "&amp;$A343&amp;": &lt;outcome&gt;"),IF($K343="Unconfirmed","confirm "&amp;$A343,""))</f>
        <v/>
      </c>
    </row>
    <row r="344" customFormat="false" ht="15" hidden="false" customHeight="false" outlineLevel="0" collapsed="false">
      <c r="A344" s="24"/>
      <c r="B344" s="27"/>
      <c r="C344" s="28"/>
      <c r="D344" s="24"/>
      <c r="E344" s="24"/>
      <c r="F344" s="24"/>
      <c r="G344" s="28"/>
      <c r="H344" s="28"/>
      <c r="I344" s="24"/>
      <c r="J344" s="24"/>
      <c r="K344" s="29" t="str">
        <f aca="false">IF($A344="","",IF(OR($C344="Decision",$C344="Conflict"),IF(COUNTIFS($I$2:$I$1001,$A344,$C$2:$C$1001,"Resolved")=0,"Open","Closed"),IF(AND($H344="Unconfirmed",OR($C344="New",$C344="Know")),IF(COUNTIFS($I$2:$I$1001,$A344,$C$2:$C$1001,"Confirmed")=0,"Unconfirmed","Confirmed"),"Logged")))</f>
        <v/>
      </c>
      <c r="L344" s="29" t="str">
        <f aca="false">IF($A344="","",AsOf-$B344)</f>
        <v/>
      </c>
      <c r="M344" s="29" t="str">
        <f aca="false">IF($K344="Open",IF($C344="Conflict","Critical",IF($L344&gt;=DecisionCritical,"Critical",IF($L344&gt;=DecisionWarn,"Warning","On track"))),IF($K344="Unconfirmed",IF($L344&gt;=UnconfirmedWarn,"Warning","On track"),""))</f>
        <v/>
      </c>
      <c r="N344" s="29" t="str">
        <f aca="false">IF($M344="","",IF($M344="Critical",3000,IF($M344="Warning",2000,1000))+$L344+ROW()/100000)</f>
        <v/>
      </c>
      <c r="O344" s="29" t="str">
        <f aca="false">IF($K344="Open",IF($C344="Conflict","decide "&amp;$A344&amp;": &lt;which version stands&gt;","decide "&amp;$A344&amp;": &lt;outcome&gt;"),IF($K344="Unconfirmed","confirm "&amp;$A344,""))</f>
        <v/>
      </c>
    </row>
    <row r="345" customFormat="false" ht="15" hidden="false" customHeight="false" outlineLevel="0" collapsed="false">
      <c r="A345" s="24"/>
      <c r="B345" s="27"/>
      <c r="C345" s="28"/>
      <c r="D345" s="24"/>
      <c r="E345" s="24"/>
      <c r="F345" s="24"/>
      <c r="G345" s="28"/>
      <c r="H345" s="28"/>
      <c r="I345" s="24"/>
      <c r="J345" s="24"/>
      <c r="K345" s="29" t="str">
        <f aca="false">IF($A345="","",IF(OR($C345="Decision",$C345="Conflict"),IF(COUNTIFS($I$2:$I$1001,$A345,$C$2:$C$1001,"Resolved")=0,"Open","Closed"),IF(AND($H345="Unconfirmed",OR($C345="New",$C345="Know")),IF(COUNTIFS($I$2:$I$1001,$A345,$C$2:$C$1001,"Confirmed")=0,"Unconfirmed","Confirmed"),"Logged")))</f>
        <v/>
      </c>
      <c r="L345" s="29" t="str">
        <f aca="false">IF($A345="","",AsOf-$B345)</f>
        <v/>
      </c>
      <c r="M345" s="29" t="str">
        <f aca="false">IF($K345="Open",IF($C345="Conflict","Critical",IF($L345&gt;=DecisionCritical,"Critical",IF($L345&gt;=DecisionWarn,"Warning","On track"))),IF($K345="Unconfirmed",IF($L345&gt;=UnconfirmedWarn,"Warning","On track"),""))</f>
        <v/>
      </c>
      <c r="N345" s="29" t="str">
        <f aca="false">IF($M345="","",IF($M345="Critical",3000,IF($M345="Warning",2000,1000))+$L345+ROW()/100000)</f>
        <v/>
      </c>
      <c r="O345" s="29" t="str">
        <f aca="false">IF($K345="Open",IF($C345="Conflict","decide "&amp;$A345&amp;": &lt;which version stands&gt;","decide "&amp;$A345&amp;": &lt;outcome&gt;"),IF($K345="Unconfirmed","confirm "&amp;$A345,""))</f>
        <v/>
      </c>
    </row>
    <row r="346" customFormat="false" ht="15" hidden="false" customHeight="false" outlineLevel="0" collapsed="false">
      <c r="A346" s="24"/>
      <c r="B346" s="27"/>
      <c r="C346" s="28"/>
      <c r="D346" s="24"/>
      <c r="E346" s="24"/>
      <c r="F346" s="24"/>
      <c r="G346" s="28"/>
      <c r="H346" s="28"/>
      <c r="I346" s="24"/>
      <c r="J346" s="24"/>
      <c r="K346" s="29" t="str">
        <f aca="false">IF($A346="","",IF(OR($C346="Decision",$C346="Conflict"),IF(COUNTIFS($I$2:$I$1001,$A346,$C$2:$C$1001,"Resolved")=0,"Open","Closed"),IF(AND($H346="Unconfirmed",OR($C346="New",$C346="Know")),IF(COUNTIFS($I$2:$I$1001,$A346,$C$2:$C$1001,"Confirmed")=0,"Unconfirmed","Confirmed"),"Logged")))</f>
        <v/>
      </c>
      <c r="L346" s="29" t="str">
        <f aca="false">IF($A346="","",AsOf-$B346)</f>
        <v/>
      </c>
      <c r="M346" s="29" t="str">
        <f aca="false">IF($K346="Open",IF($C346="Conflict","Critical",IF($L346&gt;=DecisionCritical,"Critical",IF($L346&gt;=DecisionWarn,"Warning","On track"))),IF($K346="Unconfirmed",IF($L346&gt;=UnconfirmedWarn,"Warning","On track"),""))</f>
        <v/>
      </c>
      <c r="N346" s="29" t="str">
        <f aca="false">IF($M346="","",IF($M346="Critical",3000,IF($M346="Warning",2000,1000))+$L346+ROW()/100000)</f>
        <v/>
      </c>
      <c r="O346" s="29" t="str">
        <f aca="false">IF($K346="Open",IF($C346="Conflict","decide "&amp;$A346&amp;": &lt;which version stands&gt;","decide "&amp;$A346&amp;": &lt;outcome&gt;"),IF($K346="Unconfirmed","confirm "&amp;$A346,""))</f>
        <v/>
      </c>
    </row>
    <row r="347" customFormat="false" ht="15" hidden="false" customHeight="false" outlineLevel="0" collapsed="false">
      <c r="A347" s="24"/>
      <c r="B347" s="27"/>
      <c r="C347" s="28"/>
      <c r="D347" s="24"/>
      <c r="E347" s="24"/>
      <c r="F347" s="24"/>
      <c r="G347" s="28"/>
      <c r="H347" s="28"/>
      <c r="I347" s="24"/>
      <c r="J347" s="24"/>
      <c r="K347" s="29" t="str">
        <f aca="false">IF($A347="","",IF(OR($C347="Decision",$C347="Conflict"),IF(COUNTIFS($I$2:$I$1001,$A347,$C$2:$C$1001,"Resolved")=0,"Open","Closed"),IF(AND($H347="Unconfirmed",OR($C347="New",$C347="Know")),IF(COUNTIFS($I$2:$I$1001,$A347,$C$2:$C$1001,"Confirmed")=0,"Unconfirmed","Confirmed"),"Logged")))</f>
        <v/>
      </c>
      <c r="L347" s="29" t="str">
        <f aca="false">IF($A347="","",AsOf-$B347)</f>
        <v/>
      </c>
      <c r="M347" s="29" t="str">
        <f aca="false">IF($K347="Open",IF($C347="Conflict","Critical",IF($L347&gt;=DecisionCritical,"Critical",IF($L347&gt;=DecisionWarn,"Warning","On track"))),IF($K347="Unconfirmed",IF($L347&gt;=UnconfirmedWarn,"Warning","On track"),""))</f>
        <v/>
      </c>
      <c r="N347" s="29" t="str">
        <f aca="false">IF($M347="","",IF($M347="Critical",3000,IF($M347="Warning",2000,1000))+$L347+ROW()/100000)</f>
        <v/>
      </c>
      <c r="O347" s="29" t="str">
        <f aca="false">IF($K347="Open",IF($C347="Conflict","decide "&amp;$A347&amp;": &lt;which version stands&gt;","decide "&amp;$A347&amp;": &lt;outcome&gt;"),IF($K347="Unconfirmed","confirm "&amp;$A347,""))</f>
        <v/>
      </c>
    </row>
    <row r="348" customFormat="false" ht="15" hidden="false" customHeight="false" outlineLevel="0" collapsed="false">
      <c r="A348" s="24"/>
      <c r="B348" s="27"/>
      <c r="C348" s="28"/>
      <c r="D348" s="24"/>
      <c r="E348" s="24"/>
      <c r="F348" s="24"/>
      <c r="G348" s="28"/>
      <c r="H348" s="28"/>
      <c r="I348" s="24"/>
      <c r="J348" s="24"/>
      <c r="K348" s="29" t="str">
        <f aca="false">IF($A348="","",IF(OR($C348="Decision",$C348="Conflict"),IF(COUNTIFS($I$2:$I$1001,$A348,$C$2:$C$1001,"Resolved")=0,"Open","Closed"),IF(AND($H348="Unconfirmed",OR($C348="New",$C348="Know")),IF(COUNTIFS($I$2:$I$1001,$A348,$C$2:$C$1001,"Confirmed")=0,"Unconfirmed","Confirmed"),"Logged")))</f>
        <v/>
      </c>
      <c r="L348" s="29" t="str">
        <f aca="false">IF($A348="","",AsOf-$B348)</f>
        <v/>
      </c>
      <c r="M348" s="29" t="str">
        <f aca="false">IF($K348="Open",IF($C348="Conflict","Critical",IF($L348&gt;=DecisionCritical,"Critical",IF($L348&gt;=DecisionWarn,"Warning","On track"))),IF($K348="Unconfirmed",IF($L348&gt;=UnconfirmedWarn,"Warning","On track"),""))</f>
        <v/>
      </c>
      <c r="N348" s="29" t="str">
        <f aca="false">IF($M348="","",IF($M348="Critical",3000,IF($M348="Warning",2000,1000))+$L348+ROW()/100000)</f>
        <v/>
      </c>
      <c r="O348" s="29" t="str">
        <f aca="false">IF($K348="Open",IF($C348="Conflict","decide "&amp;$A348&amp;": &lt;which version stands&gt;","decide "&amp;$A348&amp;": &lt;outcome&gt;"),IF($K348="Unconfirmed","confirm "&amp;$A348,""))</f>
        <v/>
      </c>
    </row>
    <row r="349" customFormat="false" ht="15" hidden="false" customHeight="false" outlineLevel="0" collapsed="false">
      <c r="A349" s="24"/>
      <c r="B349" s="27"/>
      <c r="C349" s="28"/>
      <c r="D349" s="24"/>
      <c r="E349" s="24"/>
      <c r="F349" s="24"/>
      <c r="G349" s="28"/>
      <c r="H349" s="28"/>
      <c r="I349" s="24"/>
      <c r="J349" s="24"/>
      <c r="K349" s="29" t="str">
        <f aca="false">IF($A349="","",IF(OR($C349="Decision",$C349="Conflict"),IF(COUNTIFS($I$2:$I$1001,$A349,$C$2:$C$1001,"Resolved")=0,"Open","Closed"),IF(AND($H349="Unconfirmed",OR($C349="New",$C349="Know")),IF(COUNTIFS($I$2:$I$1001,$A349,$C$2:$C$1001,"Confirmed")=0,"Unconfirmed","Confirmed"),"Logged")))</f>
        <v/>
      </c>
      <c r="L349" s="29" t="str">
        <f aca="false">IF($A349="","",AsOf-$B349)</f>
        <v/>
      </c>
      <c r="M349" s="29" t="str">
        <f aca="false">IF($K349="Open",IF($C349="Conflict","Critical",IF($L349&gt;=DecisionCritical,"Critical",IF($L349&gt;=DecisionWarn,"Warning","On track"))),IF($K349="Unconfirmed",IF($L349&gt;=UnconfirmedWarn,"Warning","On track"),""))</f>
        <v/>
      </c>
      <c r="N349" s="29" t="str">
        <f aca="false">IF($M349="","",IF($M349="Critical",3000,IF($M349="Warning",2000,1000))+$L349+ROW()/100000)</f>
        <v/>
      </c>
      <c r="O349" s="29" t="str">
        <f aca="false">IF($K349="Open",IF($C349="Conflict","decide "&amp;$A349&amp;": &lt;which version stands&gt;","decide "&amp;$A349&amp;": &lt;outcome&gt;"),IF($K349="Unconfirmed","confirm "&amp;$A349,""))</f>
        <v/>
      </c>
    </row>
    <row r="350" customFormat="false" ht="15" hidden="false" customHeight="false" outlineLevel="0" collapsed="false">
      <c r="A350" s="24"/>
      <c r="B350" s="27"/>
      <c r="C350" s="28"/>
      <c r="D350" s="24"/>
      <c r="E350" s="24"/>
      <c r="F350" s="24"/>
      <c r="G350" s="28"/>
      <c r="H350" s="28"/>
      <c r="I350" s="24"/>
      <c r="J350" s="24"/>
      <c r="K350" s="29" t="str">
        <f aca="false">IF($A350="","",IF(OR($C350="Decision",$C350="Conflict"),IF(COUNTIFS($I$2:$I$1001,$A350,$C$2:$C$1001,"Resolved")=0,"Open","Closed"),IF(AND($H350="Unconfirmed",OR($C350="New",$C350="Know")),IF(COUNTIFS($I$2:$I$1001,$A350,$C$2:$C$1001,"Confirmed")=0,"Unconfirmed","Confirmed"),"Logged")))</f>
        <v/>
      </c>
      <c r="L350" s="29" t="str">
        <f aca="false">IF($A350="","",AsOf-$B350)</f>
        <v/>
      </c>
      <c r="M350" s="29" t="str">
        <f aca="false">IF($K350="Open",IF($C350="Conflict","Critical",IF($L350&gt;=DecisionCritical,"Critical",IF($L350&gt;=DecisionWarn,"Warning","On track"))),IF($K350="Unconfirmed",IF($L350&gt;=UnconfirmedWarn,"Warning","On track"),""))</f>
        <v/>
      </c>
      <c r="N350" s="29" t="str">
        <f aca="false">IF($M350="","",IF($M350="Critical",3000,IF($M350="Warning",2000,1000))+$L350+ROW()/100000)</f>
        <v/>
      </c>
      <c r="O350" s="29" t="str">
        <f aca="false">IF($K350="Open",IF($C350="Conflict","decide "&amp;$A350&amp;": &lt;which version stands&gt;","decide "&amp;$A350&amp;": &lt;outcome&gt;"),IF($K350="Unconfirmed","confirm "&amp;$A350,""))</f>
        <v/>
      </c>
    </row>
    <row r="351" customFormat="false" ht="15" hidden="false" customHeight="false" outlineLevel="0" collapsed="false">
      <c r="A351" s="24"/>
      <c r="B351" s="27"/>
      <c r="C351" s="28"/>
      <c r="D351" s="24"/>
      <c r="E351" s="24"/>
      <c r="F351" s="24"/>
      <c r="G351" s="28"/>
      <c r="H351" s="28"/>
      <c r="I351" s="24"/>
      <c r="J351" s="24"/>
      <c r="K351" s="29" t="str">
        <f aca="false">IF($A351="","",IF(OR($C351="Decision",$C351="Conflict"),IF(COUNTIFS($I$2:$I$1001,$A351,$C$2:$C$1001,"Resolved")=0,"Open","Closed"),IF(AND($H351="Unconfirmed",OR($C351="New",$C351="Know")),IF(COUNTIFS($I$2:$I$1001,$A351,$C$2:$C$1001,"Confirmed")=0,"Unconfirmed","Confirmed"),"Logged")))</f>
        <v/>
      </c>
      <c r="L351" s="29" t="str">
        <f aca="false">IF($A351="","",AsOf-$B351)</f>
        <v/>
      </c>
      <c r="M351" s="29" t="str">
        <f aca="false">IF($K351="Open",IF($C351="Conflict","Critical",IF($L351&gt;=DecisionCritical,"Critical",IF($L351&gt;=DecisionWarn,"Warning","On track"))),IF($K351="Unconfirmed",IF($L351&gt;=UnconfirmedWarn,"Warning","On track"),""))</f>
        <v/>
      </c>
      <c r="N351" s="29" t="str">
        <f aca="false">IF($M351="","",IF($M351="Critical",3000,IF($M351="Warning",2000,1000))+$L351+ROW()/100000)</f>
        <v/>
      </c>
      <c r="O351" s="29" t="str">
        <f aca="false">IF($K351="Open",IF($C351="Conflict","decide "&amp;$A351&amp;": &lt;which version stands&gt;","decide "&amp;$A351&amp;": &lt;outcome&gt;"),IF($K351="Unconfirmed","confirm "&amp;$A351,""))</f>
        <v/>
      </c>
    </row>
    <row r="352" customFormat="false" ht="15" hidden="false" customHeight="false" outlineLevel="0" collapsed="false">
      <c r="A352" s="24"/>
      <c r="B352" s="27"/>
      <c r="C352" s="28"/>
      <c r="D352" s="24"/>
      <c r="E352" s="24"/>
      <c r="F352" s="24"/>
      <c r="G352" s="28"/>
      <c r="H352" s="28"/>
      <c r="I352" s="24"/>
      <c r="J352" s="24"/>
      <c r="K352" s="29" t="str">
        <f aca="false">IF($A352="","",IF(OR($C352="Decision",$C352="Conflict"),IF(COUNTIFS($I$2:$I$1001,$A352,$C$2:$C$1001,"Resolved")=0,"Open","Closed"),IF(AND($H352="Unconfirmed",OR($C352="New",$C352="Know")),IF(COUNTIFS($I$2:$I$1001,$A352,$C$2:$C$1001,"Confirmed")=0,"Unconfirmed","Confirmed"),"Logged")))</f>
        <v/>
      </c>
      <c r="L352" s="29" t="str">
        <f aca="false">IF($A352="","",AsOf-$B352)</f>
        <v/>
      </c>
      <c r="M352" s="29" t="str">
        <f aca="false">IF($K352="Open",IF($C352="Conflict","Critical",IF($L352&gt;=DecisionCritical,"Critical",IF($L352&gt;=DecisionWarn,"Warning","On track"))),IF($K352="Unconfirmed",IF($L352&gt;=UnconfirmedWarn,"Warning","On track"),""))</f>
        <v/>
      </c>
      <c r="N352" s="29" t="str">
        <f aca="false">IF($M352="","",IF($M352="Critical",3000,IF($M352="Warning",2000,1000))+$L352+ROW()/100000)</f>
        <v/>
      </c>
      <c r="O352" s="29" t="str">
        <f aca="false">IF($K352="Open",IF($C352="Conflict","decide "&amp;$A352&amp;": &lt;which version stands&gt;","decide "&amp;$A352&amp;": &lt;outcome&gt;"),IF($K352="Unconfirmed","confirm "&amp;$A352,""))</f>
        <v/>
      </c>
    </row>
    <row r="353" customFormat="false" ht="15" hidden="false" customHeight="false" outlineLevel="0" collapsed="false">
      <c r="A353" s="24"/>
      <c r="B353" s="27"/>
      <c r="C353" s="28"/>
      <c r="D353" s="24"/>
      <c r="E353" s="24"/>
      <c r="F353" s="24"/>
      <c r="G353" s="28"/>
      <c r="H353" s="28"/>
      <c r="I353" s="24"/>
      <c r="J353" s="24"/>
      <c r="K353" s="29" t="str">
        <f aca="false">IF($A353="","",IF(OR($C353="Decision",$C353="Conflict"),IF(COUNTIFS($I$2:$I$1001,$A353,$C$2:$C$1001,"Resolved")=0,"Open","Closed"),IF(AND($H353="Unconfirmed",OR($C353="New",$C353="Know")),IF(COUNTIFS($I$2:$I$1001,$A353,$C$2:$C$1001,"Confirmed")=0,"Unconfirmed","Confirmed"),"Logged")))</f>
        <v/>
      </c>
      <c r="L353" s="29" t="str">
        <f aca="false">IF($A353="","",AsOf-$B353)</f>
        <v/>
      </c>
      <c r="M353" s="29" t="str">
        <f aca="false">IF($K353="Open",IF($C353="Conflict","Critical",IF($L353&gt;=DecisionCritical,"Critical",IF($L353&gt;=DecisionWarn,"Warning","On track"))),IF($K353="Unconfirmed",IF($L353&gt;=UnconfirmedWarn,"Warning","On track"),""))</f>
        <v/>
      </c>
      <c r="N353" s="29" t="str">
        <f aca="false">IF($M353="","",IF($M353="Critical",3000,IF($M353="Warning",2000,1000))+$L353+ROW()/100000)</f>
        <v/>
      </c>
      <c r="O353" s="29" t="str">
        <f aca="false">IF($K353="Open",IF($C353="Conflict","decide "&amp;$A353&amp;": &lt;which version stands&gt;","decide "&amp;$A353&amp;": &lt;outcome&gt;"),IF($K353="Unconfirmed","confirm "&amp;$A353,""))</f>
        <v/>
      </c>
    </row>
    <row r="354" customFormat="false" ht="15" hidden="false" customHeight="false" outlineLevel="0" collapsed="false">
      <c r="A354" s="24"/>
      <c r="B354" s="27"/>
      <c r="C354" s="28"/>
      <c r="D354" s="24"/>
      <c r="E354" s="24"/>
      <c r="F354" s="24"/>
      <c r="G354" s="28"/>
      <c r="H354" s="28"/>
      <c r="I354" s="24"/>
      <c r="J354" s="24"/>
      <c r="K354" s="29" t="str">
        <f aca="false">IF($A354="","",IF(OR($C354="Decision",$C354="Conflict"),IF(COUNTIFS($I$2:$I$1001,$A354,$C$2:$C$1001,"Resolved")=0,"Open","Closed"),IF(AND($H354="Unconfirmed",OR($C354="New",$C354="Know")),IF(COUNTIFS($I$2:$I$1001,$A354,$C$2:$C$1001,"Confirmed")=0,"Unconfirmed","Confirmed"),"Logged")))</f>
        <v/>
      </c>
      <c r="L354" s="29" t="str">
        <f aca="false">IF($A354="","",AsOf-$B354)</f>
        <v/>
      </c>
      <c r="M354" s="29" t="str">
        <f aca="false">IF($K354="Open",IF($C354="Conflict","Critical",IF($L354&gt;=DecisionCritical,"Critical",IF($L354&gt;=DecisionWarn,"Warning","On track"))),IF($K354="Unconfirmed",IF($L354&gt;=UnconfirmedWarn,"Warning","On track"),""))</f>
        <v/>
      </c>
      <c r="N354" s="29" t="str">
        <f aca="false">IF($M354="","",IF($M354="Critical",3000,IF($M354="Warning",2000,1000))+$L354+ROW()/100000)</f>
        <v/>
      </c>
      <c r="O354" s="29" t="str">
        <f aca="false">IF($K354="Open",IF($C354="Conflict","decide "&amp;$A354&amp;": &lt;which version stands&gt;","decide "&amp;$A354&amp;": &lt;outcome&gt;"),IF($K354="Unconfirmed","confirm "&amp;$A354,""))</f>
        <v/>
      </c>
    </row>
    <row r="355" customFormat="false" ht="15" hidden="false" customHeight="false" outlineLevel="0" collapsed="false">
      <c r="A355" s="24"/>
      <c r="B355" s="27"/>
      <c r="C355" s="28"/>
      <c r="D355" s="24"/>
      <c r="E355" s="24"/>
      <c r="F355" s="24"/>
      <c r="G355" s="28"/>
      <c r="H355" s="28"/>
      <c r="I355" s="24"/>
      <c r="J355" s="24"/>
      <c r="K355" s="29" t="str">
        <f aca="false">IF($A355="","",IF(OR($C355="Decision",$C355="Conflict"),IF(COUNTIFS($I$2:$I$1001,$A355,$C$2:$C$1001,"Resolved")=0,"Open","Closed"),IF(AND($H355="Unconfirmed",OR($C355="New",$C355="Know")),IF(COUNTIFS($I$2:$I$1001,$A355,$C$2:$C$1001,"Confirmed")=0,"Unconfirmed","Confirmed"),"Logged")))</f>
        <v/>
      </c>
      <c r="L355" s="29" t="str">
        <f aca="false">IF($A355="","",AsOf-$B355)</f>
        <v/>
      </c>
      <c r="M355" s="29" t="str">
        <f aca="false">IF($K355="Open",IF($C355="Conflict","Critical",IF($L355&gt;=DecisionCritical,"Critical",IF($L355&gt;=DecisionWarn,"Warning","On track"))),IF($K355="Unconfirmed",IF($L355&gt;=UnconfirmedWarn,"Warning","On track"),""))</f>
        <v/>
      </c>
      <c r="N355" s="29" t="str">
        <f aca="false">IF($M355="","",IF($M355="Critical",3000,IF($M355="Warning",2000,1000))+$L355+ROW()/100000)</f>
        <v/>
      </c>
      <c r="O355" s="29" t="str">
        <f aca="false">IF($K355="Open",IF($C355="Conflict","decide "&amp;$A355&amp;": &lt;which version stands&gt;","decide "&amp;$A355&amp;": &lt;outcome&gt;"),IF($K355="Unconfirmed","confirm "&amp;$A355,""))</f>
        <v/>
      </c>
    </row>
    <row r="356" customFormat="false" ht="15" hidden="false" customHeight="false" outlineLevel="0" collapsed="false">
      <c r="A356" s="24"/>
      <c r="B356" s="27"/>
      <c r="C356" s="28"/>
      <c r="D356" s="24"/>
      <c r="E356" s="24"/>
      <c r="F356" s="24"/>
      <c r="G356" s="28"/>
      <c r="H356" s="28"/>
      <c r="I356" s="24"/>
      <c r="J356" s="24"/>
      <c r="K356" s="29" t="str">
        <f aca="false">IF($A356="","",IF(OR($C356="Decision",$C356="Conflict"),IF(COUNTIFS($I$2:$I$1001,$A356,$C$2:$C$1001,"Resolved")=0,"Open","Closed"),IF(AND($H356="Unconfirmed",OR($C356="New",$C356="Know")),IF(COUNTIFS($I$2:$I$1001,$A356,$C$2:$C$1001,"Confirmed")=0,"Unconfirmed","Confirmed"),"Logged")))</f>
        <v/>
      </c>
      <c r="L356" s="29" t="str">
        <f aca="false">IF($A356="","",AsOf-$B356)</f>
        <v/>
      </c>
      <c r="M356" s="29" t="str">
        <f aca="false">IF($K356="Open",IF($C356="Conflict","Critical",IF($L356&gt;=DecisionCritical,"Critical",IF($L356&gt;=DecisionWarn,"Warning","On track"))),IF($K356="Unconfirmed",IF($L356&gt;=UnconfirmedWarn,"Warning","On track"),""))</f>
        <v/>
      </c>
      <c r="N356" s="29" t="str">
        <f aca="false">IF($M356="","",IF($M356="Critical",3000,IF($M356="Warning",2000,1000))+$L356+ROW()/100000)</f>
        <v/>
      </c>
      <c r="O356" s="29" t="str">
        <f aca="false">IF($K356="Open",IF($C356="Conflict","decide "&amp;$A356&amp;": &lt;which version stands&gt;","decide "&amp;$A356&amp;": &lt;outcome&gt;"),IF($K356="Unconfirmed","confirm "&amp;$A356,""))</f>
        <v/>
      </c>
    </row>
    <row r="357" customFormat="false" ht="15" hidden="false" customHeight="false" outlineLevel="0" collapsed="false">
      <c r="A357" s="24"/>
      <c r="B357" s="27"/>
      <c r="C357" s="28"/>
      <c r="D357" s="24"/>
      <c r="E357" s="24"/>
      <c r="F357" s="24"/>
      <c r="G357" s="28"/>
      <c r="H357" s="28"/>
      <c r="I357" s="24"/>
      <c r="J357" s="24"/>
      <c r="K357" s="29" t="str">
        <f aca="false">IF($A357="","",IF(OR($C357="Decision",$C357="Conflict"),IF(COUNTIFS($I$2:$I$1001,$A357,$C$2:$C$1001,"Resolved")=0,"Open","Closed"),IF(AND($H357="Unconfirmed",OR($C357="New",$C357="Know")),IF(COUNTIFS($I$2:$I$1001,$A357,$C$2:$C$1001,"Confirmed")=0,"Unconfirmed","Confirmed"),"Logged")))</f>
        <v/>
      </c>
      <c r="L357" s="29" t="str">
        <f aca="false">IF($A357="","",AsOf-$B357)</f>
        <v/>
      </c>
      <c r="M357" s="29" t="str">
        <f aca="false">IF($K357="Open",IF($C357="Conflict","Critical",IF($L357&gt;=DecisionCritical,"Critical",IF($L357&gt;=DecisionWarn,"Warning","On track"))),IF($K357="Unconfirmed",IF($L357&gt;=UnconfirmedWarn,"Warning","On track"),""))</f>
        <v/>
      </c>
      <c r="N357" s="29" t="str">
        <f aca="false">IF($M357="","",IF($M357="Critical",3000,IF($M357="Warning",2000,1000))+$L357+ROW()/100000)</f>
        <v/>
      </c>
      <c r="O357" s="29" t="str">
        <f aca="false">IF($K357="Open",IF($C357="Conflict","decide "&amp;$A357&amp;": &lt;which version stands&gt;","decide "&amp;$A357&amp;": &lt;outcome&gt;"),IF($K357="Unconfirmed","confirm "&amp;$A357,""))</f>
        <v/>
      </c>
    </row>
    <row r="358" customFormat="false" ht="15" hidden="false" customHeight="false" outlineLevel="0" collapsed="false">
      <c r="A358" s="24"/>
      <c r="B358" s="27"/>
      <c r="C358" s="28"/>
      <c r="D358" s="24"/>
      <c r="E358" s="24"/>
      <c r="F358" s="24"/>
      <c r="G358" s="28"/>
      <c r="H358" s="28"/>
      <c r="I358" s="24"/>
      <c r="J358" s="24"/>
      <c r="K358" s="29" t="str">
        <f aca="false">IF($A358="","",IF(OR($C358="Decision",$C358="Conflict"),IF(COUNTIFS($I$2:$I$1001,$A358,$C$2:$C$1001,"Resolved")=0,"Open","Closed"),IF(AND($H358="Unconfirmed",OR($C358="New",$C358="Know")),IF(COUNTIFS($I$2:$I$1001,$A358,$C$2:$C$1001,"Confirmed")=0,"Unconfirmed","Confirmed"),"Logged")))</f>
        <v/>
      </c>
      <c r="L358" s="29" t="str">
        <f aca="false">IF($A358="","",AsOf-$B358)</f>
        <v/>
      </c>
      <c r="M358" s="29" t="str">
        <f aca="false">IF($K358="Open",IF($C358="Conflict","Critical",IF($L358&gt;=DecisionCritical,"Critical",IF($L358&gt;=DecisionWarn,"Warning","On track"))),IF($K358="Unconfirmed",IF($L358&gt;=UnconfirmedWarn,"Warning","On track"),""))</f>
        <v/>
      </c>
      <c r="N358" s="29" t="str">
        <f aca="false">IF($M358="","",IF($M358="Critical",3000,IF($M358="Warning",2000,1000))+$L358+ROW()/100000)</f>
        <v/>
      </c>
      <c r="O358" s="29" t="str">
        <f aca="false">IF($K358="Open",IF($C358="Conflict","decide "&amp;$A358&amp;": &lt;which version stands&gt;","decide "&amp;$A358&amp;": &lt;outcome&gt;"),IF($K358="Unconfirmed","confirm "&amp;$A358,""))</f>
        <v/>
      </c>
    </row>
    <row r="359" customFormat="false" ht="15" hidden="false" customHeight="false" outlineLevel="0" collapsed="false">
      <c r="A359" s="24"/>
      <c r="B359" s="27"/>
      <c r="C359" s="28"/>
      <c r="D359" s="24"/>
      <c r="E359" s="24"/>
      <c r="F359" s="24"/>
      <c r="G359" s="28"/>
      <c r="H359" s="28"/>
      <c r="I359" s="24"/>
      <c r="J359" s="24"/>
      <c r="K359" s="29" t="str">
        <f aca="false">IF($A359="","",IF(OR($C359="Decision",$C359="Conflict"),IF(COUNTIFS($I$2:$I$1001,$A359,$C$2:$C$1001,"Resolved")=0,"Open","Closed"),IF(AND($H359="Unconfirmed",OR($C359="New",$C359="Know")),IF(COUNTIFS($I$2:$I$1001,$A359,$C$2:$C$1001,"Confirmed")=0,"Unconfirmed","Confirmed"),"Logged")))</f>
        <v/>
      </c>
      <c r="L359" s="29" t="str">
        <f aca="false">IF($A359="","",AsOf-$B359)</f>
        <v/>
      </c>
      <c r="M359" s="29" t="str">
        <f aca="false">IF($K359="Open",IF($C359="Conflict","Critical",IF($L359&gt;=DecisionCritical,"Critical",IF($L359&gt;=DecisionWarn,"Warning","On track"))),IF($K359="Unconfirmed",IF($L359&gt;=UnconfirmedWarn,"Warning","On track"),""))</f>
        <v/>
      </c>
      <c r="N359" s="29" t="str">
        <f aca="false">IF($M359="","",IF($M359="Critical",3000,IF($M359="Warning",2000,1000))+$L359+ROW()/100000)</f>
        <v/>
      </c>
      <c r="O359" s="29" t="str">
        <f aca="false">IF($K359="Open",IF($C359="Conflict","decide "&amp;$A359&amp;": &lt;which version stands&gt;","decide "&amp;$A359&amp;": &lt;outcome&gt;"),IF($K359="Unconfirmed","confirm "&amp;$A359,""))</f>
        <v/>
      </c>
    </row>
    <row r="360" customFormat="false" ht="15" hidden="false" customHeight="false" outlineLevel="0" collapsed="false">
      <c r="A360" s="24"/>
      <c r="B360" s="27"/>
      <c r="C360" s="28"/>
      <c r="D360" s="24"/>
      <c r="E360" s="24"/>
      <c r="F360" s="24"/>
      <c r="G360" s="28"/>
      <c r="H360" s="28"/>
      <c r="I360" s="24"/>
      <c r="J360" s="24"/>
      <c r="K360" s="29" t="str">
        <f aca="false">IF($A360="","",IF(OR($C360="Decision",$C360="Conflict"),IF(COUNTIFS($I$2:$I$1001,$A360,$C$2:$C$1001,"Resolved")=0,"Open","Closed"),IF(AND($H360="Unconfirmed",OR($C360="New",$C360="Know")),IF(COUNTIFS($I$2:$I$1001,$A360,$C$2:$C$1001,"Confirmed")=0,"Unconfirmed","Confirmed"),"Logged")))</f>
        <v/>
      </c>
      <c r="L360" s="29" t="str">
        <f aca="false">IF($A360="","",AsOf-$B360)</f>
        <v/>
      </c>
      <c r="M360" s="29" t="str">
        <f aca="false">IF($K360="Open",IF($C360="Conflict","Critical",IF($L360&gt;=DecisionCritical,"Critical",IF($L360&gt;=DecisionWarn,"Warning","On track"))),IF($K360="Unconfirmed",IF($L360&gt;=UnconfirmedWarn,"Warning","On track"),""))</f>
        <v/>
      </c>
      <c r="N360" s="29" t="str">
        <f aca="false">IF($M360="","",IF($M360="Critical",3000,IF($M360="Warning",2000,1000))+$L360+ROW()/100000)</f>
        <v/>
      </c>
      <c r="O360" s="29" t="str">
        <f aca="false">IF($K360="Open",IF($C360="Conflict","decide "&amp;$A360&amp;": &lt;which version stands&gt;","decide "&amp;$A360&amp;": &lt;outcome&gt;"),IF($K360="Unconfirmed","confirm "&amp;$A360,""))</f>
        <v/>
      </c>
    </row>
    <row r="361" customFormat="false" ht="15" hidden="false" customHeight="false" outlineLevel="0" collapsed="false">
      <c r="A361" s="24"/>
      <c r="B361" s="27"/>
      <c r="C361" s="28"/>
      <c r="D361" s="24"/>
      <c r="E361" s="24"/>
      <c r="F361" s="24"/>
      <c r="G361" s="28"/>
      <c r="H361" s="28"/>
      <c r="I361" s="24"/>
      <c r="J361" s="24"/>
      <c r="K361" s="29" t="str">
        <f aca="false">IF($A361="","",IF(OR($C361="Decision",$C361="Conflict"),IF(COUNTIFS($I$2:$I$1001,$A361,$C$2:$C$1001,"Resolved")=0,"Open","Closed"),IF(AND($H361="Unconfirmed",OR($C361="New",$C361="Know")),IF(COUNTIFS($I$2:$I$1001,$A361,$C$2:$C$1001,"Confirmed")=0,"Unconfirmed","Confirmed"),"Logged")))</f>
        <v/>
      </c>
      <c r="L361" s="29" t="str">
        <f aca="false">IF($A361="","",AsOf-$B361)</f>
        <v/>
      </c>
      <c r="M361" s="29" t="str">
        <f aca="false">IF($K361="Open",IF($C361="Conflict","Critical",IF($L361&gt;=DecisionCritical,"Critical",IF($L361&gt;=DecisionWarn,"Warning","On track"))),IF($K361="Unconfirmed",IF($L361&gt;=UnconfirmedWarn,"Warning","On track"),""))</f>
        <v/>
      </c>
      <c r="N361" s="29" t="str">
        <f aca="false">IF($M361="","",IF($M361="Critical",3000,IF($M361="Warning",2000,1000))+$L361+ROW()/100000)</f>
        <v/>
      </c>
      <c r="O361" s="29" t="str">
        <f aca="false">IF($K361="Open",IF($C361="Conflict","decide "&amp;$A361&amp;": &lt;which version stands&gt;","decide "&amp;$A361&amp;": &lt;outcome&gt;"),IF($K361="Unconfirmed","confirm "&amp;$A361,""))</f>
        <v/>
      </c>
    </row>
    <row r="362" customFormat="false" ht="15" hidden="false" customHeight="false" outlineLevel="0" collapsed="false">
      <c r="A362" s="24"/>
      <c r="B362" s="27"/>
      <c r="C362" s="28"/>
      <c r="D362" s="24"/>
      <c r="E362" s="24"/>
      <c r="F362" s="24"/>
      <c r="G362" s="28"/>
      <c r="H362" s="28"/>
      <c r="I362" s="24"/>
      <c r="J362" s="24"/>
      <c r="K362" s="29" t="str">
        <f aca="false">IF($A362="","",IF(OR($C362="Decision",$C362="Conflict"),IF(COUNTIFS($I$2:$I$1001,$A362,$C$2:$C$1001,"Resolved")=0,"Open","Closed"),IF(AND($H362="Unconfirmed",OR($C362="New",$C362="Know")),IF(COUNTIFS($I$2:$I$1001,$A362,$C$2:$C$1001,"Confirmed")=0,"Unconfirmed","Confirmed"),"Logged")))</f>
        <v/>
      </c>
      <c r="L362" s="29" t="str">
        <f aca="false">IF($A362="","",AsOf-$B362)</f>
        <v/>
      </c>
      <c r="M362" s="29" t="str">
        <f aca="false">IF($K362="Open",IF($C362="Conflict","Critical",IF($L362&gt;=DecisionCritical,"Critical",IF($L362&gt;=DecisionWarn,"Warning","On track"))),IF($K362="Unconfirmed",IF($L362&gt;=UnconfirmedWarn,"Warning","On track"),""))</f>
        <v/>
      </c>
      <c r="N362" s="29" t="str">
        <f aca="false">IF($M362="","",IF($M362="Critical",3000,IF($M362="Warning",2000,1000))+$L362+ROW()/100000)</f>
        <v/>
      </c>
      <c r="O362" s="29" t="str">
        <f aca="false">IF($K362="Open",IF($C362="Conflict","decide "&amp;$A362&amp;": &lt;which version stands&gt;","decide "&amp;$A362&amp;": &lt;outcome&gt;"),IF($K362="Unconfirmed","confirm "&amp;$A362,""))</f>
        <v/>
      </c>
    </row>
    <row r="363" customFormat="false" ht="15" hidden="false" customHeight="false" outlineLevel="0" collapsed="false">
      <c r="A363" s="24"/>
      <c r="B363" s="27"/>
      <c r="C363" s="28"/>
      <c r="D363" s="24"/>
      <c r="E363" s="24"/>
      <c r="F363" s="24"/>
      <c r="G363" s="28"/>
      <c r="H363" s="28"/>
      <c r="I363" s="24"/>
      <c r="J363" s="24"/>
      <c r="K363" s="29" t="str">
        <f aca="false">IF($A363="","",IF(OR($C363="Decision",$C363="Conflict"),IF(COUNTIFS($I$2:$I$1001,$A363,$C$2:$C$1001,"Resolved")=0,"Open","Closed"),IF(AND($H363="Unconfirmed",OR($C363="New",$C363="Know")),IF(COUNTIFS($I$2:$I$1001,$A363,$C$2:$C$1001,"Confirmed")=0,"Unconfirmed","Confirmed"),"Logged")))</f>
        <v/>
      </c>
      <c r="L363" s="29" t="str">
        <f aca="false">IF($A363="","",AsOf-$B363)</f>
        <v/>
      </c>
      <c r="M363" s="29" t="str">
        <f aca="false">IF($K363="Open",IF($C363="Conflict","Critical",IF($L363&gt;=DecisionCritical,"Critical",IF($L363&gt;=DecisionWarn,"Warning","On track"))),IF($K363="Unconfirmed",IF($L363&gt;=UnconfirmedWarn,"Warning","On track"),""))</f>
        <v/>
      </c>
      <c r="N363" s="29" t="str">
        <f aca="false">IF($M363="","",IF($M363="Critical",3000,IF($M363="Warning",2000,1000))+$L363+ROW()/100000)</f>
        <v/>
      </c>
      <c r="O363" s="29" t="str">
        <f aca="false">IF($K363="Open",IF($C363="Conflict","decide "&amp;$A363&amp;": &lt;which version stands&gt;","decide "&amp;$A363&amp;": &lt;outcome&gt;"),IF($K363="Unconfirmed","confirm "&amp;$A363,""))</f>
        <v/>
      </c>
    </row>
    <row r="364" customFormat="false" ht="15" hidden="false" customHeight="false" outlineLevel="0" collapsed="false">
      <c r="A364" s="24"/>
      <c r="B364" s="27"/>
      <c r="C364" s="28"/>
      <c r="D364" s="24"/>
      <c r="E364" s="24"/>
      <c r="F364" s="24"/>
      <c r="G364" s="28"/>
      <c r="H364" s="28"/>
      <c r="I364" s="24"/>
      <c r="J364" s="24"/>
      <c r="K364" s="29" t="str">
        <f aca="false">IF($A364="","",IF(OR($C364="Decision",$C364="Conflict"),IF(COUNTIFS($I$2:$I$1001,$A364,$C$2:$C$1001,"Resolved")=0,"Open","Closed"),IF(AND($H364="Unconfirmed",OR($C364="New",$C364="Know")),IF(COUNTIFS($I$2:$I$1001,$A364,$C$2:$C$1001,"Confirmed")=0,"Unconfirmed","Confirmed"),"Logged")))</f>
        <v/>
      </c>
      <c r="L364" s="29" t="str">
        <f aca="false">IF($A364="","",AsOf-$B364)</f>
        <v/>
      </c>
      <c r="M364" s="29" t="str">
        <f aca="false">IF($K364="Open",IF($C364="Conflict","Critical",IF($L364&gt;=DecisionCritical,"Critical",IF($L364&gt;=DecisionWarn,"Warning","On track"))),IF($K364="Unconfirmed",IF($L364&gt;=UnconfirmedWarn,"Warning","On track"),""))</f>
        <v/>
      </c>
      <c r="N364" s="29" t="str">
        <f aca="false">IF($M364="","",IF($M364="Critical",3000,IF($M364="Warning",2000,1000))+$L364+ROW()/100000)</f>
        <v/>
      </c>
      <c r="O364" s="29" t="str">
        <f aca="false">IF($K364="Open",IF($C364="Conflict","decide "&amp;$A364&amp;": &lt;which version stands&gt;","decide "&amp;$A364&amp;": &lt;outcome&gt;"),IF($K364="Unconfirmed","confirm "&amp;$A364,""))</f>
        <v/>
      </c>
    </row>
    <row r="365" customFormat="false" ht="15" hidden="false" customHeight="false" outlineLevel="0" collapsed="false">
      <c r="A365" s="24"/>
      <c r="B365" s="27"/>
      <c r="C365" s="28"/>
      <c r="D365" s="24"/>
      <c r="E365" s="24"/>
      <c r="F365" s="24"/>
      <c r="G365" s="28"/>
      <c r="H365" s="28"/>
      <c r="I365" s="24"/>
      <c r="J365" s="24"/>
      <c r="K365" s="29" t="str">
        <f aca="false">IF($A365="","",IF(OR($C365="Decision",$C365="Conflict"),IF(COUNTIFS($I$2:$I$1001,$A365,$C$2:$C$1001,"Resolved")=0,"Open","Closed"),IF(AND($H365="Unconfirmed",OR($C365="New",$C365="Know")),IF(COUNTIFS($I$2:$I$1001,$A365,$C$2:$C$1001,"Confirmed")=0,"Unconfirmed","Confirmed"),"Logged")))</f>
        <v/>
      </c>
      <c r="L365" s="29" t="str">
        <f aca="false">IF($A365="","",AsOf-$B365)</f>
        <v/>
      </c>
      <c r="M365" s="29" t="str">
        <f aca="false">IF($K365="Open",IF($C365="Conflict","Critical",IF($L365&gt;=DecisionCritical,"Critical",IF($L365&gt;=DecisionWarn,"Warning","On track"))),IF($K365="Unconfirmed",IF($L365&gt;=UnconfirmedWarn,"Warning","On track"),""))</f>
        <v/>
      </c>
      <c r="N365" s="29" t="str">
        <f aca="false">IF($M365="","",IF($M365="Critical",3000,IF($M365="Warning",2000,1000))+$L365+ROW()/100000)</f>
        <v/>
      </c>
      <c r="O365" s="29" t="str">
        <f aca="false">IF($K365="Open",IF($C365="Conflict","decide "&amp;$A365&amp;": &lt;which version stands&gt;","decide "&amp;$A365&amp;": &lt;outcome&gt;"),IF($K365="Unconfirmed","confirm "&amp;$A365,""))</f>
        <v/>
      </c>
    </row>
    <row r="366" customFormat="false" ht="15" hidden="false" customHeight="false" outlineLevel="0" collapsed="false">
      <c r="A366" s="24"/>
      <c r="B366" s="27"/>
      <c r="C366" s="28"/>
      <c r="D366" s="24"/>
      <c r="E366" s="24"/>
      <c r="F366" s="24"/>
      <c r="G366" s="28"/>
      <c r="H366" s="28"/>
      <c r="I366" s="24"/>
      <c r="J366" s="24"/>
      <c r="K366" s="29" t="str">
        <f aca="false">IF($A366="","",IF(OR($C366="Decision",$C366="Conflict"),IF(COUNTIFS($I$2:$I$1001,$A366,$C$2:$C$1001,"Resolved")=0,"Open","Closed"),IF(AND($H366="Unconfirmed",OR($C366="New",$C366="Know")),IF(COUNTIFS($I$2:$I$1001,$A366,$C$2:$C$1001,"Confirmed")=0,"Unconfirmed","Confirmed"),"Logged")))</f>
        <v/>
      </c>
      <c r="L366" s="29" t="str">
        <f aca="false">IF($A366="","",AsOf-$B366)</f>
        <v/>
      </c>
      <c r="M366" s="29" t="str">
        <f aca="false">IF($K366="Open",IF($C366="Conflict","Critical",IF($L366&gt;=DecisionCritical,"Critical",IF($L366&gt;=DecisionWarn,"Warning","On track"))),IF($K366="Unconfirmed",IF($L366&gt;=UnconfirmedWarn,"Warning","On track"),""))</f>
        <v/>
      </c>
      <c r="N366" s="29" t="str">
        <f aca="false">IF($M366="","",IF($M366="Critical",3000,IF($M366="Warning",2000,1000))+$L366+ROW()/100000)</f>
        <v/>
      </c>
      <c r="O366" s="29" t="str">
        <f aca="false">IF($K366="Open",IF($C366="Conflict","decide "&amp;$A366&amp;": &lt;which version stands&gt;","decide "&amp;$A366&amp;": &lt;outcome&gt;"),IF($K366="Unconfirmed","confirm "&amp;$A366,""))</f>
        <v/>
      </c>
    </row>
    <row r="367" customFormat="false" ht="15" hidden="false" customHeight="false" outlineLevel="0" collapsed="false">
      <c r="A367" s="24"/>
      <c r="B367" s="27"/>
      <c r="C367" s="28"/>
      <c r="D367" s="24"/>
      <c r="E367" s="24"/>
      <c r="F367" s="24"/>
      <c r="G367" s="28"/>
      <c r="H367" s="28"/>
      <c r="I367" s="24"/>
      <c r="J367" s="24"/>
      <c r="K367" s="29" t="str">
        <f aca="false">IF($A367="","",IF(OR($C367="Decision",$C367="Conflict"),IF(COUNTIFS($I$2:$I$1001,$A367,$C$2:$C$1001,"Resolved")=0,"Open","Closed"),IF(AND($H367="Unconfirmed",OR($C367="New",$C367="Know")),IF(COUNTIFS($I$2:$I$1001,$A367,$C$2:$C$1001,"Confirmed")=0,"Unconfirmed","Confirmed"),"Logged")))</f>
        <v/>
      </c>
      <c r="L367" s="29" t="str">
        <f aca="false">IF($A367="","",AsOf-$B367)</f>
        <v/>
      </c>
      <c r="M367" s="29" t="str">
        <f aca="false">IF($K367="Open",IF($C367="Conflict","Critical",IF($L367&gt;=DecisionCritical,"Critical",IF($L367&gt;=DecisionWarn,"Warning","On track"))),IF($K367="Unconfirmed",IF($L367&gt;=UnconfirmedWarn,"Warning","On track"),""))</f>
        <v/>
      </c>
      <c r="N367" s="29" t="str">
        <f aca="false">IF($M367="","",IF($M367="Critical",3000,IF($M367="Warning",2000,1000))+$L367+ROW()/100000)</f>
        <v/>
      </c>
      <c r="O367" s="29" t="str">
        <f aca="false">IF($K367="Open",IF($C367="Conflict","decide "&amp;$A367&amp;": &lt;which version stands&gt;","decide "&amp;$A367&amp;": &lt;outcome&gt;"),IF($K367="Unconfirmed","confirm "&amp;$A367,""))</f>
        <v/>
      </c>
    </row>
    <row r="368" customFormat="false" ht="15" hidden="false" customHeight="false" outlineLevel="0" collapsed="false">
      <c r="A368" s="24"/>
      <c r="B368" s="27"/>
      <c r="C368" s="28"/>
      <c r="D368" s="24"/>
      <c r="E368" s="24"/>
      <c r="F368" s="24"/>
      <c r="G368" s="28"/>
      <c r="H368" s="28"/>
      <c r="I368" s="24"/>
      <c r="J368" s="24"/>
      <c r="K368" s="29" t="str">
        <f aca="false">IF($A368="","",IF(OR($C368="Decision",$C368="Conflict"),IF(COUNTIFS($I$2:$I$1001,$A368,$C$2:$C$1001,"Resolved")=0,"Open","Closed"),IF(AND($H368="Unconfirmed",OR($C368="New",$C368="Know")),IF(COUNTIFS($I$2:$I$1001,$A368,$C$2:$C$1001,"Confirmed")=0,"Unconfirmed","Confirmed"),"Logged")))</f>
        <v/>
      </c>
      <c r="L368" s="29" t="str">
        <f aca="false">IF($A368="","",AsOf-$B368)</f>
        <v/>
      </c>
      <c r="M368" s="29" t="str">
        <f aca="false">IF($K368="Open",IF($C368="Conflict","Critical",IF($L368&gt;=DecisionCritical,"Critical",IF($L368&gt;=DecisionWarn,"Warning","On track"))),IF($K368="Unconfirmed",IF($L368&gt;=UnconfirmedWarn,"Warning","On track"),""))</f>
        <v/>
      </c>
      <c r="N368" s="29" t="str">
        <f aca="false">IF($M368="","",IF($M368="Critical",3000,IF($M368="Warning",2000,1000))+$L368+ROW()/100000)</f>
        <v/>
      </c>
      <c r="O368" s="29" t="str">
        <f aca="false">IF($K368="Open",IF($C368="Conflict","decide "&amp;$A368&amp;": &lt;which version stands&gt;","decide "&amp;$A368&amp;": &lt;outcome&gt;"),IF($K368="Unconfirmed","confirm "&amp;$A368,""))</f>
        <v/>
      </c>
    </row>
    <row r="369" customFormat="false" ht="15" hidden="false" customHeight="false" outlineLevel="0" collapsed="false">
      <c r="A369" s="24"/>
      <c r="B369" s="27"/>
      <c r="C369" s="28"/>
      <c r="D369" s="24"/>
      <c r="E369" s="24"/>
      <c r="F369" s="24"/>
      <c r="G369" s="28"/>
      <c r="H369" s="28"/>
      <c r="I369" s="24"/>
      <c r="J369" s="24"/>
      <c r="K369" s="29" t="str">
        <f aca="false">IF($A369="","",IF(OR($C369="Decision",$C369="Conflict"),IF(COUNTIFS($I$2:$I$1001,$A369,$C$2:$C$1001,"Resolved")=0,"Open","Closed"),IF(AND($H369="Unconfirmed",OR($C369="New",$C369="Know")),IF(COUNTIFS($I$2:$I$1001,$A369,$C$2:$C$1001,"Confirmed")=0,"Unconfirmed","Confirmed"),"Logged")))</f>
        <v/>
      </c>
      <c r="L369" s="29" t="str">
        <f aca="false">IF($A369="","",AsOf-$B369)</f>
        <v/>
      </c>
      <c r="M369" s="29" t="str">
        <f aca="false">IF($K369="Open",IF($C369="Conflict","Critical",IF($L369&gt;=DecisionCritical,"Critical",IF($L369&gt;=DecisionWarn,"Warning","On track"))),IF($K369="Unconfirmed",IF($L369&gt;=UnconfirmedWarn,"Warning","On track"),""))</f>
        <v/>
      </c>
      <c r="N369" s="29" t="str">
        <f aca="false">IF($M369="","",IF($M369="Critical",3000,IF($M369="Warning",2000,1000))+$L369+ROW()/100000)</f>
        <v/>
      </c>
      <c r="O369" s="29" t="str">
        <f aca="false">IF($K369="Open",IF($C369="Conflict","decide "&amp;$A369&amp;": &lt;which version stands&gt;","decide "&amp;$A369&amp;": &lt;outcome&gt;"),IF($K369="Unconfirmed","confirm "&amp;$A369,""))</f>
        <v/>
      </c>
    </row>
    <row r="370" customFormat="false" ht="15" hidden="false" customHeight="false" outlineLevel="0" collapsed="false">
      <c r="A370" s="24"/>
      <c r="B370" s="27"/>
      <c r="C370" s="28"/>
      <c r="D370" s="24"/>
      <c r="E370" s="24"/>
      <c r="F370" s="24"/>
      <c r="G370" s="28"/>
      <c r="H370" s="28"/>
      <c r="I370" s="24"/>
      <c r="J370" s="24"/>
      <c r="K370" s="29" t="str">
        <f aca="false">IF($A370="","",IF(OR($C370="Decision",$C370="Conflict"),IF(COUNTIFS($I$2:$I$1001,$A370,$C$2:$C$1001,"Resolved")=0,"Open","Closed"),IF(AND($H370="Unconfirmed",OR($C370="New",$C370="Know")),IF(COUNTIFS($I$2:$I$1001,$A370,$C$2:$C$1001,"Confirmed")=0,"Unconfirmed","Confirmed"),"Logged")))</f>
        <v/>
      </c>
      <c r="L370" s="29" t="str">
        <f aca="false">IF($A370="","",AsOf-$B370)</f>
        <v/>
      </c>
      <c r="M370" s="29" t="str">
        <f aca="false">IF($K370="Open",IF($C370="Conflict","Critical",IF($L370&gt;=DecisionCritical,"Critical",IF($L370&gt;=DecisionWarn,"Warning","On track"))),IF($K370="Unconfirmed",IF($L370&gt;=UnconfirmedWarn,"Warning","On track"),""))</f>
        <v/>
      </c>
      <c r="N370" s="29" t="str">
        <f aca="false">IF($M370="","",IF($M370="Critical",3000,IF($M370="Warning",2000,1000))+$L370+ROW()/100000)</f>
        <v/>
      </c>
      <c r="O370" s="29" t="str">
        <f aca="false">IF($K370="Open",IF($C370="Conflict","decide "&amp;$A370&amp;": &lt;which version stands&gt;","decide "&amp;$A370&amp;": &lt;outcome&gt;"),IF($K370="Unconfirmed","confirm "&amp;$A370,""))</f>
        <v/>
      </c>
    </row>
    <row r="371" customFormat="false" ht="15" hidden="false" customHeight="false" outlineLevel="0" collapsed="false">
      <c r="A371" s="24"/>
      <c r="B371" s="27"/>
      <c r="C371" s="28"/>
      <c r="D371" s="24"/>
      <c r="E371" s="24"/>
      <c r="F371" s="24"/>
      <c r="G371" s="28"/>
      <c r="H371" s="28"/>
      <c r="I371" s="24"/>
      <c r="J371" s="24"/>
      <c r="K371" s="29" t="str">
        <f aca="false">IF($A371="","",IF(OR($C371="Decision",$C371="Conflict"),IF(COUNTIFS($I$2:$I$1001,$A371,$C$2:$C$1001,"Resolved")=0,"Open","Closed"),IF(AND($H371="Unconfirmed",OR($C371="New",$C371="Know")),IF(COUNTIFS($I$2:$I$1001,$A371,$C$2:$C$1001,"Confirmed")=0,"Unconfirmed","Confirmed"),"Logged")))</f>
        <v/>
      </c>
      <c r="L371" s="29" t="str">
        <f aca="false">IF($A371="","",AsOf-$B371)</f>
        <v/>
      </c>
      <c r="M371" s="29" t="str">
        <f aca="false">IF($K371="Open",IF($C371="Conflict","Critical",IF($L371&gt;=DecisionCritical,"Critical",IF($L371&gt;=DecisionWarn,"Warning","On track"))),IF($K371="Unconfirmed",IF($L371&gt;=UnconfirmedWarn,"Warning","On track"),""))</f>
        <v/>
      </c>
      <c r="N371" s="29" t="str">
        <f aca="false">IF($M371="","",IF($M371="Critical",3000,IF($M371="Warning",2000,1000))+$L371+ROW()/100000)</f>
        <v/>
      </c>
      <c r="O371" s="29" t="str">
        <f aca="false">IF($K371="Open",IF($C371="Conflict","decide "&amp;$A371&amp;": &lt;which version stands&gt;","decide "&amp;$A371&amp;": &lt;outcome&gt;"),IF($K371="Unconfirmed","confirm "&amp;$A371,""))</f>
        <v/>
      </c>
    </row>
    <row r="372" customFormat="false" ht="15" hidden="false" customHeight="false" outlineLevel="0" collapsed="false">
      <c r="A372" s="24"/>
      <c r="B372" s="27"/>
      <c r="C372" s="28"/>
      <c r="D372" s="24"/>
      <c r="E372" s="24"/>
      <c r="F372" s="24"/>
      <c r="G372" s="28"/>
      <c r="H372" s="28"/>
      <c r="I372" s="24"/>
      <c r="J372" s="24"/>
      <c r="K372" s="29" t="str">
        <f aca="false">IF($A372="","",IF(OR($C372="Decision",$C372="Conflict"),IF(COUNTIFS($I$2:$I$1001,$A372,$C$2:$C$1001,"Resolved")=0,"Open","Closed"),IF(AND($H372="Unconfirmed",OR($C372="New",$C372="Know")),IF(COUNTIFS($I$2:$I$1001,$A372,$C$2:$C$1001,"Confirmed")=0,"Unconfirmed","Confirmed"),"Logged")))</f>
        <v/>
      </c>
      <c r="L372" s="29" t="str">
        <f aca="false">IF($A372="","",AsOf-$B372)</f>
        <v/>
      </c>
      <c r="M372" s="29" t="str">
        <f aca="false">IF($K372="Open",IF($C372="Conflict","Critical",IF($L372&gt;=DecisionCritical,"Critical",IF($L372&gt;=DecisionWarn,"Warning","On track"))),IF($K372="Unconfirmed",IF($L372&gt;=UnconfirmedWarn,"Warning","On track"),""))</f>
        <v/>
      </c>
      <c r="N372" s="29" t="str">
        <f aca="false">IF($M372="","",IF($M372="Critical",3000,IF($M372="Warning",2000,1000))+$L372+ROW()/100000)</f>
        <v/>
      </c>
      <c r="O372" s="29" t="str">
        <f aca="false">IF($K372="Open",IF($C372="Conflict","decide "&amp;$A372&amp;": &lt;which version stands&gt;","decide "&amp;$A372&amp;": &lt;outcome&gt;"),IF($K372="Unconfirmed","confirm "&amp;$A372,""))</f>
        <v/>
      </c>
    </row>
    <row r="373" customFormat="false" ht="15" hidden="false" customHeight="false" outlineLevel="0" collapsed="false">
      <c r="A373" s="24"/>
      <c r="B373" s="27"/>
      <c r="C373" s="28"/>
      <c r="D373" s="24"/>
      <c r="E373" s="24"/>
      <c r="F373" s="24"/>
      <c r="G373" s="28"/>
      <c r="H373" s="28"/>
      <c r="I373" s="24"/>
      <c r="J373" s="24"/>
      <c r="K373" s="29" t="str">
        <f aca="false">IF($A373="","",IF(OR($C373="Decision",$C373="Conflict"),IF(COUNTIFS($I$2:$I$1001,$A373,$C$2:$C$1001,"Resolved")=0,"Open","Closed"),IF(AND($H373="Unconfirmed",OR($C373="New",$C373="Know")),IF(COUNTIFS($I$2:$I$1001,$A373,$C$2:$C$1001,"Confirmed")=0,"Unconfirmed","Confirmed"),"Logged")))</f>
        <v/>
      </c>
      <c r="L373" s="29" t="str">
        <f aca="false">IF($A373="","",AsOf-$B373)</f>
        <v/>
      </c>
      <c r="M373" s="29" t="str">
        <f aca="false">IF($K373="Open",IF($C373="Conflict","Critical",IF($L373&gt;=DecisionCritical,"Critical",IF($L373&gt;=DecisionWarn,"Warning","On track"))),IF($K373="Unconfirmed",IF($L373&gt;=UnconfirmedWarn,"Warning","On track"),""))</f>
        <v/>
      </c>
      <c r="N373" s="29" t="str">
        <f aca="false">IF($M373="","",IF($M373="Critical",3000,IF($M373="Warning",2000,1000))+$L373+ROW()/100000)</f>
        <v/>
      </c>
      <c r="O373" s="29" t="str">
        <f aca="false">IF($K373="Open",IF($C373="Conflict","decide "&amp;$A373&amp;": &lt;which version stands&gt;","decide "&amp;$A373&amp;": &lt;outcome&gt;"),IF($K373="Unconfirmed","confirm "&amp;$A373,""))</f>
        <v/>
      </c>
    </row>
    <row r="374" customFormat="false" ht="15" hidden="false" customHeight="false" outlineLevel="0" collapsed="false">
      <c r="A374" s="24"/>
      <c r="B374" s="27"/>
      <c r="C374" s="28"/>
      <c r="D374" s="24"/>
      <c r="E374" s="24"/>
      <c r="F374" s="24"/>
      <c r="G374" s="28"/>
      <c r="H374" s="28"/>
      <c r="I374" s="24"/>
      <c r="J374" s="24"/>
      <c r="K374" s="29" t="str">
        <f aca="false">IF($A374="","",IF(OR($C374="Decision",$C374="Conflict"),IF(COUNTIFS($I$2:$I$1001,$A374,$C$2:$C$1001,"Resolved")=0,"Open","Closed"),IF(AND($H374="Unconfirmed",OR($C374="New",$C374="Know")),IF(COUNTIFS($I$2:$I$1001,$A374,$C$2:$C$1001,"Confirmed")=0,"Unconfirmed","Confirmed"),"Logged")))</f>
        <v/>
      </c>
      <c r="L374" s="29" t="str">
        <f aca="false">IF($A374="","",AsOf-$B374)</f>
        <v/>
      </c>
      <c r="M374" s="29" t="str">
        <f aca="false">IF($K374="Open",IF($C374="Conflict","Critical",IF($L374&gt;=DecisionCritical,"Critical",IF($L374&gt;=DecisionWarn,"Warning","On track"))),IF($K374="Unconfirmed",IF($L374&gt;=UnconfirmedWarn,"Warning","On track"),""))</f>
        <v/>
      </c>
      <c r="N374" s="29" t="str">
        <f aca="false">IF($M374="","",IF($M374="Critical",3000,IF($M374="Warning",2000,1000))+$L374+ROW()/100000)</f>
        <v/>
      </c>
      <c r="O374" s="29" t="str">
        <f aca="false">IF($K374="Open",IF($C374="Conflict","decide "&amp;$A374&amp;": &lt;which version stands&gt;","decide "&amp;$A374&amp;": &lt;outcome&gt;"),IF($K374="Unconfirmed","confirm "&amp;$A374,""))</f>
        <v/>
      </c>
    </row>
    <row r="375" customFormat="false" ht="15" hidden="false" customHeight="false" outlineLevel="0" collapsed="false">
      <c r="A375" s="24"/>
      <c r="B375" s="27"/>
      <c r="C375" s="28"/>
      <c r="D375" s="24"/>
      <c r="E375" s="24"/>
      <c r="F375" s="24"/>
      <c r="G375" s="28"/>
      <c r="H375" s="28"/>
      <c r="I375" s="24"/>
      <c r="J375" s="24"/>
      <c r="K375" s="29" t="str">
        <f aca="false">IF($A375="","",IF(OR($C375="Decision",$C375="Conflict"),IF(COUNTIFS($I$2:$I$1001,$A375,$C$2:$C$1001,"Resolved")=0,"Open","Closed"),IF(AND($H375="Unconfirmed",OR($C375="New",$C375="Know")),IF(COUNTIFS($I$2:$I$1001,$A375,$C$2:$C$1001,"Confirmed")=0,"Unconfirmed","Confirmed"),"Logged")))</f>
        <v/>
      </c>
      <c r="L375" s="29" t="str">
        <f aca="false">IF($A375="","",AsOf-$B375)</f>
        <v/>
      </c>
      <c r="M375" s="29" t="str">
        <f aca="false">IF($K375="Open",IF($C375="Conflict","Critical",IF($L375&gt;=DecisionCritical,"Critical",IF($L375&gt;=DecisionWarn,"Warning","On track"))),IF($K375="Unconfirmed",IF($L375&gt;=UnconfirmedWarn,"Warning","On track"),""))</f>
        <v/>
      </c>
      <c r="N375" s="29" t="str">
        <f aca="false">IF($M375="","",IF($M375="Critical",3000,IF($M375="Warning",2000,1000))+$L375+ROW()/100000)</f>
        <v/>
      </c>
      <c r="O375" s="29" t="str">
        <f aca="false">IF($K375="Open",IF($C375="Conflict","decide "&amp;$A375&amp;": &lt;which version stands&gt;","decide "&amp;$A375&amp;": &lt;outcome&gt;"),IF($K375="Unconfirmed","confirm "&amp;$A375,""))</f>
        <v/>
      </c>
    </row>
    <row r="376" customFormat="false" ht="15" hidden="false" customHeight="false" outlineLevel="0" collapsed="false">
      <c r="A376" s="24"/>
      <c r="B376" s="27"/>
      <c r="C376" s="28"/>
      <c r="D376" s="24"/>
      <c r="E376" s="24"/>
      <c r="F376" s="24"/>
      <c r="G376" s="28"/>
      <c r="H376" s="28"/>
      <c r="I376" s="24"/>
      <c r="J376" s="24"/>
      <c r="K376" s="29" t="str">
        <f aca="false">IF($A376="","",IF(OR($C376="Decision",$C376="Conflict"),IF(COUNTIFS($I$2:$I$1001,$A376,$C$2:$C$1001,"Resolved")=0,"Open","Closed"),IF(AND($H376="Unconfirmed",OR($C376="New",$C376="Know")),IF(COUNTIFS($I$2:$I$1001,$A376,$C$2:$C$1001,"Confirmed")=0,"Unconfirmed","Confirmed"),"Logged")))</f>
        <v/>
      </c>
      <c r="L376" s="29" t="str">
        <f aca="false">IF($A376="","",AsOf-$B376)</f>
        <v/>
      </c>
      <c r="M376" s="29" t="str">
        <f aca="false">IF($K376="Open",IF($C376="Conflict","Critical",IF($L376&gt;=DecisionCritical,"Critical",IF($L376&gt;=DecisionWarn,"Warning","On track"))),IF($K376="Unconfirmed",IF($L376&gt;=UnconfirmedWarn,"Warning","On track"),""))</f>
        <v/>
      </c>
      <c r="N376" s="29" t="str">
        <f aca="false">IF($M376="","",IF($M376="Critical",3000,IF($M376="Warning",2000,1000))+$L376+ROW()/100000)</f>
        <v/>
      </c>
      <c r="O376" s="29" t="str">
        <f aca="false">IF($K376="Open",IF($C376="Conflict","decide "&amp;$A376&amp;": &lt;which version stands&gt;","decide "&amp;$A376&amp;": &lt;outcome&gt;"),IF($K376="Unconfirmed","confirm "&amp;$A376,""))</f>
        <v/>
      </c>
    </row>
    <row r="377" customFormat="false" ht="15" hidden="false" customHeight="false" outlineLevel="0" collapsed="false">
      <c r="A377" s="24"/>
      <c r="B377" s="27"/>
      <c r="C377" s="28"/>
      <c r="D377" s="24"/>
      <c r="E377" s="24"/>
      <c r="F377" s="24"/>
      <c r="G377" s="28"/>
      <c r="H377" s="28"/>
      <c r="I377" s="24"/>
      <c r="J377" s="24"/>
      <c r="K377" s="29" t="str">
        <f aca="false">IF($A377="","",IF(OR($C377="Decision",$C377="Conflict"),IF(COUNTIFS($I$2:$I$1001,$A377,$C$2:$C$1001,"Resolved")=0,"Open","Closed"),IF(AND($H377="Unconfirmed",OR($C377="New",$C377="Know")),IF(COUNTIFS($I$2:$I$1001,$A377,$C$2:$C$1001,"Confirmed")=0,"Unconfirmed","Confirmed"),"Logged")))</f>
        <v/>
      </c>
      <c r="L377" s="29" t="str">
        <f aca="false">IF($A377="","",AsOf-$B377)</f>
        <v/>
      </c>
      <c r="M377" s="29" t="str">
        <f aca="false">IF($K377="Open",IF($C377="Conflict","Critical",IF($L377&gt;=DecisionCritical,"Critical",IF($L377&gt;=DecisionWarn,"Warning","On track"))),IF($K377="Unconfirmed",IF($L377&gt;=UnconfirmedWarn,"Warning","On track"),""))</f>
        <v/>
      </c>
      <c r="N377" s="29" t="str">
        <f aca="false">IF($M377="","",IF($M377="Critical",3000,IF($M377="Warning",2000,1000))+$L377+ROW()/100000)</f>
        <v/>
      </c>
      <c r="O377" s="29" t="str">
        <f aca="false">IF($K377="Open",IF($C377="Conflict","decide "&amp;$A377&amp;": &lt;which version stands&gt;","decide "&amp;$A377&amp;": &lt;outcome&gt;"),IF($K377="Unconfirmed","confirm "&amp;$A377,""))</f>
        <v/>
      </c>
    </row>
    <row r="378" customFormat="false" ht="15" hidden="false" customHeight="false" outlineLevel="0" collapsed="false">
      <c r="A378" s="24"/>
      <c r="B378" s="27"/>
      <c r="C378" s="28"/>
      <c r="D378" s="24"/>
      <c r="E378" s="24"/>
      <c r="F378" s="24"/>
      <c r="G378" s="28"/>
      <c r="H378" s="28"/>
      <c r="I378" s="24"/>
      <c r="J378" s="24"/>
      <c r="K378" s="29" t="str">
        <f aca="false">IF($A378="","",IF(OR($C378="Decision",$C378="Conflict"),IF(COUNTIFS($I$2:$I$1001,$A378,$C$2:$C$1001,"Resolved")=0,"Open","Closed"),IF(AND($H378="Unconfirmed",OR($C378="New",$C378="Know")),IF(COUNTIFS($I$2:$I$1001,$A378,$C$2:$C$1001,"Confirmed")=0,"Unconfirmed","Confirmed"),"Logged")))</f>
        <v/>
      </c>
      <c r="L378" s="29" t="str">
        <f aca="false">IF($A378="","",AsOf-$B378)</f>
        <v/>
      </c>
      <c r="M378" s="29" t="str">
        <f aca="false">IF($K378="Open",IF($C378="Conflict","Critical",IF($L378&gt;=DecisionCritical,"Critical",IF($L378&gt;=DecisionWarn,"Warning","On track"))),IF($K378="Unconfirmed",IF($L378&gt;=UnconfirmedWarn,"Warning","On track"),""))</f>
        <v/>
      </c>
      <c r="N378" s="29" t="str">
        <f aca="false">IF($M378="","",IF($M378="Critical",3000,IF($M378="Warning",2000,1000))+$L378+ROW()/100000)</f>
        <v/>
      </c>
      <c r="O378" s="29" t="str">
        <f aca="false">IF($K378="Open",IF($C378="Conflict","decide "&amp;$A378&amp;": &lt;which version stands&gt;","decide "&amp;$A378&amp;": &lt;outcome&gt;"),IF($K378="Unconfirmed","confirm "&amp;$A378,""))</f>
        <v/>
      </c>
    </row>
    <row r="379" customFormat="false" ht="15" hidden="false" customHeight="false" outlineLevel="0" collapsed="false">
      <c r="A379" s="24"/>
      <c r="B379" s="27"/>
      <c r="C379" s="28"/>
      <c r="D379" s="24"/>
      <c r="E379" s="24"/>
      <c r="F379" s="24"/>
      <c r="G379" s="28"/>
      <c r="H379" s="28"/>
      <c r="I379" s="24"/>
      <c r="J379" s="24"/>
      <c r="K379" s="29" t="str">
        <f aca="false">IF($A379="","",IF(OR($C379="Decision",$C379="Conflict"),IF(COUNTIFS($I$2:$I$1001,$A379,$C$2:$C$1001,"Resolved")=0,"Open","Closed"),IF(AND($H379="Unconfirmed",OR($C379="New",$C379="Know")),IF(COUNTIFS($I$2:$I$1001,$A379,$C$2:$C$1001,"Confirmed")=0,"Unconfirmed","Confirmed"),"Logged")))</f>
        <v/>
      </c>
      <c r="L379" s="29" t="str">
        <f aca="false">IF($A379="","",AsOf-$B379)</f>
        <v/>
      </c>
      <c r="M379" s="29" t="str">
        <f aca="false">IF($K379="Open",IF($C379="Conflict","Critical",IF($L379&gt;=DecisionCritical,"Critical",IF($L379&gt;=DecisionWarn,"Warning","On track"))),IF($K379="Unconfirmed",IF($L379&gt;=UnconfirmedWarn,"Warning","On track"),""))</f>
        <v/>
      </c>
      <c r="N379" s="29" t="str">
        <f aca="false">IF($M379="","",IF($M379="Critical",3000,IF($M379="Warning",2000,1000))+$L379+ROW()/100000)</f>
        <v/>
      </c>
      <c r="O379" s="29" t="str">
        <f aca="false">IF($K379="Open",IF($C379="Conflict","decide "&amp;$A379&amp;": &lt;which version stands&gt;","decide "&amp;$A379&amp;": &lt;outcome&gt;"),IF($K379="Unconfirmed","confirm "&amp;$A379,""))</f>
        <v/>
      </c>
    </row>
    <row r="380" customFormat="false" ht="15" hidden="false" customHeight="false" outlineLevel="0" collapsed="false">
      <c r="A380" s="24"/>
      <c r="B380" s="27"/>
      <c r="C380" s="28"/>
      <c r="D380" s="24"/>
      <c r="E380" s="24"/>
      <c r="F380" s="24"/>
      <c r="G380" s="28"/>
      <c r="H380" s="28"/>
      <c r="I380" s="24"/>
      <c r="J380" s="24"/>
      <c r="K380" s="29" t="str">
        <f aca="false">IF($A380="","",IF(OR($C380="Decision",$C380="Conflict"),IF(COUNTIFS($I$2:$I$1001,$A380,$C$2:$C$1001,"Resolved")=0,"Open","Closed"),IF(AND($H380="Unconfirmed",OR($C380="New",$C380="Know")),IF(COUNTIFS($I$2:$I$1001,$A380,$C$2:$C$1001,"Confirmed")=0,"Unconfirmed","Confirmed"),"Logged")))</f>
        <v/>
      </c>
      <c r="L380" s="29" t="str">
        <f aca="false">IF($A380="","",AsOf-$B380)</f>
        <v/>
      </c>
      <c r="M380" s="29" t="str">
        <f aca="false">IF($K380="Open",IF($C380="Conflict","Critical",IF($L380&gt;=DecisionCritical,"Critical",IF($L380&gt;=DecisionWarn,"Warning","On track"))),IF($K380="Unconfirmed",IF($L380&gt;=UnconfirmedWarn,"Warning","On track"),""))</f>
        <v/>
      </c>
      <c r="N380" s="29" t="str">
        <f aca="false">IF($M380="","",IF($M380="Critical",3000,IF($M380="Warning",2000,1000))+$L380+ROW()/100000)</f>
        <v/>
      </c>
      <c r="O380" s="29" t="str">
        <f aca="false">IF($K380="Open",IF($C380="Conflict","decide "&amp;$A380&amp;": &lt;which version stands&gt;","decide "&amp;$A380&amp;": &lt;outcome&gt;"),IF($K380="Unconfirmed","confirm "&amp;$A380,""))</f>
        <v/>
      </c>
    </row>
    <row r="381" customFormat="false" ht="15" hidden="false" customHeight="false" outlineLevel="0" collapsed="false">
      <c r="A381" s="24"/>
      <c r="B381" s="27"/>
      <c r="C381" s="28"/>
      <c r="D381" s="24"/>
      <c r="E381" s="24"/>
      <c r="F381" s="24"/>
      <c r="G381" s="28"/>
      <c r="H381" s="28"/>
      <c r="I381" s="24"/>
      <c r="J381" s="24"/>
      <c r="K381" s="29" t="str">
        <f aca="false">IF($A381="","",IF(OR($C381="Decision",$C381="Conflict"),IF(COUNTIFS($I$2:$I$1001,$A381,$C$2:$C$1001,"Resolved")=0,"Open","Closed"),IF(AND($H381="Unconfirmed",OR($C381="New",$C381="Know")),IF(COUNTIFS($I$2:$I$1001,$A381,$C$2:$C$1001,"Confirmed")=0,"Unconfirmed","Confirmed"),"Logged")))</f>
        <v/>
      </c>
      <c r="L381" s="29" t="str">
        <f aca="false">IF($A381="","",AsOf-$B381)</f>
        <v/>
      </c>
      <c r="M381" s="29" t="str">
        <f aca="false">IF($K381="Open",IF($C381="Conflict","Critical",IF($L381&gt;=DecisionCritical,"Critical",IF($L381&gt;=DecisionWarn,"Warning","On track"))),IF($K381="Unconfirmed",IF($L381&gt;=UnconfirmedWarn,"Warning","On track"),""))</f>
        <v/>
      </c>
      <c r="N381" s="29" t="str">
        <f aca="false">IF($M381="","",IF($M381="Critical",3000,IF($M381="Warning",2000,1000))+$L381+ROW()/100000)</f>
        <v/>
      </c>
      <c r="O381" s="29" t="str">
        <f aca="false">IF($K381="Open",IF($C381="Conflict","decide "&amp;$A381&amp;": &lt;which version stands&gt;","decide "&amp;$A381&amp;": &lt;outcome&gt;"),IF($K381="Unconfirmed","confirm "&amp;$A381,""))</f>
        <v/>
      </c>
    </row>
    <row r="382" customFormat="false" ht="15" hidden="false" customHeight="false" outlineLevel="0" collapsed="false">
      <c r="A382" s="24"/>
      <c r="B382" s="27"/>
      <c r="C382" s="28"/>
      <c r="D382" s="24"/>
      <c r="E382" s="24"/>
      <c r="F382" s="24"/>
      <c r="G382" s="28"/>
      <c r="H382" s="28"/>
      <c r="I382" s="24"/>
      <c r="J382" s="24"/>
      <c r="K382" s="29" t="str">
        <f aca="false">IF($A382="","",IF(OR($C382="Decision",$C382="Conflict"),IF(COUNTIFS($I$2:$I$1001,$A382,$C$2:$C$1001,"Resolved")=0,"Open","Closed"),IF(AND($H382="Unconfirmed",OR($C382="New",$C382="Know")),IF(COUNTIFS($I$2:$I$1001,$A382,$C$2:$C$1001,"Confirmed")=0,"Unconfirmed","Confirmed"),"Logged")))</f>
        <v/>
      </c>
      <c r="L382" s="29" t="str">
        <f aca="false">IF($A382="","",AsOf-$B382)</f>
        <v/>
      </c>
      <c r="M382" s="29" t="str">
        <f aca="false">IF($K382="Open",IF($C382="Conflict","Critical",IF($L382&gt;=DecisionCritical,"Critical",IF($L382&gt;=DecisionWarn,"Warning","On track"))),IF($K382="Unconfirmed",IF($L382&gt;=UnconfirmedWarn,"Warning","On track"),""))</f>
        <v/>
      </c>
      <c r="N382" s="29" t="str">
        <f aca="false">IF($M382="","",IF($M382="Critical",3000,IF($M382="Warning",2000,1000))+$L382+ROW()/100000)</f>
        <v/>
      </c>
      <c r="O382" s="29" t="str">
        <f aca="false">IF($K382="Open",IF($C382="Conflict","decide "&amp;$A382&amp;": &lt;which version stands&gt;","decide "&amp;$A382&amp;": &lt;outcome&gt;"),IF($K382="Unconfirmed","confirm "&amp;$A382,""))</f>
        <v/>
      </c>
    </row>
    <row r="383" customFormat="false" ht="15" hidden="false" customHeight="false" outlineLevel="0" collapsed="false">
      <c r="A383" s="24"/>
      <c r="B383" s="27"/>
      <c r="C383" s="28"/>
      <c r="D383" s="24"/>
      <c r="E383" s="24"/>
      <c r="F383" s="24"/>
      <c r="G383" s="28"/>
      <c r="H383" s="28"/>
      <c r="I383" s="24"/>
      <c r="J383" s="24"/>
      <c r="K383" s="29" t="str">
        <f aca="false">IF($A383="","",IF(OR($C383="Decision",$C383="Conflict"),IF(COUNTIFS($I$2:$I$1001,$A383,$C$2:$C$1001,"Resolved")=0,"Open","Closed"),IF(AND($H383="Unconfirmed",OR($C383="New",$C383="Know")),IF(COUNTIFS($I$2:$I$1001,$A383,$C$2:$C$1001,"Confirmed")=0,"Unconfirmed","Confirmed"),"Logged")))</f>
        <v/>
      </c>
      <c r="L383" s="29" t="str">
        <f aca="false">IF($A383="","",AsOf-$B383)</f>
        <v/>
      </c>
      <c r="M383" s="29" t="str">
        <f aca="false">IF($K383="Open",IF($C383="Conflict","Critical",IF($L383&gt;=DecisionCritical,"Critical",IF($L383&gt;=DecisionWarn,"Warning","On track"))),IF($K383="Unconfirmed",IF($L383&gt;=UnconfirmedWarn,"Warning","On track"),""))</f>
        <v/>
      </c>
      <c r="N383" s="29" t="str">
        <f aca="false">IF($M383="","",IF($M383="Critical",3000,IF($M383="Warning",2000,1000))+$L383+ROW()/100000)</f>
        <v/>
      </c>
      <c r="O383" s="29" t="str">
        <f aca="false">IF($K383="Open",IF($C383="Conflict","decide "&amp;$A383&amp;": &lt;which version stands&gt;","decide "&amp;$A383&amp;": &lt;outcome&gt;"),IF($K383="Unconfirmed","confirm "&amp;$A383,""))</f>
        <v/>
      </c>
    </row>
    <row r="384" customFormat="false" ht="15" hidden="false" customHeight="false" outlineLevel="0" collapsed="false">
      <c r="A384" s="24"/>
      <c r="B384" s="27"/>
      <c r="C384" s="28"/>
      <c r="D384" s="24"/>
      <c r="E384" s="24"/>
      <c r="F384" s="24"/>
      <c r="G384" s="28"/>
      <c r="H384" s="28"/>
      <c r="I384" s="24"/>
      <c r="J384" s="24"/>
      <c r="K384" s="29" t="str">
        <f aca="false">IF($A384="","",IF(OR($C384="Decision",$C384="Conflict"),IF(COUNTIFS($I$2:$I$1001,$A384,$C$2:$C$1001,"Resolved")=0,"Open","Closed"),IF(AND($H384="Unconfirmed",OR($C384="New",$C384="Know")),IF(COUNTIFS($I$2:$I$1001,$A384,$C$2:$C$1001,"Confirmed")=0,"Unconfirmed","Confirmed"),"Logged")))</f>
        <v/>
      </c>
      <c r="L384" s="29" t="str">
        <f aca="false">IF($A384="","",AsOf-$B384)</f>
        <v/>
      </c>
      <c r="M384" s="29" t="str">
        <f aca="false">IF($K384="Open",IF($C384="Conflict","Critical",IF($L384&gt;=DecisionCritical,"Critical",IF($L384&gt;=DecisionWarn,"Warning","On track"))),IF($K384="Unconfirmed",IF($L384&gt;=UnconfirmedWarn,"Warning","On track"),""))</f>
        <v/>
      </c>
      <c r="N384" s="29" t="str">
        <f aca="false">IF($M384="","",IF($M384="Critical",3000,IF($M384="Warning",2000,1000))+$L384+ROW()/100000)</f>
        <v/>
      </c>
      <c r="O384" s="29" t="str">
        <f aca="false">IF($K384="Open",IF($C384="Conflict","decide "&amp;$A384&amp;": &lt;which version stands&gt;","decide "&amp;$A384&amp;": &lt;outcome&gt;"),IF($K384="Unconfirmed","confirm "&amp;$A384,""))</f>
        <v/>
      </c>
    </row>
    <row r="385" customFormat="false" ht="15" hidden="false" customHeight="false" outlineLevel="0" collapsed="false">
      <c r="A385" s="24"/>
      <c r="B385" s="27"/>
      <c r="C385" s="28"/>
      <c r="D385" s="24"/>
      <c r="E385" s="24"/>
      <c r="F385" s="24"/>
      <c r="G385" s="28"/>
      <c r="H385" s="28"/>
      <c r="I385" s="24"/>
      <c r="J385" s="24"/>
      <c r="K385" s="29" t="str">
        <f aca="false">IF($A385="","",IF(OR($C385="Decision",$C385="Conflict"),IF(COUNTIFS($I$2:$I$1001,$A385,$C$2:$C$1001,"Resolved")=0,"Open","Closed"),IF(AND($H385="Unconfirmed",OR($C385="New",$C385="Know")),IF(COUNTIFS($I$2:$I$1001,$A385,$C$2:$C$1001,"Confirmed")=0,"Unconfirmed","Confirmed"),"Logged")))</f>
        <v/>
      </c>
      <c r="L385" s="29" t="str">
        <f aca="false">IF($A385="","",AsOf-$B385)</f>
        <v/>
      </c>
      <c r="M385" s="29" t="str">
        <f aca="false">IF($K385="Open",IF($C385="Conflict","Critical",IF($L385&gt;=DecisionCritical,"Critical",IF($L385&gt;=DecisionWarn,"Warning","On track"))),IF($K385="Unconfirmed",IF($L385&gt;=UnconfirmedWarn,"Warning","On track"),""))</f>
        <v/>
      </c>
      <c r="N385" s="29" t="str">
        <f aca="false">IF($M385="","",IF($M385="Critical",3000,IF($M385="Warning",2000,1000))+$L385+ROW()/100000)</f>
        <v/>
      </c>
      <c r="O385" s="29" t="str">
        <f aca="false">IF($K385="Open",IF($C385="Conflict","decide "&amp;$A385&amp;": &lt;which version stands&gt;","decide "&amp;$A385&amp;": &lt;outcome&gt;"),IF($K385="Unconfirmed","confirm "&amp;$A385,""))</f>
        <v/>
      </c>
    </row>
    <row r="386" customFormat="false" ht="15" hidden="false" customHeight="false" outlineLevel="0" collapsed="false">
      <c r="A386" s="24"/>
      <c r="B386" s="27"/>
      <c r="C386" s="28"/>
      <c r="D386" s="24"/>
      <c r="E386" s="24"/>
      <c r="F386" s="24"/>
      <c r="G386" s="28"/>
      <c r="H386" s="28"/>
      <c r="I386" s="24"/>
      <c r="J386" s="24"/>
      <c r="K386" s="29" t="str">
        <f aca="false">IF($A386="","",IF(OR($C386="Decision",$C386="Conflict"),IF(COUNTIFS($I$2:$I$1001,$A386,$C$2:$C$1001,"Resolved")=0,"Open","Closed"),IF(AND($H386="Unconfirmed",OR($C386="New",$C386="Know")),IF(COUNTIFS($I$2:$I$1001,$A386,$C$2:$C$1001,"Confirmed")=0,"Unconfirmed","Confirmed"),"Logged")))</f>
        <v/>
      </c>
      <c r="L386" s="29" t="str">
        <f aca="false">IF($A386="","",AsOf-$B386)</f>
        <v/>
      </c>
      <c r="M386" s="29" t="str">
        <f aca="false">IF($K386="Open",IF($C386="Conflict","Critical",IF($L386&gt;=DecisionCritical,"Critical",IF($L386&gt;=DecisionWarn,"Warning","On track"))),IF($K386="Unconfirmed",IF($L386&gt;=UnconfirmedWarn,"Warning","On track"),""))</f>
        <v/>
      </c>
      <c r="N386" s="29" t="str">
        <f aca="false">IF($M386="","",IF($M386="Critical",3000,IF($M386="Warning",2000,1000))+$L386+ROW()/100000)</f>
        <v/>
      </c>
      <c r="O386" s="29" t="str">
        <f aca="false">IF($K386="Open",IF($C386="Conflict","decide "&amp;$A386&amp;": &lt;which version stands&gt;","decide "&amp;$A386&amp;": &lt;outcome&gt;"),IF($K386="Unconfirmed","confirm "&amp;$A386,""))</f>
        <v/>
      </c>
    </row>
    <row r="387" customFormat="false" ht="15" hidden="false" customHeight="false" outlineLevel="0" collapsed="false">
      <c r="A387" s="24"/>
      <c r="B387" s="27"/>
      <c r="C387" s="28"/>
      <c r="D387" s="24"/>
      <c r="E387" s="24"/>
      <c r="F387" s="24"/>
      <c r="G387" s="28"/>
      <c r="H387" s="28"/>
      <c r="I387" s="24"/>
      <c r="J387" s="24"/>
      <c r="K387" s="29" t="str">
        <f aca="false">IF($A387="","",IF(OR($C387="Decision",$C387="Conflict"),IF(COUNTIFS($I$2:$I$1001,$A387,$C$2:$C$1001,"Resolved")=0,"Open","Closed"),IF(AND($H387="Unconfirmed",OR($C387="New",$C387="Know")),IF(COUNTIFS($I$2:$I$1001,$A387,$C$2:$C$1001,"Confirmed")=0,"Unconfirmed","Confirmed"),"Logged")))</f>
        <v/>
      </c>
      <c r="L387" s="29" t="str">
        <f aca="false">IF($A387="","",AsOf-$B387)</f>
        <v/>
      </c>
      <c r="M387" s="29" t="str">
        <f aca="false">IF($K387="Open",IF($C387="Conflict","Critical",IF($L387&gt;=DecisionCritical,"Critical",IF($L387&gt;=DecisionWarn,"Warning","On track"))),IF($K387="Unconfirmed",IF($L387&gt;=UnconfirmedWarn,"Warning","On track"),""))</f>
        <v/>
      </c>
      <c r="N387" s="29" t="str">
        <f aca="false">IF($M387="","",IF($M387="Critical",3000,IF($M387="Warning",2000,1000))+$L387+ROW()/100000)</f>
        <v/>
      </c>
      <c r="O387" s="29" t="str">
        <f aca="false">IF($K387="Open",IF($C387="Conflict","decide "&amp;$A387&amp;": &lt;which version stands&gt;","decide "&amp;$A387&amp;": &lt;outcome&gt;"),IF($K387="Unconfirmed","confirm "&amp;$A387,""))</f>
        <v/>
      </c>
    </row>
    <row r="388" customFormat="false" ht="15" hidden="false" customHeight="false" outlineLevel="0" collapsed="false">
      <c r="A388" s="24"/>
      <c r="B388" s="27"/>
      <c r="C388" s="28"/>
      <c r="D388" s="24"/>
      <c r="E388" s="24"/>
      <c r="F388" s="24"/>
      <c r="G388" s="28"/>
      <c r="H388" s="28"/>
      <c r="I388" s="24"/>
      <c r="J388" s="24"/>
      <c r="K388" s="29" t="str">
        <f aca="false">IF($A388="","",IF(OR($C388="Decision",$C388="Conflict"),IF(COUNTIFS($I$2:$I$1001,$A388,$C$2:$C$1001,"Resolved")=0,"Open","Closed"),IF(AND($H388="Unconfirmed",OR($C388="New",$C388="Know")),IF(COUNTIFS($I$2:$I$1001,$A388,$C$2:$C$1001,"Confirmed")=0,"Unconfirmed","Confirmed"),"Logged")))</f>
        <v/>
      </c>
      <c r="L388" s="29" t="str">
        <f aca="false">IF($A388="","",AsOf-$B388)</f>
        <v/>
      </c>
      <c r="M388" s="29" t="str">
        <f aca="false">IF($K388="Open",IF($C388="Conflict","Critical",IF($L388&gt;=DecisionCritical,"Critical",IF($L388&gt;=DecisionWarn,"Warning","On track"))),IF($K388="Unconfirmed",IF($L388&gt;=UnconfirmedWarn,"Warning","On track"),""))</f>
        <v/>
      </c>
      <c r="N388" s="29" t="str">
        <f aca="false">IF($M388="","",IF($M388="Critical",3000,IF($M388="Warning",2000,1000))+$L388+ROW()/100000)</f>
        <v/>
      </c>
      <c r="O388" s="29" t="str">
        <f aca="false">IF($K388="Open",IF($C388="Conflict","decide "&amp;$A388&amp;": &lt;which version stands&gt;","decide "&amp;$A388&amp;": &lt;outcome&gt;"),IF($K388="Unconfirmed","confirm "&amp;$A388,""))</f>
        <v/>
      </c>
    </row>
    <row r="389" customFormat="false" ht="15" hidden="false" customHeight="false" outlineLevel="0" collapsed="false">
      <c r="A389" s="24"/>
      <c r="B389" s="27"/>
      <c r="C389" s="28"/>
      <c r="D389" s="24"/>
      <c r="E389" s="24"/>
      <c r="F389" s="24"/>
      <c r="G389" s="28"/>
      <c r="H389" s="28"/>
      <c r="I389" s="24"/>
      <c r="J389" s="24"/>
      <c r="K389" s="29" t="str">
        <f aca="false">IF($A389="","",IF(OR($C389="Decision",$C389="Conflict"),IF(COUNTIFS($I$2:$I$1001,$A389,$C$2:$C$1001,"Resolved")=0,"Open","Closed"),IF(AND($H389="Unconfirmed",OR($C389="New",$C389="Know")),IF(COUNTIFS($I$2:$I$1001,$A389,$C$2:$C$1001,"Confirmed")=0,"Unconfirmed","Confirmed"),"Logged")))</f>
        <v/>
      </c>
      <c r="L389" s="29" t="str">
        <f aca="false">IF($A389="","",AsOf-$B389)</f>
        <v/>
      </c>
      <c r="M389" s="29" t="str">
        <f aca="false">IF($K389="Open",IF($C389="Conflict","Critical",IF($L389&gt;=DecisionCritical,"Critical",IF($L389&gt;=DecisionWarn,"Warning","On track"))),IF($K389="Unconfirmed",IF($L389&gt;=UnconfirmedWarn,"Warning","On track"),""))</f>
        <v/>
      </c>
      <c r="N389" s="29" t="str">
        <f aca="false">IF($M389="","",IF($M389="Critical",3000,IF($M389="Warning",2000,1000))+$L389+ROW()/100000)</f>
        <v/>
      </c>
      <c r="O389" s="29" t="str">
        <f aca="false">IF($K389="Open",IF($C389="Conflict","decide "&amp;$A389&amp;": &lt;which version stands&gt;","decide "&amp;$A389&amp;": &lt;outcome&gt;"),IF($K389="Unconfirmed","confirm "&amp;$A389,""))</f>
        <v/>
      </c>
    </row>
    <row r="390" customFormat="false" ht="15" hidden="false" customHeight="false" outlineLevel="0" collapsed="false">
      <c r="A390" s="24"/>
      <c r="B390" s="27"/>
      <c r="C390" s="28"/>
      <c r="D390" s="24"/>
      <c r="E390" s="24"/>
      <c r="F390" s="24"/>
      <c r="G390" s="28"/>
      <c r="H390" s="28"/>
      <c r="I390" s="24"/>
      <c r="J390" s="24"/>
      <c r="K390" s="29" t="str">
        <f aca="false">IF($A390="","",IF(OR($C390="Decision",$C390="Conflict"),IF(COUNTIFS($I$2:$I$1001,$A390,$C$2:$C$1001,"Resolved")=0,"Open","Closed"),IF(AND($H390="Unconfirmed",OR($C390="New",$C390="Know")),IF(COUNTIFS($I$2:$I$1001,$A390,$C$2:$C$1001,"Confirmed")=0,"Unconfirmed","Confirmed"),"Logged")))</f>
        <v/>
      </c>
      <c r="L390" s="29" t="str">
        <f aca="false">IF($A390="","",AsOf-$B390)</f>
        <v/>
      </c>
      <c r="M390" s="29" t="str">
        <f aca="false">IF($K390="Open",IF($C390="Conflict","Critical",IF($L390&gt;=DecisionCritical,"Critical",IF($L390&gt;=DecisionWarn,"Warning","On track"))),IF($K390="Unconfirmed",IF($L390&gt;=UnconfirmedWarn,"Warning","On track"),""))</f>
        <v/>
      </c>
      <c r="N390" s="29" t="str">
        <f aca="false">IF($M390="","",IF($M390="Critical",3000,IF($M390="Warning",2000,1000))+$L390+ROW()/100000)</f>
        <v/>
      </c>
      <c r="O390" s="29" t="str">
        <f aca="false">IF($K390="Open",IF($C390="Conflict","decide "&amp;$A390&amp;": &lt;which version stands&gt;","decide "&amp;$A390&amp;": &lt;outcome&gt;"),IF($K390="Unconfirmed","confirm "&amp;$A390,""))</f>
        <v/>
      </c>
    </row>
    <row r="391" customFormat="false" ht="15" hidden="false" customHeight="false" outlineLevel="0" collapsed="false">
      <c r="A391" s="24"/>
      <c r="B391" s="27"/>
      <c r="C391" s="28"/>
      <c r="D391" s="24"/>
      <c r="E391" s="24"/>
      <c r="F391" s="24"/>
      <c r="G391" s="28"/>
      <c r="H391" s="28"/>
      <c r="I391" s="24"/>
      <c r="J391" s="24"/>
      <c r="K391" s="29" t="str">
        <f aca="false">IF($A391="","",IF(OR($C391="Decision",$C391="Conflict"),IF(COUNTIFS($I$2:$I$1001,$A391,$C$2:$C$1001,"Resolved")=0,"Open","Closed"),IF(AND($H391="Unconfirmed",OR($C391="New",$C391="Know")),IF(COUNTIFS($I$2:$I$1001,$A391,$C$2:$C$1001,"Confirmed")=0,"Unconfirmed","Confirmed"),"Logged")))</f>
        <v/>
      </c>
      <c r="L391" s="29" t="str">
        <f aca="false">IF($A391="","",AsOf-$B391)</f>
        <v/>
      </c>
      <c r="M391" s="29" t="str">
        <f aca="false">IF($K391="Open",IF($C391="Conflict","Critical",IF($L391&gt;=DecisionCritical,"Critical",IF($L391&gt;=DecisionWarn,"Warning","On track"))),IF($K391="Unconfirmed",IF($L391&gt;=UnconfirmedWarn,"Warning","On track"),""))</f>
        <v/>
      </c>
      <c r="N391" s="29" t="str">
        <f aca="false">IF($M391="","",IF($M391="Critical",3000,IF($M391="Warning",2000,1000))+$L391+ROW()/100000)</f>
        <v/>
      </c>
      <c r="O391" s="29" t="str">
        <f aca="false">IF($K391="Open",IF($C391="Conflict","decide "&amp;$A391&amp;": &lt;which version stands&gt;","decide "&amp;$A391&amp;": &lt;outcome&gt;"),IF($K391="Unconfirmed","confirm "&amp;$A391,""))</f>
        <v/>
      </c>
    </row>
    <row r="392" customFormat="false" ht="15" hidden="false" customHeight="false" outlineLevel="0" collapsed="false">
      <c r="A392" s="24"/>
      <c r="B392" s="27"/>
      <c r="C392" s="28"/>
      <c r="D392" s="24"/>
      <c r="E392" s="24"/>
      <c r="F392" s="24"/>
      <c r="G392" s="28"/>
      <c r="H392" s="28"/>
      <c r="I392" s="24"/>
      <c r="J392" s="24"/>
      <c r="K392" s="29" t="str">
        <f aca="false">IF($A392="","",IF(OR($C392="Decision",$C392="Conflict"),IF(COUNTIFS($I$2:$I$1001,$A392,$C$2:$C$1001,"Resolved")=0,"Open","Closed"),IF(AND($H392="Unconfirmed",OR($C392="New",$C392="Know")),IF(COUNTIFS($I$2:$I$1001,$A392,$C$2:$C$1001,"Confirmed")=0,"Unconfirmed","Confirmed"),"Logged")))</f>
        <v/>
      </c>
      <c r="L392" s="29" t="str">
        <f aca="false">IF($A392="","",AsOf-$B392)</f>
        <v/>
      </c>
      <c r="M392" s="29" t="str">
        <f aca="false">IF($K392="Open",IF($C392="Conflict","Critical",IF($L392&gt;=DecisionCritical,"Critical",IF($L392&gt;=DecisionWarn,"Warning","On track"))),IF($K392="Unconfirmed",IF($L392&gt;=UnconfirmedWarn,"Warning","On track"),""))</f>
        <v/>
      </c>
      <c r="N392" s="29" t="str">
        <f aca="false">IF($M392="","",IF($M392="Critical",3000,IF($M392="Warning",2000,1000))+$L392+ROW()/100000)</f>
        <v/>
      </c>
      <c r="O392" s="29" t="str">
        <f aca="false">IF($K392="Open",IF($C392="Conflict","decide "&amp;$A392&amp;": &lt;which version stands&gt;","decide "&amp;$A392&amp;": &lt;outcome&gt;"),IF($K392="Unconfirmed","confirm "&amp;$A392,""))</f>
        <v/>
      </c>
    </row>
    <row r="393" customFormat="false" ht="15" hidden="false" customHeight="false" outlineLevel="0" collapsed="false">
      <c r="A393" s="24"/>
      <c r="B393" s="27"/>
      <c r="C393" s="28"/>
      <c r="D393" s="24"/>
      <c r="E393" s="24"/>
      <c r="F393" s="24"/>
      <c r="G393" s="28"/>
      <c r="H393" s="28"/>
      <c r="I393" s="24"/>
      <c r="J393" s="24"/>
      <c r="K393" s="29" t="str">
        <f aca="false">IF($A393="","",IF(OR($C393="Decision",$C393="Conflict"),IF(COUNTIFS($I$2:$I$1001,$A393,$C$2:$C$1001,"Resolved")=0,"Open","Closed"),IF(AND($H393="Unconfirmed",OR($C393="New",$C393="Know")),IF(COUNTIFS($I$2:$I$1001,$A393,$C$2:$C$1001,"Confirmed")=0,"Unconfirmed","Confirmed"),"Logged")))</f>
        <v/>
      </c>
      <c r="L393" s="29" t="str">
        <f aca="false">IF($A393="","",AsOf-$B393)</f>
        <v/>
      </c>
      <c r="M393" s="29" t="str">
        <f aca="false">IF($K393="Open",IF($C393="Conflict","Critical",IF($L393&gt;=DecisionCritical,"Critical",IF($L393&gt;=DecisionWarn,"Warning","On track"))),IF($K393="Unconfirmed",IF($L393&gt;=UnconfirmedWarn,"Warning","On track"),""))</f>
        <v/>
      </c>
      <c r="N393" s="29" t="str">
        <f aca="false">IF($M393="","",IF($M393="Critical",3000,IF($M393="Warning",2000,1000))+$L393+ROW()/100000)</f>
        <v/>
      </c>
      <c r="O393" s="29" t="str">
        <f aca="false">IF($K393="Open",IF($C393="Conflict","decide "&amp;$A393&amp;": &lt;which version stands&gt;","decide "&amp;$A393&amp;": &lt;outcome&gt;"),IF($K393="Unconfirmed","confirm "&amp;$A393,""))</f>
        <v/>
      </c>
    </row>
    <row r="394" customFormat="false" ht="15" hidden="false" customHeight="false" outlineLevel="0" collapsed="false">
      <c r="A394" s="24"/>
      <c r="B394" s="27"/>
      <c r="C394" s="28"/>
      <c r="D394" s="24"/>
      <c r="E394" s="24"/>
      <c r="F394" s="24"/>
      <c r="G394" s="28"/>
      <c r="H394" s="28"/>
      <c r="I394" s="24"/>
      <c r="J394" s="24"/>
      <c r="K394" s="29" t="str">
        <f aca="false">IF($A394="","",IF(OR($C394="Decision",$C394="Conflict"),IF(COUNTIFS($I$2:$I$1001,$A394,$C$2:$C$1001,"Resolved")=0,"Open","Closed"),IF(AND($H394="Unconfirmed",OR($C394="New",$C394="Know")),IF(COUNTIFS($I$2:$I$1001,$A394,$C$2:$C$1001,"Confirmed")=0,"Unconfirmed","Confirmed"),"Logged")))</f>
        <v/>
      </c>
      <c r="L394" s="29" t="str">
        <f aca="false">IF($A394="","",AsOf-$B394)</f>
        <v/>
      </c>
      <c r="M394" s="29" t="str">
        <f aca="false">IF($K394="Open",IF($C394="Conflict","Critical",IF($L394&gt;=DecisionCritical,"Critical",IF($L394&gt;=DecisionWarn,"Warning","On track"))),IF($K394="Unconfirmed",IF($L394&gt;=UnconfirmedWarn,"Warning","On track"),""))</f>
        <v/>
      </c>
      <c r="N394" s="29" t="str">
        <f aca="false">IF($M394="","",IF($M394="Critical",3000,IF($M394="Warning",2000,1000))+$L394+ROW()/100000)</f>
        <v/>
      </c>
      <c r="O394" s="29" t="str">
        <f aca="false">IF($K394="Open",IF($C394="Conflict","decide "&amp;$A394&amp;": &lt;which version stands&gt;","decide "&amp;$A394&amp;": &lt;outcome&gt;"),IF($K394="Unconfirmed","confirm "&amp;$A394,""))</f>
        <v/>
      </c>
    </row>
    <row r="395" customFormat="false" ht="15" hidden="false" customHeight="false" outlineLevel="0" collapsed="false">
      <c r="A395" s="24"/>
      <c r="B395" s="27"/>
      <c r="C395" s="28"/>
      <c r="D395" s="24"/>
      <c r="E395" s="24"/>
      <c r="F395" s="24"/>
      <c r="G395" s="28"/>
      <c r="H395" s="28"/>
      <c r="I395" s="24"/>
      <c r="J395" s="24"/>
      <c r="K395" s="29" t="str">
        <f aca="false">IF($A395="","",IF(OR($C395="Decision",$C395="Conflict"),IF(COUNTIFS($I$2:$I$1001,$A395,$C$2:$C$1001,"Resolved")=0,"Open","Closed"),IF(AND($H395="Unconfirmed",OR($C395="New",$C395="Know")),IF(COUNTIFS($I$2:$I$1001,$A395,$C$2:$C$1001,"Confirmed")=0,"Unconfirmed","Confirmed"),"Logged")))</f>
        <v/>
      </c>
      <c r="L395" s="29" t="str">
        <f aca="false">IF($A395="","",AsOf-$B395)</f>
        <v/>
      </c>
      <c r="M395" s="29" t="str">
        <f aca="false">IF($K395="Open",IF($C395="Conflict","Critical",IF($L395&gt;=DecisionCritical,"Critical",IF($L395&gt;=DecisionWarn,"Warning","On track"))),IF($K395="Unconfirmed",IF($L395&gt;=UnconfirmedWarn,"Warning","On track"),""))</f>
        <v/>
      </c>
      <c r="N395" s="29" t="str">
        <f aca="false">IF($M395="","",IF($M395="Critical",3000,IF($M395="Warning",2000,1000))+$L395+ROW()/100000)</f>
        <v/>
      </c>
      <c r="O395" s="29" t="str">
        <f aca="false">IF($K395="Open",IF($C395="Conflict","decide "&amp;$A395&amp;": &lt;which version stands&gt;","decide "&amp;$A395&amp;": &lt;outcome&gt;"),IF($K395="Unconfirmed","confirm "&amp;$A395,""))</f>
        <v/>
      </c>
    </row>
    <row r="396" customFormat="false" ht="15" hidden="false" customHeight="false" outlineLevel="0" collapsed="false">
      <c r="A396" s="24"/>
      <c r="B396" s="27"/>
      <c r="C396" s="28"/>
      <c r="D396" s="24"/>
      <c r="E396" s="24"/>
      <c r="F396" s="24"/>
      <c r="G396" s="28"/>
      <c r="H396" s="28"/>
      <c r="I396" s="24"/>
      <c r="J396" s="24"/>
      <c r="K396" s="29" t="str">
        <f aca="false">IF($A396="","",IF(OR($C396="Decision",$C396="Conflict"),IF(COUNTIFS($I$2:$I$1001,$A396,$C$2:$C$1001,"Resolved")=0,"Open","Closed"),IF(AND($H396="Unconfirmed",OR($C396="New",$C396="Know")),IF(COUNTIFS($I$2:$I$1001,$A396,$C$2:$C$1001,"Confirmed")=0,"Unconfirmed","Confirmed"),"Logged")))</f>
        <v/>
      </c>
      <c r="L396" s="29" t="str">
        <f aca="false">IF($A396="","",AsOf-$B396)</f>
        <v/>
      </c>
      <c r="M396" s="29" t="str">
        <f aca="false">IF($K396="Open",IF($C396="Conflict","Critical",IF($L396&gt;=DecisionCritical,"Critical",IF($L396&gt;=DecisionWarn,"Warning","On track"))),IF($K396="Unconfirmed",IF($L396&gt;=UnconfirmedWarn,"Warning","On track"),""))</f>
        <v/>
      </c>
      <c r="N396" s="29" t="str">
        <f aca="false">IF($M396="","",IF($M396="Critical",3000,IF($M396="Warning",2000,1000))+$L396+ROW()/100000)</f>
        <v/>
      </c>
      <c r="O396" s="29" t="str">
        <f aca="false">IF($K396="Open",IF($C396="Conflict","decide "&amp;$A396&amp;": &lt;which version stands&gt;","decide "&amp;$A396&amp;": &lt;outcome&gt;"),IF($K396="Unconfirmed","confirm "&amp;$A396,""))</f>
        <v/>
      </c>
    </row>
    <row r="397" customFormat="false" ht="15" hidden="false" customHeight="false" outlineLevel="0" collapsed="false">
      <c r="A397" s="24"/>
      <c r="B397" s="27"/>
      <c r="C397" s="28"/>
      <c r="D397" s="24"/>
      <c r="E397" s="24"/>
      <c r="F397" s="24"/>
      <c r="G397" s="28"/>
      <c r="H397" s="28"/>
      <c r="I397" s="24"/>
      <c r="J397" s="24"/>
      <c r="K397" s="29" t="str">
        <f aca="false">IF($A397="","",IF(OR($C397="Decision",$C397="Conflict"),IF(COUNTIFS($I$2:$I$1001,$A397,$C$2:$C$1001,"Resolved")=0,"Open","Closed"),IF(AND($H397="Unconfirmed",OR($C397="New",$C397="Know")),IF(COUNTIFS($I$2:$I$1001,$A397,$C$2:$C$1001,"Confirmed")=0,"Unconfirmed","Confirmed"),"Logged")))</f>
        <v/>
      </c>
      <c r="L397" s="29" t="str">
        <f aca="false">IF($A397="","",AsOf-$B397)</f>
        <v/>
      </c>
      <c r="M397" s="29" t="str">
        <f aca="false">IF($K397="Open",IF($C397="Conflict","Critical",IF($L397&gt;=DecisionCritical,"Critical",IF($L397&gt;=DecisionWarn,"Warning","On track"))),IF($K397="Unconfirmed",IF($L397&gt;=UnconfirmedWarn,"Warning","On track"),""))</f>
        <v/>
      </c>
      <c r="N397" s="29" t="str">
        <f aca="false">IF($M397="","",IF($M397="Critical",3000,IF($M397="Warning",2000,1000))+$L397+ROW()/100000)</f>
        <v/>
      </c>
      <c r="O397" s="29" t="str">
        <f aca="false">IF($K397="Open",IF($C397="Conflict","decide "&amp;$A397&amp;": &lt;which version stands&gt;","decide "&amp;$A397&amp;": &lt;outcome&gt;"),IF($K397="Unconfirmed","confirm "&amp;$A397,""))</f>
        <v/>
      </c>
    </row>
    <row r="398" customFormat="false" ht="15" hidden="false" customHeight="false" outlineLevel="0" collapsed="false">
      <c r="A398" s="24"/>
      <c r="B398" s="27"/>
      <c r="C398" s="28"/>
      <c r="D398" s="24"/>
      <c r="E398" s="24"/>
      <c r="F398" s="24"/>
      <c r="G398" s="28"/>
      <c r="H398" s="28"/>
      <c r="I398" s="24"/>
      <c r="J398" s="24"/>
      <c r="K398" s="29" t="str">
        <f aca="false">IF($A398="","",IF(OR($C398="Decision",$C398="Conflict"),IF(COUNTIFS($I$2:$I$1001,$A398,$C$2:$C$1001,"Resolved")=0,"Open","Closed"),IF(AND($H398="Unconfirmed",OR($C398="New",$C398="Know")),IF(COUNTIFS($I$2:$I$1001,$A398,$C$2:$C$1001,"Confirmed")=0,"Unconfirmed","Confirmed"),"Logged")))</f>
        <v/>
      </c>
      <c r="L398" s="29" t="str">
        <f aca="false">IF($A398="","",AsOf-$B398)</f>
        <v/>
      </c>
      <c r="M398" s="29" t="str">
        <f aca="false">IF($K398="Open",IF($C398="Conflict","Critical",IF($L398&gt;=DecisionCritical,"Critical",IF($L398&gt;=DecisionWarn,"Warning","On track"))),IF($K398="Unconfirmed",IF($L398&gt;=UnconfirmedWarn,"Warning","On track"),""))</f>
        <v/>
      </c>
      <c r="N398" s="29" t="str">
        <f aca="false">IF($M398="","",IF($M398="Critical",3000,IF($M398="Warning",2000,1000))+$L398+ROW()/100000)</f>
        <v/>
      </c>
      <c r="O398" s="29" t="str">
        <f aca="false">IF($K398="Open",IF($C398="Conflict","decide "&amp;$A398&amp;": &lt;which version stands&gt;","decide "&amp;$A398&amp;": &lt;outcome&gt;"),IF($K398="Unconfirmed","confirm "&amp;$A398,""))</f>
        <v/>
      </c>
    </row>
    <row r="399" customFormat="false" ht="15" hidden="false" customHeight="false" outlineLevel="0" collapsed="false">
      <c r="A399" s="24"/>
      <c r="B399" s="27"/>
      <c r="C399" s="28"/>
      <c r="D399" s="24"/>
      <c r="E399" s="24"/>
      <c r="F399" s="24"/>
      <c r="G399" s="28"/>
      <c r="H399" s="28"/>
      <c r="I399" s="24"/>
      <c r="J399" s="24"/>
      <c r="K399" s="29" t="str">
        <f aca="false">IF($A399="","",IF(OR($C399="Decision",$C399="Conflict"),IF(COUNTIFS($I$2:$I$1001,$A399,$C$2:$C$1001,"Resolved")=0,"Open","Closed"),IF(AND($H399="Unconfirmed",OR($C399="New",$C399="Know")),IF(COUNTIFS($I$2:$I$1001,$A399,$C$2:$C$1001,"Confirmed")=0,"Unconfirmed","Confirmed"),"Logged")))</f>
        <v/>
      </c>
      <c r="L399" s="29" t="str">
        <f aca="false">IF($A399="","",AsOf-$B399)</f>
        <v/>
      </c>
      <c r="M399" s="29" t="str">
        <f aca="false">IF($K399="Open",IF($C399="Conflict","Critical",IF($L399&gt;=DecisionCritical,"Critical",IF($L399&gt;=DecisionWarn,"Warning","On track"))),IF($K399="Unconfirmed",IF($L399&gt;=UnconfirmedWarn,"Warning","On track"),""))</f>
        <v/>
      </c>
      <c r="N399" s="29" t="str">
        <f aca="false">IF($M399="","",IF($M399="Critical",3000,IF($M399="Warning",2000,1000))+$L399+ROW()/100000)</f>
        <v/>
      </c>
      <c r="O399" s="29" t="str">
        <f aca="false">IF($K399="Open",IF($C399="Conflict","decide "&amp;$A399&amp;": &lt;which version stands&gt;","decide "&amp;$A399&amp;": &lt;outcome&gt;"),IF($K399="Unconfirmed","confirm "&amp;$A399,""))</f>
        <v/>
      </c>
    </row>
    <row r="400" customFormat="false" ht="15" hidden="false" customHeight="false" outlineLevel="0" collapsed="false">
      <c r="A400" s="24"/>
      <c r="B400" s="27"/>
      <c r="C400" s="28"/>
      <c r="D400" s="24"/>
      <c r="E400" s="24"/>
      <c r="F400" s="24"/>
      <c r="G400" s="28"/>
      <c r="H400" s="28"/>
      <c r="I400" s="24"/>
      <c r="J400" s="24"/>
      <c r="K400" s="29" t="str">
        <f aca="false">IF($A400="","",IF(OR($C400="Decision",$C400="Conflict"),IF(COUNTIFS($I$2:$I$1001,$A400,$C$2:$C$1001,"Resolved")=0,"Open","Closed"),IF(AND($H400="Unconfirmed",OR($C400="New",$C400="Know")),IF(COUNTIFS($I$2:$I$1001,$A400,$C$2:$C$1001,"Confirmed")=0,"Unconfirmed","Confirmed"),"Logged")))</f>
        <v/>
      </c>
      <c r="L400" s="29" t="str">
        <f aca="false">IF($A400="","",AsOf-$B400)</f>
        <v/>
      </c>
      <c r="M400" s="29" t="str">
        <f aca="false">IF($K400="Open",IF($C400="Conflict","Critical",IF($L400&gt;=DecisionCritical,"Critical",IF($L400&gt;=DecisionWarn,"Warning","On track"))),IF($K400="Unconfirmed",IF($L400&gt;=UnconfirmedWarn,"Warning","On track"),""))</f>
        <v/>
      </c>
      <c r="N400" s="29" t="str">
        <f aca="false">IF($M400="","",IF($M400="Critical",3000,IF($M400="Warning",2000,1000))+$L400+ROW()/100000)</f>
        <v/>
      </c>
      <c r="O400" s="29" t="str">
        <f aca="false">IF($K400="Open",IF($C400="Conflict","decide "&amp;$A400&amp;": &lt;which version stands&gt;","decide "&amp;$A400&amp;": &lt;outcome&gt;"),IF($K400="Unconfirmed","confirm "&amp;$A400,""))</f>
        <v/>
      </c>
    </row>
    <row r="401" customFormat="false" ht="15" hidden="false" customHeight="false" outlineLevel="0" collapsed="false">
      <c r="A401" s="24"/>
      <c r="B401" s="27"/>
      <c r="C401" s="28"/>
      <c r="D401" s="24"/>
      <c r="E401" s="24"/>
      <c r="F401" s="24"/>
      <c r="G401" s="28"/>
      <c r="H401" s="28"/>
      <c r="I401" s="24"/>
      <c r="J401" s="24"/>
      <c r="K401" s="29" t="str">
        <f aca="false">IF($A401="","",IF(OR($C401="Decision",$C401="Conflict"),IF(COUNTIFS($I$2:$I$1001,$A401,$C$2:$C$1001,"Resolved")=0,"Open","Closed"),IF(AND($H401="Unconfirmed",OR($C401="New",$C401="Know")),IF(COUNTIFS($I$2:$I$1001,$A401,$C$2:$C$1001,"Confirmed")=0,"Unconfirmed","Confirmed"),"Logged")))</f>
        <v/>
      </c>
      <c r="L401" s="29" t="str">
        <f aca="false">IF($A401="","",AsOf-$B401)</f>
        <v/>
      </c>
      <c r="M401" s="29" t="str">
        <f aca="false">IF($K401="Open",IF($C401="Conflict","Critical",IF($L401&gt;=DecisionCritical,"Critical",IF($L401&gt;=DecisionWarn,"Warning","On track"))),IF($K401="Unconfirmed",IF($L401&gt;=UnconfirmedWarn,"Warning","On track"),""))</f>
        <v/>
      </c>
      <c r="N401" s="29" t="str">
        <f aca="false">IF($M401="","",IF($M401="Critical",3000,IF($M401="Warning",2000,1000))+$L401+ROW()/100000)</f>
        <v/>
      </c>
      <c r="O401" s="29" t="str">
        <f aca="false">IF($K401="Open",IF($C401="Conflict","decide "&amp;$A401&amp;": &lt;which version stands&gt;","decide "&amp;$A401&amp;": &lt;outcome&gt;"),IF($K401="Unconfirmed","confirm "&amp;$A401,""))</f>
        <v/>
      </c>
    </row>
    <row r="402" customFormat="false" ht="15" hidden="false" customHeight="false" outlineLevel="0" collapsed="false">
      <c r="A402" s="24"/>
      <c r="B402" s="27"/>
      <c r="C402" s="28"/>
      <c r="D402" s="24"/>
      <c r="E402" s="24"/>
      <c r="F402" s="24"/>
      <c r="G402" s="28"/>
      <c r="H402" s="28"/>
      <c r="I402" s="24"/>
      <c r="J402" s="24"/>
      <c r="K402" s="29" t="str">
        <f aca="false">IF($A402="","",IF(OR($C402="Decision",$C402="Conflict"),IF(COUNTIFS($I$2:$I$1001,$A402,$C$2:$C$1001,"Resolved")=0,"Open","Closed"),IF(AND($H402="Unconfirmed",OR($C402="New",$C402="Know")),IF(COUNTIFS($I$2:$I$1001,$A402,$C$2:$C$1001,"Confirmed")=0,"Unconfirmed","Confirmed"),"Logged")))</f>
        <v/>
      </c>
      <c r="L402" s="29" t="str">
        <f aca="false">IF($A402="","",AsOf-$B402)</f>
        <v/>
      </c>
      <c r="M402" s="29" t="str">
        <f aca="false">IF($K402="Open",IF($C402="Conflict","Critical",IF($L402&gt;=DecisionCritical,"Critical",IF($L402&gt;=DecisionWarn,"Warning","On track"))),IF($K402="Unconfirmed",IF($L402&gt;=UnconfirmedWarn,"Warning","On track"),""))</f>
        <v/>
      </c>
      <c r="N402" s="29" t="str">
        <f aca="false">IF($M402="","",IF($M402="Critical",3000,IF($M402="Warning",2000,1000))+$L402+ROW()/100000)</f>
        <v/>
      </c>
      <c r="O402" s="29" t="str">
        <f aca="false">IF($K402="Open",IF($C402="Conflict","decide "&amp;$A402&amp;": &lt;which version stands&gt;","decide "&amp;$A402&amp;": &lt;outcome&gt;"),IF($K402="Unconfirmed","confirm "&amp;$A402,""))</f>
        <v/>
      </c>
    </row>
    <row r="403" customFormat="false" ht="15" hidden="false" customHeight="false" outlineLevel="0" collapsed="false">
      <c r="A403" s="24"/>
      <c r="B403" s="27"/>
      <c r="C403" s="28"/>
      <c r="D403" s="24"/>
      <c r="E403" s="24"/>
      <c r="F403" s="24"/>
      <c r="G403" s="28"/>
      <c r="H403" s="28"/>
      <c r="I403" s="24"/>
      <c r="J403" s="24"/>
      <c r="K403" s="29" t="str">
        <f aca="false">IF($A403="","",IF(OR($C403="Decision",$C403="Conflict"),IF(COUNTIFS($I$2:$I$1001,$A403,$C$2:$C$1001,"Resolved")=0,"Open","Closed"),IF(AND($H403="Unconfirmed",OR($C403="New",$C403="Know")),IF(COUNTIFS($I$2:$I$1001,$A403,$C$2:$C$1001,"Confirmed")=0,"Unconfirmed","Confirmed"),"Logged")))</f>
        <v/>
      </c>
      <c r="L403" s="29" t="str">
        <f aca="false">IF($A403="","",AsOf-$B403)</f>
        <v/>
      </c>
      <c r="M403" s="29" t="str">
        <f aca="false">IF($K403="Open",IF($C403="Conflict","Critical",IF($L403&gt;=DecisionCritical,"Critical",IF($L403&gt;=DecisionWarn,"Warning","On track"))),IF($K403="Unconfirmed",IF($L403&gt;=UnconfirmedWarn,"Warning","On track"),""))</f>
        <v/>
      </c>
      <c r="N403" s="29" t="str">
        <f aca="false">IF($M403="","",IF($M403="Critical",3000,IF($M403="Warning",2000,1000))+$L403+ROW()/100000)</f>
        <v/>
      </c>
      <c r="O403" s="29" t="str">
        <f aca="false">IF($K403="Open",IF($C403="Conflict","decide "&amp;$A403&amp;": &lt;which version stands&gt;","decide "&amp;$A403&amp;": &lt;outcome&gt;"),IF($K403="Unconfirmed","confirm "&amp;$A403,""))</f>
        <v/>
      </c>
    </row>
    <row r="404" customFormat="false" ht="15" hidden="false" customHeight="false" outlineLevel="0" collapsed="false">
      <c r="A404" s="24"/>
      <c r="B404" s="27"/>
      <c r="C404" s="28"/>
      <c r="D404" s="24"/>
      <c r="E404" s="24"/>
      <c r="F404" s="24"/>
      <c r="G404" s="28"/>
      <c r="H404" s="28"/>
      <c r="I404" s="24"/>
      <c r="J404" s="24"/>
      <c r="K404" s="29" t="str">
        <f aca="false">IF($A404="","",IF(OR($C404="Decision",$C404="Conflict"),IF(COUNTIFS($I$2:$I$1001,$A404,$C$2:$C$1001,"Resolved")=0,"Open","Closed"),IF(AND($H404="Unconfirmed",OR($C404="New",$C404="Know")),IF(COUNTIFS($I$2:$I$1001,$A404,$C$2:$C$1001,"Confirmed")=0,"Unconfirmed","Confirmed"),"Logged")))</f>
        <v/>
      </c>
      <c r="L404" s="29" t="str">
        <f aca="false">IF($A404="","",AsOf-$B404)</f>
        <v/>
      </c>
      <c r="M404" s="29" t="str">
        <f aca="false">IF($K404="Open",IF($C404="Conflict","Critical",IF($L404&gt;=DecisionCritical,"Critical",IF($L404&gt;=DecisionWarn,"Warning","On track"))),IF($K404="Unconfirmed",IF($L404&gt;=UnconfirmedWarn,"Warning","On track"),""))</f>
        <v/>
      </c>
      <c r="N404" s="29" t="str">
        <f aca="false">IF($M404="","",IF($M404="Critical",3000,IF($M404="Warning",2000,1000))+$L404+ROW()/100000)</f>
        <v/>
      </c>
      <c r="O404" s="29" t="str">
        <f aca="false">IF($K404="Open",IF($C404="Conflict","decide "&amp;$A404&amp;": &lt;which version stands&gt;","decide "&amp;$A404&amp;": &lt;outcome&gt;"),IF($K404="Unconfirmed","confirm "&amp;$A404,""))</f>
        <v/>
      </c>
    </row>
    <row r="405" customFormat="false" ht="15" hidden="false" customHeight="false" outlineLevel="0" collapsed="false">
      <c r="A405" s="24"/>
      <c r="B405" s="27"/>
      <c r="C405" s="28"/>
      <c r="D405" s="24"/>
      <c r="E405" s="24"/>
      <c r="F405" s="24"/>
      <c r="G405" s="28"/>
      <c r="H405" s="28"/>
      <c r="I405" s="24"/>
      <c r="J405" s="24"/>
      <c r="K405" s="29" t="str">
        <f aca="false">IF($A405="","",IF(OR($C405="Decision",$C405="Conflict"),IF(COUNTIFS($I$2:$I$1001,$A405,$C$2:$C$1001,"Resolved")=0,"Open","Closed"),IF(AND($H405="Unconfirmed",OR($C405="New",$C405="Know")),IF(COUNTIFS($I$2:$I$1001,$A405,$C$2:$C$1001,"Confirmed")=0,"Unconfirmed","Confirmed"),"Logged")))</f>
        <v/>
      </c>
      <c r="L405" s="29" t="str">
        <f aca="false">IF($A405="","",AsOf-$B405)</f>
        <v/>
      </c>
      <c r="M405" s="29" t="str">
        <f aca="false">IF($K405="Open",IF($C405="Conflict","Critical",IF($L405&gt;=DecisionCritical,"Critical",IF($L405&gt;=DecisionWarn,"Warning","On track"))),IF($K405="Unconfirmed",IF($L405&gt;=UnconfirmedWarn,"Warning","On track"),""))</f>
        <v/>
      </c>
      <c r="N405" s="29" t="str">
        <f aca="false">IF($M405="","",IF($M405="Critical",3000,IF($M405="Warning",2000,1000))+$L405+ROW()/100000)</f>
        <v/>
      </c>
      <c r="O405" s="29" t="str">
        <f aca="false">IF($K405="Open",IF($C405="Conflict","decide "&amp;$A405&amp;": &lt;which version stands&gt;","decide "&amp;$A405&amp;": &lt;outcome&gt;"),IF($K405="Unconfirmed","confirm "&amp;$A405,""))</f>
        <v/>
      </c>
    </row>
    <row r="406" customFormat="false" ht="15" hidden="false" customHeight="false" outlineLevel="0" collapsed="false">
      <c r="A406" s="24"/>
      <c r="B406" s="27"/>
      <c r="C406" s="28"/>
      <c r="D406" s="24"/>
      <c r="E406" s="24"/>
      <c r="F406" s="24"/>
      <c r="G406" s="28"/>
      <c r="H406" s="28"/>
      <c r="I406" s="24"/>
      <c r="J406" s="24"/>
      <c r="K406" s="29" t="str">
        <f aca="false">IF($A406="","",IF(OR($C406="Decision",$C406="Conflict"),IF(COUNTIFS($I$2:$I$1001,$A406,$C$2:$C$1001,"Resolved")=0,"Open","Closed"),IF(AND($H406="Unconfirmed",OR($C406="New",$C406="Know")),IF(COUNTIFS($I$2:$I$1001,$A406,$C$2:$C$1001,"Confirmed")=0,"Unconfirmed","Confirmed"),"Logged")))</f>
        <v/>
      </c>
      <c r="L406" s="29" t="str">
        <f aca="false">IF($A406="","",AsOf-$B406)</f>
        <v/>
      </c>
      <c r="M406" s="29" t="str">
        <f aca="false">IF($K406="Open",IF($C406="Conflict","Critical",IF($L406&gt;=DecisionCritical,"Critical",IF($L406&gt;=DecisionWarn,"Warning","On track"))),IF($K406="Unconfirmed",IF($L406&gt;=UnconfirmedWarn,"Warning","On track"),""))</f>
        <v/>
      </c>
      <c r="N406" s="29" t="str">
        <f aca="false">IF($M406="","",IF($M406="Critical",3000,IF($M406="Warning",2000,1000))+$L406+ROW()/100000)</f>
        <v/>
      </c>
      <c r="O406" s="29" t="str">
        <f aca="false">IF($K406="Open",IF($C406="Conflict","decide "&amp;$A406&amp;": &lt;which version stands&gt;","decide "&amp;$A406&amp;": &lt;outcome&gt;"),IF($K406="Unconfirmed","confirm "&amp;$A406,""))</f>
        <v/>
      </c>
    </row>
    <row r="407" customFormat="false" ht="15" hidden="false" customHeight="false" outlineLevel="0" collapsed="false">
      <c r="A407" s="24"/>
      <c r="B407" s="27"/>
      <c r="C407" s="28"/>
      <c r="D407" s="24"/>
      <c r="E407" s="24"/>
      <c r="F407" s="24"/>
      <c r="G407" s="28"/>
      <c r="H407" s="28"/>
      <c r="I407" s="24"/>
      <c r="J407" s="24"/>
      <c r="K407" s="29" t="str">
        <f aca="false">IF($A407="","",IF(OR($C407="Decision",$C407="Conflict"),IF(COUNTIFS($I$2:$I$1001,$A407,$C$2:$C$1001,"Resolved")=0,"Open","Closed"),IF(AND($H407="Unconfirmed",OR($C407="New",$C407="Know")),IF(COUNTIFS($I$2:$I$1001,$A407,$C$2:$C$1001,"Confirmed")=0,"Unconfirmed","Confirmed"),"Logged")))</f>
        <v/>
      </c>
      <c r="L407" s="29" t="str">
        <f aca="false">IF($A407="","",AsOf-$B407)</f>
        <v/>
      </c>
      <c r="M407" s="29" t="str">
        <f aca="false">IF($K407="Open",IF($C407="Conflict","Critical",IF($L407&gt;=DecisionCritical,"Critical",IF($L407&gt;=DecisionWarn,"Warning","On track"))),IF($K407="Unconfirmed",IF($L407&gt;=UnconfirmedWarn,"Warning","On track"),""))</f>
        <v/>
      </c>
      <c r="N407" s="29" t="str">
        <f aca="false">IF($M407="","",IF($M407="Critical",3000,IF($M407="Warning",2000,1000))+$L407+ROW()/100000)</f>
        <v/>
      </c>
      <c r="O407" s="29" t="str">
        <f aca="false">IF($K407="Open",IF($C407="Conflict","decide "&amp;$A407&amp;": &lt;which version stands&gt;","decide "&amp;$A407&amp;": &lt;outcome&gt;"),IF($K407="Unconfirmed","confirm "&amp;$A407,""))</f>
        <v/>
      </c>
    </row>
    <row r="408" customFormat="false" ht="15" hidden="false" customHeight="false" outlineLevel="0" collapsed="false">
      <c r="A408" s="24"/>
      <c r="B408" s="27"/>
      <c r="C408" s="28"/>
      <c r="D408" s="24"/>
      <c r="E408" s="24"/>
      <c r="F408" s="24"/>
      <c r="G408" s="28"/>
      <c r="H408" s="28"/>
      <c r="I408" s="24"/>
      <c r="J408" s="24"/>
      <c r="K408" s="29" t="str">
        <f aca="false">IF($A408="","",IF(OR($C408="Decision",$C408="Conflict"),IF(COUNTIFS($I$2:$I$1001,$A408,$C$2:$C$1001,"Resolved")=0,"Open","Closed"),IF(AND($H408="Unconfirmed",OR($C408="New",$C408="Know")),IF(COUNTIFS($I$2:$I$1001,$A408,$C$2:$C$1001,"Confirmed")=0,"Unconfirmed","Confirmed"),"Logged")))</f>
        <v/>
      </c>
      <c r="L408" s="29" t="str">
        <f aca="false">IF($A408="","",AsOf-$B408)</f>
        <v/>
      </c>
      <c r="M408" s="29" t="str">
        <f aca="false">IF($K408="Open",IF($C408="Conflict","Critical",IF($L408&gt;=DecisionCritical,"Critical",IF($L408&gt;=DecisionWarn,"Warning","On track"))),IF($K408="Unconfirmed",IF($L408&gt;=UnconfirmedWarn,"Warning","On track"),""))</f>
        <v/>
      </c>
      <c r="N408" s="29" t="str">
        <f aca="false">IF($M408="","",IF($M408="Critical",3000,IF($M408="Warning",2000,1000))+$L408+ROW()/100000)</f>
        <v/>
      </c>
      <c r="O408" s="29" t="str">
        <f aca="false">IF($K408="Open",IF($C408="Conflict","decide "&amp;$A408&amp;": &lt;which version stands&gt;","decide "&amp;$A408&amp;": &lt;outcome&gt;"),IF($K408="Unconfirmed","confirm "&amp;$A408,""))</f>
        <v/>
      </c>
    </row>
    <row r="409" customFormat="false" ht="15" hidden="false" customHeight="false" outlineLevel="0" collapsed="false">
      <c r="A409" s="24"/>
      <c r="B409" s="27"/>
      <c r="C409" s="28"/>
      <c r="D409" s="24"/>
      <c r="E409" s="24"/>
      <c r="F409" s="24"/>
      <c r="G409" s="28"/>
      <c r="H409" s="28"/>
      <c r="I409" s="24"/>
      <c r="J409" s="24"/>
      <c r="K409" s="29" t="str">
        <f aca="false">IF($A409="","",IF(OR($C409="Decision",$C409="Conflict"),IF(COUNTIFS($I$2:$I$1001,$A409,$C$2:$C$1001,"Resolved")=0,"Open","Closed"),IF(AND($H409="Unconfirmed",OR($C409="New",$C409="Know")),IF(COUNTIFS($I$2:$I$1001,$A409,$C$2:$C$1001,"Confirmed")=0,"Unconfirmed","Confirmed"),"Logged")))</f>
        <v/>
      </c>
      <c r="L409" s="29" t="str">
        <f aca="false">IF($A409="","",AsOf-$B409)</f>
        <v/>
      </c>
      <c r="M409" s="29" t="str">
        <f aca="false">IF($K409="Open",IF($C409="Conflict","Critical",IF($L409&gt;=DecisionCritical,"Critical",IF($L409&gt;=DecisionWarn,"Warning","On track"))),IF($K409="Unconfirmed",IF($L409&gt;=UnconfirmedWarn,"Warning","On track"),""))</f>
        <v/>
      </c>
      <c r="N409" s="29" t="str">
        <f aca="false">IF($M409="","",IF($M409="Critical",3000,IF($M409="Warning",2000,1000))+$L409+ROW()/100000)</f>
        <v/>
      </c>
      <c r="O409" s="29" t="str">
        <f aca="false">IF($K409="Open",IF($C409="Conflict","decide "&amp;$A409&amp;": &lt;which version stands&gt;","decide "&amp;$A409&amp;": &lt;outcome&gt;"),IF($K409="Unconfirmed","confirm "&amp;$A409,""))</f>
        <v/>
      </c>
    </row>
    <row r="410" customFormat="false" ht="15" hidden="false" customHeight="false" outlineLevel="0" collapsed="false">
      <c r="A410" s="24"/>
      <c r="B410" s="27"/>
      <c r="C410" s="28"/>
      <c r="D410" s="24"/>
      <c r="E410" s="24"/>
      <c r="F410" s="24"/>
      <c r="G410" s="28"/>
      <c r="H410" s="28"/>
      <c r="I410" s="24"/>
      <c r="J410" s="24"/>
      <c r="K410" s="29" t="str">
        <f aca="false">IF($A410="","",IF(OR($C410="Decision",$C410="Conflict"),IF(COUNTIFS($I$2:$I$1001,$A410,$C$2:$C$1001,"Resolved")=0,"Open","Closed"),IF(AND($H410="Unconfirmed",OR($C410="New",$C410="Know")),IF(COUNTIFS($I$2:$I$1001,$A410,$C$2:$C$1001,"Confirmed")=0,"Unconfirmed","Confirmed"),"Logged")))</f>
        <v/>
      </c>
      <c r="L410" s="29" t="str">
        <f aca="false">IF($A410="","",AsOf-$B410)</f>
        <v/>
      </c>
      <c r="M410" s="29" t="str">
        <f aca="false">IF($K410="Open",IF($C410="Conflict","Critical",IF($L410&gt;=DecisionCritical,"Critical",IF($L410&gt;=DecisionWarn,"Warning","On track"))),IF($K410="Unconfirmed",IF($L410&gt;=UnconfirmedWarn,"Warning","On track"),""))</f>
        <v/>
      </c>
      <c r="N410" s="29" t="str">
        <f aca="false">IF($M410="","",IF($M410="Critical",3000,IF($M410="Warning",2000,1000))+$L410+ROW()/100000)</f>
        <v/>
      </c>
      <c r="O410" s="29" t="str">
        <f aca="false">IF($K410="Open",IF($C410="Conflict","decide "&amp;$A410&amp;": &lt;which version stands&gt;","decide "&amp;$A410&amp;": &lt;outcome&gt;"),IF($K410="Unconfirmed","confirm "&amp;$A410,""))</f>
        <v/>
      </c>
    </row>
    <row r="411" customFormat="false" ht="15" hidden="false" customHeight="false" outlineLevel="0" collapsed="false">
      <c r="A411" s="24"/>
      <c r="B411" s="27"/>
      <c r="C411" s="28"/>
      <c r="D411" s="24"/>
      <c r="E411" s="24"/>
      <c r="F411" s="24"/>
      <c r="G411" s="28"/>
      <c r="H411" s="28"/>
      <c r="I411" s="24"/>
      <c r="J411" s="24"/>
      <c r="K411" s="29" t="str">
        <f aca="false">IF($A411="","",IF(OR($C411="Decision",$C411="Conflict"),IF(COUNTIFS($I$2:$I$1001,$A411,$C$2:$C$1001,"Resolved")=0,"Open","Closed"),IF(AND($H411="Unconfirmed",OR($C411="New",$C411="Know")),IF(COUNTIFS($I$2:$I$1001,$A411,$C$2:$C$1001,"Confirmed")=0,"Unconfirmed","Confirmed"),"Logged")))</f>
        <v/>
      </c>
      <c r="L411" s="29" t="str">
        <f aca="false">IF($A411="","",AsOf-$B411)</f>
        <v/>
      </c>
      <c r="M411" s="29" t="str">
        <f aca="false">IF($K411="Open",IF($C411="Conflict","Critical",IF($L411&gt;=DecisionCritical,"Critical",IF($L411&gt;=DecisionWarn,"Warning","On track"))),IF($K411="Unconfirmed",IF($L411&gt;=UnconfirmedWarn,"Warning","On track"),""))</f>
        <v/>
      </c>
      <c r="N411" s="29" t="str">
        <f aca="false">IF($M411="","",IF($M411="Critical",3000,IF($M411="Warning",2000,1000))+$L411+ROW()/100000)</f>
        <v/>
      </c>
      <c r="O411" s="29" t="str">
        <f aca="false">IF($K411="Open",IF($C411="Conflict","decide "&amp;$A411&amp;": &lt;which version stands&gt;","decide "&amp;$A411&amp;": &lt;outcome&gt;"),IF($K411="Unconfirmed","confirm "&amp;$A411,""))</f>
        <v/>
      </c>
    </row>
    <row r="412" customFormat="false" ht="15" hidden="false" customHeight="false" outlineLevel="0" collapsed="false">
      <c r="A412" s="24"/>
      <c r="B412" s="27"/>
      <c r="C412" s="28"/>
      <c r="D412" s="24"/>
      <c r="E412" s="24"/>
      <c r="F412" s="24"/>
      <c r="G412" s="28"/>
      <c r="H412" s="28"/>
      <c r="I412" s="24"/>
      <c r="J412" s="24"/>
      <c r="K412" s="29" t="str">
        <f aca="false">IF($A412="","",IF(OR($C412="Decision",$C412="Conflict"),IF(COUNTIFS($I$2:$I$1001,$A412,$C$2:$C$1001,"Resolved")=0,"Open","Closed"),IF(AND($H412="Unconfirmed",OR($C412="New",$C412="Know")),IF(COUNTIFS($I$2:$I$1001,$A412,$C$2:$C$1001,"Confirmed")=0,"Unconfirmed","Confirmed"),"Logged")))</f>
        <v/>
      </c>
      <c r="L412" s="29" t="str">
        <f aca="false">IF($A412="","",AsOf-$B412)</f>
        <v/>
      </c>
      <c r="M412" s="29" t="str">
        <f aca="false">IF($K412="Open",IF($C412="Conflict","Critical",IF($L412&gt;=DecisionCritical,"Critical",IF($L412&gt;=DecisionWarn,"Warning","On track"))),IF($K412="Unconfirmed",IF($L412&gt;=UnconfirmedWarn,"Warning","On track"),""))</f>
        <v/>
      </c>
      <c r="N412" s="29" t="str">
        <f aca="false">IF($M412="","",IF($M412="Critical",3000,IF($M412="Warning",2000,1000))+$L412+ROW()/100000)</f>
        <v/>
      </c>
      <c r="O412" s="29" t="str">
        <f aca="false">IF($K412="Open",IF($C412="Conflict","decide "&amp;$A412&amp;": &lt;which version stands&gt;","decide "&amp;$A412&amp;": &lt;outcome&gt;"),IF($K412="Unconfirmed","confirm "&amp;$A412,""))</f>
        <v/>
      </c>
    </row>
    <row r="413" customFormat="false" ht="15" hidden="false" customHeight="false" outlineLevel="0" collapsed="false">
      <c r="A413" s="24"/>
      <c r="B413" s="27"/>
      <c r="C413" s="28"/>
      <c r="D413" s="24"/>
      <c r="E413" s="24"/>
      <c r="F413" s="24"/>
      <c r="G413" s="28"/>
      <c r="H413" s="28"/>
      <c r="I413" s="24"/>
      <c r="J413" s="24"/>
      <c r="K413" s="29" t="str">
        <f aca="false">IF($A413="","",IF(OR($C413="Decision",$C413="Conflict"),IF(COUNTIFS($I$2:$I$1001,$A413,$C$2:$C$1001,"Resolved")=0,"Open","Closed"),IF(AND($H413="Unconfirmed",OR($C413="New",$C413="Know")),IF(COUNTIFS($I$2:$I$1001,$A413,$C$2:$C$1001,"Confirmed")=0,"Unconfirmed","Confirmed"),"Logged")))</f>
        <v/>
      </c>
      <c r="L413" s="29" t="str">
        <f aca="false">IF($A413="","",AsOf-$B413)</f>
        <v/>
      </c>
      <c r="M413" s="29" t="str">
        <f aca="false">IF($K413="Open",IF($C413="Conflict","Critical",IF($L413&gt;=DecisionCritical,"Critical",IF($L413&gt;=DecisionWarn,"Warning","On track"))),IF($K413="Unconfirmed",IF($L413&gt;=UnconfirmedWarn,"Warning","On track"),""))</f>
        <v/>
      </c>
      <c r="N413" s="29" t="str">
        <f aca="false">IF($M413="","",IF($M413="Critical",3000,IF($M413="Warning",2000,1000))+$L413+ROW()/100000)</f>
        <v/>
      </c>
      <c r="O413" s="29" t="str">
        <f aca="false">IF($K413="Open",IF($C413="Conflict","decide "&amp;$A413&amp;": &lt;which version stands&gt;","decide "&amp;$A413&amp;": &lt;outcome&gt;"),IF($K413="Unconfirmed","confirm "&amp;$A413,""))</f>
        <v/>
      </c>
    </row>
    <row r="414" customFormat="false" ht="15" hidden="false" customHeight="false" outlineLevel="0" collapsed="false">
      <c r="A414" s="24"/>
      <c r="B414" s="27"/>
      <c r="C414" s="28"/>
      <c r="D414" s="24"/>
      <c r="E414" s="24"/>
      <c r="F414" s="24"/>
      <c r="G414" s="28"/>
      <c r="H414" s="28"/>
      <c r="I414" s="24"/>
      <c r="J414" s="24"/>
      <c r="K414" s="29" t="str">
        <f aca="false">IF($A414="","",IF(OR($C414="Decision",$C414="Conflict"),IF(COUNTIFS($I$2:$I$1001,$A414,$C$2:$C$1001,"Resolved")=0,"Open","Closed"),IF(AND($H414="Unconfirmed",OR($C414="New",$C414="Know")),IF(COUNTIFS($I$2:$I$1001,$A414,$C$2:$C$1001,"Confirmed")=0,"Unconfirmed","Confirmed"),"Logged")))</f>
        <v/>
      </c>
      <c r="L414" s="29" t="str">
        <f aca="false">IF($A414="","",AsOf-$B414)</f>
        <v/>
      </c>
      <c r="M414" s="29" t="str">
        <f aca="false">IF($K414="Open",IF($C414="Conflict","Critical",IF($L414&gt;=DecisionCritical,"Critical",IF($L414&gt;=DecisionWarn,"Warning","On track"))),IF($K414="Unconfirmed",IF($L414&gt;=UnconfirmedWarn,"Warning","On track"),""))</f>
        <v/>
      </c>
      <c r="N414" s="29" t="str">
        <f aca="false">IF($M414="","",IF($M414="Critical",3000,IF($M414="Warning",2000,1000))+$L414+ROW()/100000)</f>
        <v/>
      </c>
      <c r="O414" s="29" t="str">
        <f aca="false">IF($K414="Open",IF($C414="Conflict","decide "&amp;$A414&amp;": &lt;which version stands&gt;","decide "&amp;$A414&amp;": &lt;outcome&gt;"),IF($K414="Unconfirmed","confirm "&amp;$A414,""))</f>
        <v/>
      </c>
    </row>
    <row r="415" customFormat="false" ht="15" hidden="false" customHeight="false" outlineLevel="0" collapsed="false">
      <c r="A415" s="24"/>
      <c r="B415" s="27"/>
      <c r="C415" s="28"/>
      <c r="D415" s="24"/>
      <c r="E415" s="24"/>
      <c r="F415" s="24"/>
      <c r="G415" s="28"/>
      <c r="H415" s="28"/>
      <c r="I415" s="24"/>
      <c r="J415" s="24"/>
      <c r="K415" s="29" t="str">
        <f aca="false">IF($A415="","",IF(OR($C415="Decision",$C415="Conflict"),IF(COUNTIFS($I$2:$I$1001,$A415,$C$2:$C$1001,"Resolved")=0,"Open","Closed"),IF(AND($H415="Unconfirmed",OR($C415="New",$C415="Know")),IF(COUNTIFS($I$2:$I$1001,$A415,$C$2:$C$1001,"Confirmed")=0,"Unconfirmed","Confirmed"),"Logged")))</f>
        <v/>
      </c>
      <c r="L415" s="29" t="str">
        <f aca="false">IF($A415="","",AsOf-$B415)</f>
        <v/>
      </c>
      <c r="M415" s="29" t="str">
        <f aca="false">IF($K415="Open",IF($C415="Conflict","Critical",IF($L415&gt;=DecisionCritical,"Critical",IF($L415&gt;=DecisionWarn,"Warning","On track"))),IF($K415="Unconfirmed",IF($L415&gt;=UnconfirmedWarn,"Warning","On track"),""))</f>
        <v/>
      </c>
      <c r="N415" s="29" t="str">
        <f aca="false">IF($M415="","",IF($M415="Critical",3000,IF($M415="Warning",2000,1000))+$L415+ROW()/100000)</f>
        <v/>
      </c>
      <c r="O415" s="29" t="str">
        <f aca="false">IF($K415="Open",IF($C415="Conflict","decide "&amp;$A415&amp;": &lt;which version stands&gt;","decide "&amp;$A415&amp;": &lt;outcome&gt;"),IF($K415="Unconfirmed","confirm "&amp;$A415,""))</f>
        <v/>
      </c>
    </row>
    <row r="416" customFormat="false" ht="15" hidden="false" customHeight="false" outlineLevel="0" collapsed="false">
      <c r="A416" s="24"/>
      <c r="B416" s="27"/>
      <c r="C416" s="28"/>
      <c r="D416" s="24"/>
      <c r="E416" s="24"/>
      <c r="F416" s="24"/>
      <c r="G416" s="28"/>
      <c r="H416" s="28"/>
      <c r="I416" s="24"/>
      <c r="J416" s="24"/>
      <c r="K416" s="29" t="str">
        <f aca="false">IF($A416="","",IF(OR($C416="Decision",$C416="Conflict"),IF(COUNTIFS($I$2:$I$1001,$A416,$C$2:$C$1001,"Resolved")=0,"Open","Closed"),IF(AND($H416="Unconfirmed",OR($C416="New",$C416="Know")),IF(COUNTIFS($I$2:$I$1001,$A416,$C$2:$C$1001,"Confirmed")=0,"Unconfirmed","Confirmed"),"Logged")))</f>
        <v/>
      </c>
      <c r="L416" s="29" t="str">
        <f aca="false">IF($A416="","",AsOf-$B416)</f>
        <v/>
      </c>
      <c r="M416" s="29" t="str">
        <f aca="false">IF($K416="Open",IF($C416="Conflict","Critical",IF($L416&gt;=DecisionCritical,"Critical",IF($L416&gt;=DecisionWarn,"Warning","On track"))),IF($K416="Unconfirmed",IF($L416&gt;=UnconfirmedWarn,"Warning","On track"),""))</f>
        <v/>
      </c>
      <c r="N416" s="29" t="str">
        <f aca="false">IF($M416="","",IF($M416="Critical",3000,IF($M416="Warning",2000,1000))+$L416+ROW()/100000)</f>
        <v/>
      </c>
      <c r="O416" s="29" t="str">
        <f aca="false">IF($K416="Open",IF($C416="Conflict","decide "&amp;$A416&amp;": &lt;which version stands&gt;","decide "&amp;$A416&amp;": &lt;outcome&gt;"),IF($K416="Unconfirmed","confirm "&amp;$A416,""))</f>
        <v/>
      </c>
    </row>
    <row r="417" customFormat="false" ht="15" hidden="false" customHeight="false" outlineLevel="0" collapsed="false">
      <c r="A417" s="24"/>
      <c r="B417" s="27"/>
      <c r="C417" s="28"/>
      <c r="D417" s="24"/>
      <c r="E417" s="24"/>
      <c r="F417" s="24"/>
      <c r="G417" s="28"/>
      <c r="H417" s="28"/>
      <c r="I417" s="24"/>
      <c r="J417" s="24"/>
      <c r="K417" s="29" t="str">
        <f aca="false">IF($A417="","",IF(OR($C417="Decision",$C417="Conflict"),IF(COUNTIFS($I$2:$I$1001,$A417,$C$2:$C$1001,"Resolved")=0,"Open","Closed"),IF(AND($H417="Unconfirmed",OR($C417="New",$C417="Know")),IF(COUNTIFS($I$2:$I$1001,$A417,$C$2:$C$1001,"Confirmed")=0,"Unconfirmed","Confirmed"),"Logged")))</f>
        <v/>
      </c>
      <c r="L417" s="29" t="str">
        <f aca="false">IF($A417="","",AsOf-$B417)</f>
        <v/>
      </c>
      <c r="M417" s="29" t="str">
        <f aca="false">IF($K417="Open",IF($C417="Conflict","Critical",IF($L417&gt;=DecisionCritical,"Critical",IF($L417&gt;=DecisionWarn,"Warning","On track"))),IF($K417="Unconfirmed",IF($L417&gt;=UnconfirmedWarn,"Warning","On track"),""))</f>
        <v/>
      </c>
      <c r="N417" s="29" t="str">
        <f aca="false">IF($M417="","",IF($M417="Critical",3000,IF($M417="Warning",2000,1000))+$L417+ROW()/100000)</f>
        <v/>
      </c>
      <c r="O417" s="29" t="str">
        <f aca="false">IF($K417="Open",IF($C417="Conflict","decide "&amp;$A417&amp;": &lt;which version stands&gt;","decide "&amp;$A417&amp;": &lt;outcome&gt;"),IF($K417="Unconfirmed","confirm "&amp;$A417,""))</f>
        <v/>
      </c>
    </row>
    <row r="418" customFormat="false" ht="15" hidden="false" customHeight="false" outlineLevel="0" collapsed="false">
      <c r="A418" s="24"/>
      <c r="B418" s="27"/>
      <c r="C418" s="28"/>
      <c r="D418" s="24"/>
      <c r="E418" s="24"/>
      <c r="F418" s="24"/>
      <c r="G418" s="28"/>
      <c r="H418" s="28"/>
      <c r="I418" s="24"/>
      <c r="J418" s="24"/>
      <c r="K418" s="29" t="str">
        <f aca="false">IF($A418="","",IF(OR($C418="Decision",$C418="Conflict"),IF(COUNTIFS($I$2:$I$1001,$A418,$C$2:$C$1001,"Resolved")=0,"Open","Closed"),IF(AND($H418="Unconfirmed",OR($C418="New",$C418="Know")),IF(COUNTIFS($I$2:$I$1001,$A418,$C$2:$C$1001,"Confirmed")=0,"Unconfirmed","Confirmed"),"Logged")))</f>
        <v/>
      </c>
      <c r="L418" s="29" t="str">
        <f aca="false">IF($A418="","",AsOf-$B418)</f>
        <v/>
      </c>
      <c r="M418" s="29" t="str">
        <f aca="false">IF($K418="Open",IF($C418="Conflict","Critical",IF($L418&gt;=DecisionCritical,"Critical",IF($L418&gt;=DecisionWarn,"Warning","On track"))),IF($K418="Unconfirmed",IF($L418&gt;=UnconfirmedWarn,"Warning","On track"),""))</f>
        <v/>
      </c>
      <c r="N418" s="29" t="str">
        <f aca="false">IF($M418="","",IF($M418="Critical",3000,IF($M418="Warning",2000,1000))+$L418+ROW()/100000)</f>
        <v/>
      </c>
      <c r="O418" s="29" t="str">
        <f aca="false">IF($K418="Open",IF($C418="Conflict","decide "&amp;$A418&amp;": &lt;which version stands&gt;","decide "&amp;$A418&amp;": &lt;outcome&gt;"),IF($K418="Unconfirmed","confirm "&amp;$A418,""))</f>
        <v/>
      </c>
    </row>
    <row r="419" customFormat="false" ht="15" hidden="false" customHeight="false" outlineLevel="0" collapsed="false">
      <c r="A419" s="24"/>
      <c r="B419" s="27"/>
      <c r="C419" s="28"/>
      <c r="D419" s="24"/>
      <c r="E419" s="24"/>
      <c r="F419" s="24"/>
      <c r="G419" s="28"/>
      <c r="H419" s="28"/>
      <c r="I419" s="24"/>
      <c r="J419" s="24"/>
      <c r="K419" s="29" t="str">
        <f aca="false">IF($A419="","",IF(OR($C419="Decision",$C419="Conflict"),IF(COUNTIFS($I$2:$I$1001,$A419,$C$2:$C$1001,"Resolved")=0,"Open","Closed"),IF(AND($H419="Unconfirmed",OR($C419="New",$C419="Know")),IF(COUNTIFS($I$2:$I$1001,$A419,$C$2:$C$1001,"Confirmed")=0,"Unconfirmed","Confirmed"),"Logged")))</f>
        <v/>
      </c>
      <c r="L419" s="29" t="str">
        <f aca="false">IF($A419="","",AsOf-$B419)</f>
        <v/>
      </c>
      <c r="M419" s="29" t="str">
        <f aca="false">IF($K419="Open",IF($C419="Conflict","Critical",IF($L419&gt;=DecisionCritical,"Critical",IF($L419&gt;=DecisionWarn,"Warning","On track"))),IF($K419="Unconfirmed",IF($L419&gt;=UnconfirmedWarn,"Warning","On track"),""))</f>
        <v/>
      </c>
      <c r="N419" s="29" t="str">
        <f aca="false">IF($M419="","",IF($M419="Critical",3000,IF($M419="Warning",2000,1000))+$L419+ROW()/100000)</f>
        <v/>
      </c>
      <c r="O419" s="29" t="str">
        <f aca="false">IF($K419="Open",IF($C419="Conflict","decide "&amp;$A419&amp;": &lt;which version stands&gt;","decide "&amp;$A419&amp;": &lt;outcome&gt;"),IF($K419="Unconfirmed","confirm "&amp;$A419,""))</f>
        <v/>
      </c>
    </row>
    <row r="420" customFormat="false" ht="15" hidden="false" customHeight="false" outlineLevel="0" collapsed="false">
      <c r="A420" s="24"/>
      <c r="B420" s="27"/>
      <c r="C420" s="28"/>
      <c r="D420" s="24"/>
      <c r="E420" s="24"/>
      <c r="F420" s="24"/>
      <c r="G420" s="28"/>
      <c r="H420" s="28"/>
      <c r="I420" s="24"/>
      <c r="J420" s="24"/>
      <c r="K420" s="29" t="str">
        <f aca="false">IF($A420="","",IF(OR($C420="Decision",$C420="Conflict"),IF(COUNTIFS($I$2:$I$1001,$A420,$C$2:$C$1001,"Resolved")=0,"Open","Closed"),IF(AND($H420="Unconfirmed",OR($C420="New",$C420="Know")),IF(COUNTIFS($I$2:$I$1001,$A420,$C$2:$C$1001,"Confirmed")=0,"Unconfirmed","Confirmed"),"Logged")))</f>
        <v/>
      </c>
      <c r="L420" s="29" t="str">
        <f aca="false">IF($A420="","",AsOf-$B420)</f>
        <v/>
      </c>
      <c r="M420" s="29" t="str">
        <f aca="false">IF($K420="Open",IF($C420="Conflict","Critical",IF($L420&gt;=DecisionCritical,"Critical",IF($L420&gt;=DecisionWarn,"Warning","On track"))),IF($K420="Unconfirmed",IF($L420&gt;=UnconfirmedWarn,"Warning","On track"),""))</f>
        <v/>
      </c>
      <c r="N420" s="29" t="str">
        <f aca="false">IF($M420="","",IF($M420="Critical",3000,IF($M420="Warning",2000,1000))+$L420+ROW()/100000)</f>
        <v/>
      </c>
      <c r="O420" s="29" t="str">
        <f aca="false">IF($K420="Open",IF($C420="Conflict","decide "&amp;$A420&amp;": &lt;which version stands&gt;","decide "&amp;$A420&amp;": &lt;outcome&gt;"),IF($K420="Unconfirmed","confirm "&amp;$A420,""))</f>
        <v/>
      </c>
    </row>
    <row r="421" customFormat="false" ht="15" hidden="false" customHeight="false" outlineLevel="0" collapsed="false">
      <c r="A421" s="24"/>
      <c r="B421" s="27"/>
      <c r="C421" s="28"/>
      <c r="D421" s="24"/>
      <c r="E421" s="24"/>
      <c r="F421" s="24"/>
      <c r="G421" s="28"/>
      <c r="H421" s="28"/>
      <c r="I421" s="24"/>
      <c r="J421" s="24"/>
      <c r="K421" s="29" t="str">
        <f aca="false">IF($A421="","",IF(OR($C421="Decision",$C421="Conflict"),IF(COUNTIFS($I$2:$I$1001,$A421,$C$2:$C$1001,"Resolved")=0,"Open","Closed"),IF(AND($H421="Unconfirmed",OR($C421="New",$C421="Know")),IF(COUNTIFS($I$2:$I$1001,$A421,$C$2:$C$1001,"Confirmed")=0,"Unconfirmed","Confirmed"),"Logged")))</f>
        <v/>
      </c>
      <c r="L421" s="29" t="str">
        <f aca="false">IF($A421="","",AsOf-$B421)</f>
        <v/>
      </c>
      <c r="M421" s="29" t="str">
        <f aca="false">IF($K421="Open",IF($C421="Conflict","Critical",IF($L421&gt;=DecisionCritical,"Critical",IF($L421&gt;=DecisionWarn,"Warning","On track"))),IF($K421="Unconfirmed",IF($L421&gt;=UnconfirmedWarn,"Warning","On track"),""))</f>
        <v/>
      </c>
      <c r="N421" s="29" t="str">
        <f aca="false">IF($M421="","",IF($M421="Critical",3000,IF($M421="Warning",2000,1000))+$L421+ROW()/100000)</f>
        <v/>
      </c>
      <c r="O421" s="29" t="str">
        <f aca="false">IF($K421="Open",IF($C421="Conflict","decide "&amp;$A421&amp;": &lt;which version stands&gt;","decide "&amp;$A421&amp;": &lt;outcome&gt;"),IF($K421="Unconfirmed","confirm "&amp;$A421,""))</f>
        <v/>
      </c>
    </row>
    <row r="422" customFormat="false" ht="15" hidden="false" customHeight="false" outlineLevel="0" collapsed="false">
      <c r="A422" s="24"/>
      <c r="B422" s="27"/>
      <c r="C422" s="28"/>
      <c r="D422" s="24"/>
      <c r="E422" s="24"/>
      <c r="F422" s="24"/>
      <c r="G422" s="28"/>
      <c r="H422" s="28"/>
      <c r="I422" s="24"/>
      <c r="J422" s="24"/>
      <c r="K422" s="29" t="str">
        <f aca="false">IF($A422="","",IF(OR($C422="Decision",$C422="Conflict"),IF(COUNTIFS($I$2:$I$1001,$A422,$C$2:$C$1001,"Resolved")=0,"Open","Closed"),IF(AND($H422="Unconfirmed",OR($C422="New",$C422="Know")),IF(COUNTIFS($I$2:$I$1001,$A422,$C$2:$C$1001,"Confirmed")=0,"Unconfirmed","Confirmed"),"Logged")))</f>
        <v/>
      </c>
      <c r="L422" s="29" t="str">
        <f aca="false">IF($A422="","",AsOf-$B422)</f>
        <v/>
      </c>
      <c r="M422" s="29" t="str">
        <f aca="false">IF($K422="Open",IF($C422="Conflict","Critical",IF($L422&gt;=DecisionCritical,"Critical",IF($L422&gt;=DecisionWarn,"Warning","On track"))),IF($K422="Unconfirmed",IF($L422&gt;=UnconfirmedWarn,"Warning","On track"),""))</f>
        <v/>
      </c>
      <c r="N422" s="29" t="str">
        <f aca="false">IF($M422="","",IF($M422="Critical",3000,IF($M422="Warning",2000,1000))+$L422+ROW()/100000)</f>
        <v/>
      </c>
      <c r="O422" s="29" t="str">
        <f aca="false">IF($K422="Open",IF($C422="Conflict","decide "&amp;$A422&amp;": &lt;which version stands&gt;","decide "&amp;$A422&amp;": &lt;outcome&gt;"),IF($K422="Unconfirmed","confirm "&amp;$A422,""))</f>
        <v/>
      </c>
    </row>
    <row r="423" customFormat="false" ht="15" hidden="false" customHeight="false" outlineLevel="0" collapsed="false">
      <c r="A423" s="24"/>
      <c r="B423" s="27"/>
      <c r="C423" s="28"/>
      <c r="D423" s="24"/>
      <c r="E423" s="24"/>
      <c r="F423" s="24"/>
      <c r="G423" s="28"/>
      <c r="H423" s="28"/>
      <c r="I423" s="24"/>
      <c r="J423" s="24"/>
      <c r="K423" s="29" t="str">
        <f aca="false">IF($A423="","",IF(OR($C423="Decision",$C423="Conflict"),IF(COUNTIFS($I$2:$I$1001,$A423,$C$2:$C$1001,"Resolved")=0,"Open","Closed"),IF(AND($H423="Unconfirmed",OR($C423="New",$C423="Know")),IF(COUNTIFS($I$2:$I$1001,$A423,$C$2:$C$1001,"Confirmed")=0,"Unconfirmed","Confirmed"),"Logged")))</f>
        <v/>
      </c>
      <c r="L423" s="29" t="str">
        <f aca="false">IF($A423="","",AsOf-$B423)</f>
        <v/>
      </c>
      <c r="M423" s="29" t="str">
        <f aca="false">IF($K423="Open",IF($C423="Conflict","Critical",IF($L423&gt;=DecisionCritical,"Critical",IF($L423&gt;=DecisionWarn,"Warning","On track"))),IF($K423="Unconfirmed",IF($L423&gt;=UnconfirmedWarn,"Warning","On track"),""))</f>
        <v/>
      </c>
      <c r="N423" s="29" t="str">
        <f aca="false">IF($M423="","",IF($M423="Critical",3000,IF($M423="Warning",2000,1000))+$L423+ROW()/100000)</f>
        <v/>
      </c>
      <c r="O423" s="29" t="str">
        <f aca="false">IF($K423="Open",IF($C423="Conflict","decide "&amp;$A423&amp;": &lt;which version stands&gt;","decide "&amp;$A423&amp;": &lt;outcome&gt;"),IF($K423="Unconfirmed","confirm "&amp;$A423,""))</f>
        <v/>
      </c>
    </row>
    <row r="424" customFormat="false" ht="15" hidden="false" customHeight="false" outlineLevel="0" collapsed="false">
      <c r="A424" s="24"/>
      <c r="B424" s="27"/>
      <c r="C424" s="28"/>
      <c r="D424" s="24"/>
      <c r="E424" s="24"/>
      <c r="F424" s="24"/>
      <c r="G424" s="28"/>
      <c r="H424" s="28"/>
      <c r="I424" s="24"/>
      <c r="J424" s="24"/>
      <c r="K424" s="29" t="str">
        <f aca="false">IF($A424="","",IF(OR($C424="Decision",$C424="Conflict"),IF(COUNTIFS($I$2:$I$1001,$A424,$C$2:$C$1001,"Resolved")=0,"Open","Closed"),IF(AND($H424="Unconfirmed",OR($C424="New",$C424="Know")),IF(COUNTIFS($I$2:$I$1001,$A424,$C$2:$C$1001,"Confirmed")=0,"Unconfirmed","Confirmed"),"Logged")))</f>
        <v/>
      </c>
      <c r="L424" s="29" t="str">
        <f aca="false">IF($A424="","",AsOf-$B424)</f>
        <v/>
      </c>
      <c r="M424" s="29" t="str">
        <f aca="false">IF($K424="Open",IF($C424="Conflict","Critical",IF($L424&gt;=DecisionCritical,"Critical",IF($L424&gt;=DecisionWarn,"Warning","On track"))),IF($K424="Unconfirmed",IF($L424&gt;=UnconfirmedWarn,"Warning","On track"),""))</f>
        <v/>
      </c>
      <c r="N424" s="29" t="str">
        <f aca="false">IF($M424="","",IF($M424="Critical",3000,IF($M424="Warning",2000,1000))+$L424+ROW()/100000)</f>
        <v/>
      </c>
      <c r="O424" s="29" t="str">
        <f aca="false">IF($K424="Open",IF($C424="Conflict","decide "&amp;$A424&amp;": &lt;which version stands&gt;","decide "&amp;$A424&amp;": &lt;outcome&gt;"),IF($K424="Unconfirmed","confirm "&amp;$A424,""))</f>
        <v/>
      </c>
    </row>
    <row r="425" customFormat="false" ht="15" hidden="false" customHeight="false" outlineLevel="0" collapsed="false">
      <c r="A425" s="24"/>
      <c r="B425" s="27"/>
      <c r="C425" s="28"/>
      <c r="D425" s="24"/>
      <c r="E425" s="24"/>
      <c r="F425" s="24"/>
      <c r="G425" s="28"/>
      <c r="H425" s="28"/>
      <c r="I425" s="24"/>
      <c r="J425" s="24"/>
      <c r="K425" s="29" t="str">
        <f aca="false">IF($A425="","",IF(OR($C425="Decision",$C425="Conflict"),IF(COUNTIFS($I$2:$I$1001,$A425,$C$2:$C$1001,"Resolved")=0,"Open","Closed"),IF(AND($H425="Unconfirmed",OR($C425="New",$C425="Know")),IF(COUNTIFS($I$2:$I$1001,$A425,$C$2:$C$1001,"Confirmed")=0,"Unconfirmed","Confirmed"),"Logged")))</f>
        <v/>
      </c>
      <c r="L425" s="29" t="str">
        <f aca="false">IF($A425="","",AsOf-$B425)</f>
        <v/>
      </c>
      <c r="M425" s="29" t="str">
        <f aca="false">IF($K425="Open",IF($C425="Conflict","Critical",IF($L425&gt;=DecisionCritical,"Critical",IF($L425&gt;=DecisionWarn,"Warning","On track"))),IF($K425="Unconfirmed",IF($L425&gt;=UnconfirmedWarn,"Warning","On track"),""))</f>
        <v/>
      </c>
      <c r="N425" s="29" t="str">
        <f aca="false">IF($M425="","",IF($M425="Critical",3000,IF($M425="Warning",2000,1000))+$L425+ROW()/100000)</f>
        <v/>
      </c>
      <c r="O425" s="29" t="str">
        <f aca="false">IF($K425="Open",IF($C425="Conflict","decide "&amp;$A425&amp;": &lt;which version stands&gt;","decide "&amp;$A425&amp;": &lt;outcome&gt;"),IF($K425="Unconfirmed","confirm "&amp;$A425,""))</f>
        <v/>
      </c>
    </row>
    <row r="426" customFormat="false" ht="15" hidden="false" customHeight="false" outlineLevel="0" collapsed="false">
      <c r="A426" s="24"/>
      <c r="B426" s="27"/>
      <c r="C426" s="28"/>
      <c r="D426" s="24"/>
      <c r="E426" s="24"/>
      <c r="F426" s="24"/>
      <c r="G426" s="28"/>
      <c r="H426" s="28"/>
      <c r="I426" s="24"/>
      <c r="J426" s="24"/>
      <c r="K426" s="29" t="str">
        <f aca="false">IF($A426="","",IF(OR($C426="Decision",$C426="Conflict"),IF(COUNTIFS($I$2:$I$1001,$A426,$C$2:$C$1001,"Resolved")=0,"Open","Closed"),IF(AND($H426="Unconfirmed",OR($C426="New",$C426="Know")),IF(COUNTIFS($I$2:$I$1001,$A426,$C$2:$C$1001,"Confirmed")=0,"Unconfirmed","Confirmed"),"Logged")))</f>
        <v/>
      </c>
      <c r="L426" s="29" t="str">
        <f aca="false">IF($A426="","",AsOf-$B426)</f>
        <v/>
      </c>
      <c r="M426" s="29" t="str">
        <f aca="false">IF($K426="Open",IF($C426="Conflict","Critical",IF($L426&gt;=DecisionCritical,"Critical",IF($L426&gt;=DecisionWarn,"Warning","On track"))),IF($K426="Unconfirmed",IF($L426&gt;=UnconfirmedWarn,"Warning","On track"),""))</f>
        <v/>
      </c>
      <c r="N426" s="29" t="str">
        <f aca="false">IF($M426="","",IF($M426="Critical",3000,IF($M426="Warning",2000,1000))+$L426+ROW()/100000)</f>
        <v/>
      </c>
      <c r="O426" s="29" t="str">
        <f aca="false">IF($K426="Open",IF($C426="Conflict","decide "&amp;$A426&amp;": &lt;which version stands&gt;","decide "&amp;$A426&amp;": &lt;outcome&gt;"),IF($K426="Unconfirmed","confirm "&amp;$A426,""))</f>
        <v/>
      </c>
    </row>
    <row r="427" customFormat="false" ht="15" hidden="false" customHeight="false" outlineLevel="0" collapsed="false">
      <c r="A427" s="24"/>
      <c r="B427" s="27"/>
      <c r="C427" s="28"/>
      <c r="D427" s="24"/>
      <c r="E427" s="24"/>
      <c r="F427" s="24"/>
      <c r="G427" s="28"/>
      <c r="H427" s="28"/>
      <c r="I427" s="24"/>
      <c r="J427" s="24"/>
      <c r="K427" s="29" t="str">
        <f aca="false">IF($A427="","",IF(OR($C427="Decision",$C427="Conflict"),IF(COUNTIFS($I$2:$I$1001,$A427,$C$2:$C$1001,"Resolved")=0,"Open","Closed"),IF(AND($H427="Unconfirmed",OR($C427="New",$C427="Know")),IF(COUNTIFS($I$2:$I$1001,$A427,$C$2:$C$1001,"Confirmed")=0,"Unconfirmed","Confirmed"),"Logged")))</f>
        <v/>
      </c>
      <c r="L427" s="29" t="str">
        <f aca="false">IF($A427="","",AsOf-$B427)</f>
        <v/>
      </c>
      <c r="M427" s="29" t="str">
        <f aca="false">IF($K427="Open",IF($C427="Conflict","Critical",IF($L427&gt;=DecisionCritical,"Critical",IF($L427&gt;=DecisionWarn,"Warning","On track"))),IF($K427="Unconfirmed",IF($L427&gt;=UnconfirmedWarn,"Warning","On track"),""))</f>
        <v/>
      </c>
      <c r="N427" s="29" t="str">
        <f aca="false">IF($M427="","",IF($M427="Critical",3000,IF($M427="Warning",2000,1000))+$L427+ROW()/100000)</f>
        <v/>
      </c>
      <c r="O427" s="29" t="str">
        <f aca="false">IF($K427="Open",IF($C427="Conflict","decide "&amp;$A427&amp;": &lt;which version stands&gt;","decide "&amp;$A427&amp;": &lt;outcome&gt;"),IF($K427="Unconfirmed","confirm "&amp;$A427,""))</f>
        <v/>
      </c>
    </row>
    <row r="428" customFormat="false" ht="15" hidden="false" customHeight="false" outlineLevel="0" collapsed="false">
      <c r="A428" s="24"/>
      <c r="B428" s="27"/>
      <c r="C428" s="28"/>
      <c r="D428" s="24"/>
      <c r="E428" s="24"/>
      <c r="F428" s="24"/>
      <c r="G428" s="28"/>
      <c r="H428" s="28"/>
      <c r="I428" s="24"/>
      <c r="J428" s="24"/>
      <c r="K428" s="29" t="str">
        <f aca="false">IF($A428="","",IF(OR($C428="Decision",$C428="Conflict"),IF(COUNTIFS($I$2:$I$1001,$A428,$C$2:$C$1001,"Resolved")=0,"Open","Closed"),IF(AND($H428="Unconfirmed",OR($C428="New",$C428="Know")),IF(COUNTIFS($I$2:$I$1001,$A428,$C$2:$C$1001,"Confirmed")=0,"Unconfirmed","Confirmed"),"Logged")))</f>
        <v/>
      </c>
      <c r="L428" s="29" t="str">
        <f aca="false">IF($A428="","",AsOf-$B428)</f>
        <v/>
      </c>
      <c r="M428" s="29" t="str">
        <f aca="false">IF($K428="Open",IF($C428="Conflict","Critical",IF($L428&gt;=DecisionCritical,"Critical",IF($L428&gt;=DecisionWarn,"Warning","On track"))),IF($K428="Unconfirmed",IF($L428&gt;=UnconfirmedWarn,"Warning","On track"),""))</f>
        <v/>
      </c>
      <c r="N428" s="29" t="str">
        <f aca="false">IF($M428="","",IF($M428="Critical",3000,IF($M428="Warning",2000,1000))+$L428+ROW()/100000)</f>
        <v/>
      </c>
      <c r="O428" s="29" t="str">
        <f aca="false">IF($K428="Open",IF($C428="Conflict","decide "&amp;$A428&amp;": &lt;which version stands&gt;","decide "&amp;$A428&amp;": &lt;outcome&gt;"),IF($K428="Unconfirmed","confirm "&amp;$A428,""))</f>
        <v/>
      </c>
    </row>
    <row r="429" customFormat="false" ht="15" hidden="false" customHeight="false" outlineLevel="0" collapsed="false">
      <c r="A429" s="24"/>
      <c r="B429" s="27"/>
      <c r="C429" s="28"/>
      <c r="D429" s="24"/>
      <c r="E429" s="24"/>
      <c r="F429" s="24"/>
      <c r="G429" s="28"/>
      <c r="H429" s="28"/>
      <c r="I429" s="24"/>
      <c r="J429" s="24"/>
      <c r="K429" s="29" t="str">
        <f aca="false">IF($A429="","",IF(OR($C429="Decision",$C429="Conflict"),IF(COUNTIFS($I$2:$I$1001,$A429,$C$2:$C$1001,"Resolved")=0,"Open","Closed"),IF(AND($H429="Unconfirmed",OR($C429="New",$C429="Know")),IF(COUNTIFS($I$2:$I$1001,$A429,$C$2:$C$1001,"Confirmed")=0,"Unconfirmed","Confirmed"),"Logged")))</f>
        <v/>
      </c>
      <c r="L429" s="29" t="str">
        <f aca="false">IF($A429="","",AsOf-$B429)</f>
        <v/>
      </c>
      <c r="M429" s="29" t="str">
        <f aca="false">IF($K429="Open",IF($C429="Conflict","Critical",IF($L429&gt;=DecisionCritical,"Critical",IF($L429&gt;=DecisionWarn,"Warning","On track"))),IF($K429="Unconfirmed",IF($L429&gt;=UnconfirmedWarn,"Warning","On track"),""))</f>
        <v/>
      </c>
      <c r="N429" s="29" t="str">
        <f aca="false">IF($M429="","",IF($M429="Critical",3000,IF($M429="Warning",2000,1000))+$L429+ROW()/100000)</f>
        <v/>
      </c>
      <c r="O429" s="29" t="str">
        <f aca="false">IF($K429="Open",IF($C429="Conflict","decide "&amp;$A429&amp;": &lt;which version stands&gt;","decide "&amp;$A429&amp;": &lt;outcome&gt;"),IF($K429="Unconfirmed","confirm "&amp;$A429,""))</f>
        <v/>
      </c>
    </row>
    <row r="430" customFormat="false" ht="15" hidden="false" customHeight="false" outlineLevel="0" collapsed="false">
      <c r="A430" s="24"/>
      <c r="B430" s="27"/>
      <c r="C430" s="28"/>
      <c r="D430" s="24"/>
      <c r="E430" s="24"/>
      <c r="F430" s="24"/>
      <c r="G430" s="28"/>
      <c r="H430" s="28"/>
      <c r="I430" s="24"/>
      <c r="J430" s="24"/>
      <c r="K430" s="29" t="str">
        <f aca="false">IF($A430="","",IF(OR($C430="Decision",$C430="Conflict"),IF(COUNTIFS($I$2:$I$1001,$A430,$C$2:$C$1001,"Resolved")=0,"Open","Closed"),IF(AND($H430="Unconfirmed",OR($C430="New",$C430="Know")),IF(COUNTIFS($I$2:$I$1001,$A430,$C$2:$C$1001,"Confirmed")=0,"Unconfirmed","Confirmed"),"Logged")))</f>
        <v/>
      </c>
      <c r="L430" s="29" t="str">
        <f aca="false">IF($A430="","",AsOf-$B430)</f>
        <v/>
      </c>
      <c r="M430" s="29" t="str">
        <f aca="false">IF($K430="Open",IF($C430="Conflict","Critical",IF($L430&gt;=DecisionCritical,"Critical",IF($L430&gt;=DecisionWarn,"Warning","On track"))),IF($K430="Unconfirmed",IF($L430&gt;=UnconfirmedWarn,"Warning","On track"),""))</f>
        <v/>
      </c>
      <c r="N430" s="29" t="str">
        <f aca="false">IF($M430="","",IF($M430="Critical",3000,IF($M430="Warning",2000,1000))+$L430+ROW()/100000)</f>
        <v/>
      </c>
      <c r="O430" s="29" t="str">
        <f aca="false">IF($K430="Open",IF($C430="Conflict","decide "&amp;$A430&amp;": &lt;which version stands&gt;","decide "&amp;$A430&amp;": &lt;outcome&gt;"),IF($K430="Unconfirmed","confirm "&amp;$A430,""))</f>
        <v/>
      </c>
    </row>
    <row r="431" customFormat="false" ht="15" hidden="false" customHeight="false" outlineLevel="0" collapsed="false">
      <c r="A431" s="24"/>
      <c r="B431" s="27"/>
      <c r="C431" s="28"/>
      <c r="D431" s="24"/>
      <c r="E431" s="24"/>
      <c r="F431" s="24"/>
      <c r="G431" s="28"/>
      <c r="H431" s="28"/>
      <c r="I431" s="24"/>
      <c r="J431" s="24"/>
      <c r="K431" s="29" t="str">
        <f aca="false">IF($A431="","",IF(OR($C431="Decision",$C431="Conflict"),IF(COUNTIFS($I$2:$I$1001,$A431,$C$2:$C$1001,"Resolved")=0,"Open","Closed"),IF(AND($H431="Unconfirmed",OR($C431="New",$C431="Know")),IF(COUNTIFS($I$2:$I$1001,$A431,$C$2:$C$1001,"Confirmed")=0,"Unconfirmed","Confirmed"),"Logged")))</f>
        <v/>
      </c>
      <c r="L431" s="29" t="str">
        <f aca="false">IF($A431="","",AsOf-$B431)</f>
        <v/>
      </c>
      <c r="M431" s="29" t="str">
        <f aca="false">IF($K431="Open",IF($C431="Conflict","Critical",IF($L431&gt;=DecisionCritical,"Critical",IF($L431&gt;=DecisionWarn,"Warning","On track"))),IF($K431="Unconfirmed",IF($L431&gt;=UnconfirmedWarn,"Warning","On track"),""))</f>
        <v/>
      </c>
      <c r="N431" s="29" t="str">
        <f aca="false">IF($M431="","",IF($M431="Critical",3000,IF($M431="Warning",2000,1000))+$L431+ROW()/100000)</f>
        <v/>
      </c>
      <c r="O431" s="29" t="str">
        <f aca="false">IF($K431="Open",IF($C431="Conflict","decide "&amp;$A431&amp;": &lt;which version stands&gt;","decide "&amp;$A431&amp;": &lt;outcome&gt;"),IF($K431="Unconfirmed","confirm "&amp;$A431,""))</f>
        <v/>
      </c>
    </row>
    <row r="432" customFormat="false" ht="15" hidden="false" customHeight="false" outlineLevel="0" collapsed="false">
      <c r="A432" s="24"/>
      <c r="B432" s="27"/>
      <c r="C432" s="28"/>
      <c r="D432" s="24"/>
      <c r="E432" s="24"/>
      <c r="F432" s="24"/>
      <c r="G432" s="28"/>
      <c r="H432" s="28"/>
      <c r="I432" s="24"/>
      <c r="J432" s="24"/>
      <c r="K432" s="29" t="str">
        <f aca="false">IF($A432="","",IF(OR($C432="Decision",$C432="Conflict"),IF(COUNTIFS($I$2:$I$1001,$A432,$C$2:$C$1001,"Resolved")=0,"Open","Closed"),IF(AND($H432="Unconfirmed",OR($C432="New",$C432="Know")),IF(COUNTIFS($I$2:$I$1001,$A432,$C$2:$C$1001,"Confirmed")=0,"Unconfirmed","Confirmed"),"Logged")))</f>
        <v/>
      </c>
      <c r="L432" s="29" t="str">
        <f aca="false">IF($A432="","",AsOf-$B432)</f>
        <v/>
      </c>
      <c r="M432" s="29" t="str">
        <f aca="false">IF($K432="Open",IF($C432="Conflict","Critical",IF($L432&gt;=DecisionCritical,"Critical",IF($L432&gt;=DecisionWarn,"Warning","On track"))),IF($K432="Unconfirmed",IF($L432&gt;=UnconfirmedWarn,"Warning","On track"),""))</f>
        <v/>
      </c>
      <c r="N432" s="29" t="str">
        <f aca="false">IF($M432="","",IF($M432="Critical",3000,IF($M432="Warning",2000,1000))+$L432+ROW()/100000)</f>
        <v/>
      </c>
      <c r="O432" s="29" t="str">
        <f aca="false">IF($K432="Open",IF($C432="Conflict","decide "&amp;$A432&amp;": &lt;which version stands&gt;","decide "&amp;$A432&amp;": &lt;outcome&gt;"),IF($K432="Unconfirmed","confirm "&amp;$A432,""))</f>
        <v/>
      </c>
    </row>
    <row r="433" customFormat="false" ht="15" hidden="false" customHeight="false" outlineLevel="0" collapsed="false">
      <c r="A433" s="24"/>
      <c r="B433" s="27"/>
      <c r="C433" s="28"/>
      <c r="D433" s="24"/>
      <c r="E433" s="24"/>
      <c r="F433" s="24"/>
      <c r="G433" s="28"/>
      <c r="H433" s="28"/>
      <c r="I433" s="24"/>
      <c r="J433" s="24"/>
      <c r="K433" s="29" t="str">
        <f aca="false">IF($A433="","",IF(OR($C433="Decision",$C433="Conflict"),IF(COUNTIFS($I$2:$I$1001,$A433,$C$2:$C$1001,"Resolved")=0,"Open","Closed"),IF(AND($H433="Unconfirmed",OR($C433="New",$C433="Know")),IF(COUNTIFS($I$2:$I$1001,$A433,$C$2:$C$1001,"Confirmed")=0,"Unconfirmed","Confirmed"),"Logged")))</f>
        <v/>
      </c>
      <c r="L433" s="29" t="str">
        <f aca="false">IF($A433="","",AsOf-$B433)</f>
        <v/>
      </c>
      <c r="M433" s="29" t="str">
        <f aca="false">IF($K433="Open",IF($C433="Conflict","Critical",IF($L433&gt;=DecisionCritical,"Critical",IF($L433&gt;=DecisionWarn,"Warning","On track"))),IF($K433="Unconfirmed",IF($L433&gt;=UnconfirmedWarn,"Warning","On track"),""))</f>
        <v/>
      </c>
      <c r="N433" s="29" t="str">
        <f aca="false">IF($M433="","",IF($M433="Critical",3000,IF($M433="Warning",2000,1000))+$L433+ROW()/100000)</f>
        <v/>
      </c>
      <c r="O433" s="29" t="str">
        <f aca="false">IF($K433="Open",IF($C433="Conflict","decide "&amp;$A433&amp;": &lt;which version stands&gt;","decide "&amp;$A433&amp;": &lt;outcome&gt;"),IF($K433="Unconfirmed","confirm "&amp;$A433,""))</f>
        <v/>
      </c>
    </row>
    <row r="434" customFormat="false" ht="15" hidden="false" customHeight="false" outlineLevel="0" collapsed="false">
      <c r="A434" s="24"/>
      <c r="B434" s="27"/>
      <c r="C434" s="28"/>
      <c r="D434" s="24"/>
      <c r="E434" s="24"/>
      <c r="F434" s="24"/>
      <c r="G434" s="28"/>
      <c r="H434" s="28"/>
      <c r="I434" s="24"/>
      <c r="J434" s="24"/>
      <c r="K434" s="29" t="str">
        <f aca="false">IF($A434="","",IF(OR($C434="Decision",$C434="Conflict"),IF(COUNTIFS($I$2:$I$1001,$A434,$C$2:$C$1001,"Resolved")=0,"Open","Closed"),IF(AND($H434="Unconfirmed",OR($C434="New",$C434="Know")),IF(COUNTIFS($I$2:$I$1001,$A434,$C$2:$C$1001,"Confirmed")=0,"Unconfirmed","Confirmed"),"Logged")))</f>
        <v/>
      </c>
      <c r="L434" s="29" t="str">
        <f aca="false">IF($A434="","",AsOf-$B434)</f>
        <v/>
      </c>
      <c r="M434" s="29" t="str">
        <f aca="false">IF($K434="Open",IF($C434="Conflict","Critical",IF($L434&gt;=DecisionCritical,"Critical",IF($L434&gt;=DecisionWarn,"Warning","On track"))),IF($K434="Unconfirmed",IF($L434&gt;=UnconfirmedWarn,"Warning","On track"),""))</f>
        <v/>
      </c>
      <c r="N434" s="29" t="str">
        <f aca="false">IF($M434="","",IF($M434="Critical",3000,IF($M434="Warning",2000,1000))+$L434+ROW()/100000)</f>
        <v/>
      </c>
      <c r="O434" s="29" t="str">
        <f aca="false">IF($K434="Open",IF($C434="Conflict","decide "&amp;$A434&amp;": &lt;which version stands&gt;","decide "&amp;$A434&amp;": &lt;outcome&gt;"),IF($K434="Unconfirmed","confirm "&amp;$A434,""))</f>
        <v/>
      </c>
    </row>
    <row r="435" customFormat="false" ht="15" hidden="false" customHeight="false" outlineLevel="0" collapsed="false">
      <c r="A435" s="24"/>
      <c r="B435" s="27"/>
      <c r="C435" s="28"/>
      <c r="D435" s="24"/>
      <c r="E435" s="24"/>
      <c r="F435" s="24"/>
      <c r="G435" s="28"/>
      <c r="H435" s="28"/>
      <c r="I435" s="24"/>
      <c r="J435" s="24"/>
      <c r="K435" s="29" t="str">
        <f aca="false">IF($A435="","",IF(OR($C435="Decision",$C435="Conflict"),IF(COUNTIFS($I$2:$I$1001,$A435,$C$2:$C$1001,"Resolved")=0,"Open","Closed"),IF(AND($H435="Unconfirmed",OR($C435="New",$C435="Know")),IF(COUNTIFS($I$2:$I$1001,$A435,$C$2:$C$1001,"Confirmed")=0,"Unconfirmed","Confirmed"),"Logged")))</f>
        <v/>
      </c>
      <c r="L435" s="29" t="str">
        <f aca="false">IF($A435="","",AsOf-$B435)</f>
        <v/>
      </c>
      <c r="M435" s="29" t="str">
        <f aca="false">IF($K435="Open",IF($C435="Conflict","Critical",IF($L435&gt;=DecisionCritical,"Critical",IF($L435&gt;=DecisionWarn,"Warning","On track"))),IF($K435="Unconfirmed",IF($L435&gt;=UnconfirmedWarn,"Warning","On track"),""))</f>
        <v/>
      </c>
      <c r="N435" s="29" t="str">
        <f aca="false">IF($M435="","",IF($M435="Critical",3000,IF($M435="Warning",2000,1000))+$L435+ROW()/100000)</f>
        <v/>
      </c>
      <c r="O435" s="29" t="str">
        <f aca="false">IF($K435="Open",IF($C435="Conflict","decide "&amp;$A435&amp;": &lt;which version stands&gt;","decide "&amp;$A435&amp;": &lt;outcome&gt;"),IF($K435="Unconfirmed","confirm "&amp;$A435,""))</f>
        <v/>
      </c>
    </row>
    <row r="436" customFormat="false" ht="15" hidden="false" customHeight="false" outlineLevel="0" collapsed="false">
      <c r="A436" s="24"/>
      <c r="B436" s="27"/>
      <c r="C436" s="28"/>
      <c r="D436" s="24"/>
      <c r="E436" s="24"/>
      <c r="F436" s="24"/>
      <c r="G436" s="28"/>
      <c r="H436" s="28"/>
      <c r="I436" s="24"/>
      <c r="J436" s="24"/>
      <c r="K436" s="29" t="str">
        <f aca="false">IF($A436="","",IF(OR($C436="Decision",$C436="Conflict"),IF(COUNTIFS($I$2:$I$1001,$A436,$C$2:$C$1001,"Resolved")=0,"Open","Closed"),IF(AND($H436="Unconfirmed",OR($C436="New",$C436="Know")),IF(COUNTIFS($I$2:$I$1001,$A436,$C$2:$C$1001,"Confirmed")=0,"Unconfirmed","Confirmed"),"Logged")))</f>
        <v/>
      </c>
      <c r="L436" s="29" t="str">
        <f aca="false">IF($A436="","",AsOf-$B436)</f>
        <v/>
      </c>
      <c r="M436" s="29" t="str">
        <f aca="false">IF($K436="Open",IF($C436="Conflict","Critical",IF($L436&gt;=DecisionCritical,"Critical",IF($L436&gt;=DecisionWarn,"Warning","On track"))),IF($K436="Unconfirmed",IF($L436&gt;=UnconfirmedWarn,"Warning","On track"),""))</f>
        <v/>
      </c>
      <c r="N436" s="29" t="str">
        <f aca="false">IF($M436="","",IF($M436="Critical",3000,IF($M436="Warning",2000,1000))+$L436+ROW()/100000)</f>
        <v/>
      </c>
      <c r="O436" s="29" t="str">
        <f aca="false">IF($K436="Open",IF($C436="Conflict","decide "&amp;$A436&amp;": &lt;which version stands&gt;","decide "&amp;$A436&amp;": &lt;outcome&gt;"),IF($K436="Unconfirmed","confirm "&amp;$A436,""))</f>
        <v/>
      </c>
    </row>
    <row r="437" customFormat="false" ht="15" hidden="false" customHeight="false" outlineLevel="0" collapsed="false">
      <c r="A437" s="24"/>
      <c r="B437" s="27"/>
      <c r="C437" s="28"/>
      <c r="D437" s="24"/>
      <c r="E437" s="24"/>
      <c r="F437" s="24"/>
      <c r="G437" s="28"/>
      <c r="H437" s="28"/>
      <c r="I437" s="24"/>
      <c r="J437" s="24"/>
      <c r="K437" s="29" t="str">
        <f aca="false">IF($A437="","",IF(OR($C437="Decision",$C437="Conflict"),IF(COUNTIFS($I$2:$I$1001,$A437,$C$2:$C$1001,"Resolved")=0,"Open","Closed"),IF(AND($H437="Unconfirmed",OR($C437="New",$C437="Know")),IF(COUNTIFS($I$2:$I$1001,$A437,$C$2:$C$1001,"Confirmed")=0,"Unconfirmed","Confirmed"),"Logged")))</f>
        <v/>
      </c>
      <c r="L437" s="29" t="str">
        <f aca="false">IF($A437="","",AsOf-$B437)</f>
        <v/>
      </c>
      <c r="M437" s="29" t="str">
        <f aca="false">IF($K437="Open",IF($C437="Conflict","Critical",IF($L437&gt;=DecisionCritical,"Critical",IF($L437&gt;=DecisionWarn,"Warning","On track"))),IF($K437="Unconfirmed",IF($L437&gt;=UnconfirmedWarn,"Warning","On track"),""))</f>
        <v/>
      </c>
      <c r="N437" s="29" t="str">
        <f aca="false">IF($M437="","",IF($M437="Critical",3000,IF($M437="Warning",2000,1000))+$L437+ROW()/100000)</f>
        <v/>
      </c>
      <c r="O437" s="29" t="str">
        <f aca="false">IF($K437="Open",IF($C437="Conflict","decide "&amp;$A437&amp;": &lt;which version stands&gt;","decide "&amp;$A437&amp;": &lt;outcome&gt;"),IF($K437="Unconfirmed","confirm "&amp;$A437,""))</f>
        <v/>
      </c>
    </row>
    <row r="438" customFormat="false" ht="15" hidden="false" customHeight="false" outlineLevel="0" collapsed="false">
      <c r="A438" s="24"/>
      <c r="B438" s="27"/>
      <c r="C438" s="28"/>
      <c r="D438" s="24"/>
      <c r="E438" s="24"/>
      <c r="F438" s="24"/>
      <c r="G438" s="28"/>
      <c r="H438" s="28"/>
      <c r="I438" s="24"/>
      <c r="J438" s="24"/>
      <c r="K438" s="29" t="str">
        <f aca="false">IF($A438="","",IF(OR($C438="Decision",$C438="Conflict"),IF(COUNTIFS($I$2:$I$1001,$A438,$C$2:$C$1001,"Resolved")=0,"Open","Closed"),IF(AND($H438="Unconfirmed",OR($C438="New",$C438="Know")),IF(COUNTIFS($I$2:$I$1001,$A438,$C$2:$C$1001,"Confirmed")=0,"Unconfirmed","Confirmed"),"Logged")))</f>
        <v/>
      </c>
      <c r="L438" s="29" t="str">
        <f aca="false">IF($A438="","",AsOf-$B438)</f>
        <v/>
      </c>
      <c r="M438" s="29" t="str">
        <f aca="false">IF($K438="Open",IF($C438="Conflict","Critical",IF($L438&gt;=DecisionCritical,"Critical",IF($L438&gt;=DecisionWarn,"Warning","On track"))),IF($K438="Unconfirmed",IF($L438&gt;=UnconfirmedWarn,"Warning","On track"),""))</f>
        <v/>
      </c>
      <c r="N438" s="29" t="str">
        <f aca="false">IF($M438="","",IF($M438="Critical",3000,IF($M438="Warning",2000,1000))+$L438+ROW()/100000)</f>
        <v/>
      </c>
      <c r="O438" s="29" t="str">
        <f aca="false">IF($K438="Open",IF($C438="Conflict","decide "&amp;$A438&amp;": &lt;which version stands&gt;","decide "&amp;$A438&amp;": &lt;outcome&gt;"),IF($K438="Unconfirmed","confirm "&amp;$A438,""))</f>
        <v/>
      </c>
    </row>
    <row r="439" customFormat="false" ht="15" hidden="false" customHeight="false" outlineLevel="0" collapsed="false">
      <c r="A439" s="24"/>
      <c r="B439" s="27"/>
      <c r="C439" s="28"/>
      <c r="D439" s="24"/>
      <c r="E439" s="24"/>
      <c r="F439" s="24"/>
      <c r="G439" s="28"/>
      <c r="H439" s="28"/>
      <c r="I439" s="24"/>
      <c r="J439" s="24"/>
      <c r="K439" s="29" t="str">
        <f aca="false">IF($A439="","",IF(OR($C439="Decision",$C439="Conflict"),IF(COUNTIFS($I$2:$I$1001,$A439,$C$2:$C$1001,"Resolved")=0,"Open","Closed"),IF(AND($H439="Unconfirmed",OR($C439="New",$C439="Know")),IF(COUNTIFS($I$2:$I$1001,$A439,$C$2:$C$1001,"Confirmed")=0,"Unconfirmed","Confirmed"),"Logged")))</f>
        <v/>
      </c>
      <c r="L439" s="29" t="str">
        <f aca="false">IF($A439="","",AsOf-$B439)</f>
        <v/>
      </c>
      <c r="M439" s="29" t="str">
        <f aca="false">IF($K439="Open",IF($C439="Conflict","Critical",IF($L439&gt;=DecisionCritical,"Critical",IF($L439&gt;=DecisionWarn,"Warning","On track"))),IF($K439="Unconfirmed",IF($L439&gt;=UnconfirmedWarn,"Warning","On track"),""))</f>
        <v/>
      </c>
      <c r="N439" s="29" t="str">
        <f aca="false">IF($M439="","",IF($M439="Critical",3000,IF($M439="Warning",2000,1000))+$L439+ROW()/100000)</f>
        <v/>
      </c>
      <c r="O439" s="29" t="str">
        <f aca="false">IF($K439="Open",IF($C439="Conflict","decide "&amp;$A439&amp;": &lt;which version stands&gt;","decide "&amp;$A439&amp;": &lt;outcome&gt;"),IF($K439="Unconfirmed","confirm "&amp;$A439,""))</f>
        <v/>
      </c>
    </row>
    <row r="440" customFormat="false" ht="15" hidden="false" customHeight="false" outlineLevel="0" collapsed="false">
      <c r="A440" s="24"/>
      <c r="B440" s="27"/>
      <c r="C440" s="28"/>
      <c r="D440" s="24"/>
      <c r="E440" s="24"/>
      <c r="F440" s="24"/>
      <c r="G440" s="28"/>
      <c r="H440" s="28"/>
      <c r="I440" s="24"/>
      <c r="J440" s="24"/>
      <c r="K440" s="29" t="str">
        <f aca="false">IF($A440="","",IF(OR($C440="Decision",$C440="Conflict"),IF(COUNTIFS($I$2:$I$1001,$A440,$C$2:$C$1001,"Resolved")=0,"Open","Closed"),IF(AND($H440="Unconfirmed",OR($C440="New",$C440="Know")),IF(COUNTIFS($I$2:$I$1001,$A440,$C$2:$C$1001,"Confirmed")=0,"Unconfirmed","Confirmed"),"Logged")))</f>
        <v/>
      </c>
      <c r="L440" s="29" t="str">
        <f aca="false">IF($A440="","",AsOf-$B440)</f>
        <v/>
      </c>
      <c r="M440" s="29" t="str">
        <f aca="false">IF($K440="Open",IF($C440="Conflict","Critical",IF($L440&gt;=DecisionCritical,"Critical",IF($L440&gt;=DecisionWarn,"Warning","On track"))),IF($K440="Unconfirmed",IF($L440&gt;=UnconfirmedWarn,"Warning","On track"),""))</f>
        <v/>
      </c>
      <c r="N440" s="29" t="str">
        <f aca="false">IF($M440="","",IF($M440="Critical",3000,IF($M440="Warning",2000,1000))+$L440+ROW()/100000)</f>
        <v/>
      </c>
      <c r="O440" s="29" t="str">
        <f aca="false">IF($K440="Open",IF($C440="Conflict","decide "&amp;$A440&amp;": &lt;which version stands&gt;","decide "&amp;$A440&amp;": &lt;outcome&gt;"),IF($K440="Unconfirmed","confirm "&amp;$A440,""))</f>
        <v/>
      </c>
    </row>
    <row r="441" customFormat="false" ht="15" hidden="false" customHeight="false" outlineLevel="0" collapsed="false">
      <c r="A441" s="24"/>
      <c r="B441" s="27"/>
      <c r="C441" s="28"/>
      <c r="D441" s="24"/>
      <c r="E441" s="24"/>
      <c r="F441" s="24"/>
      <c r="G441" s="28"/>
      <c r="H441" s="28"/>
      <c r="I441" s="24"/>
      <c r="J441" s="24"/>
      <c r="K441" s="29" t="str">
        <f aca="false">IF($A441="","",IF(OR($C441="Decision",$C441="Conflict"),IF(COUNTIFS($I$2:$I$1001,$A441,$C$2:$C$1001,"Resolved")=0,"Open","Closed"),IF(AND($H441="Unconfirmed",OR($C441="New",$C441="Know")),IF(COUNTIFS($I$2:$I$1001,$A441,$C$2:$C$1001,"Confirmed")=0,"Unconfirmed","Confirmed"),"Logged")))</f>
        <v/>
      </c>
      <c r="L441" s="29" t="str">
        <f aca="false">IF($A441="","",AsOf-$B441)</f>
        <v/>
      </c>
      <c r="M441" s="29" t="str">
        <f aca="false">IF($K441="Open",IF($C441="Conflict","Critical",IF($L441&gt;=DecisionCritical,"Critical",IF($L441&gt;=DecisionWarn,"Warning","On track"))),IF($K441="Unconfirmed",IF($L441&gt;=UnconfirmedWarn,"Warning","On track"),""))</f>
        <v/>
      </c>
      <c r="N441" s="29" t="str">
        <f aca="false">IF($M441="","",IF($M441="Critical",3000,IF($M441="Warning",2000,1000))+$L441+ROW()/100000)</f>
        <v/>
      </c>
      <c r="O441" s="29" t="str">
        <f aca="false">IF($K441="Open",IF($C441="Conflict","decide "&amp;$A441&amp;": &lt;which version stands&gt;","decide "&amp;$A441&amp;": &lt;outcome&gt;"),IF($K441="Unconfirmed","confirm "&amp;$A441,""))</f>
        <v/>
      </c>
    </row>
    <row r="442" customFormat="false" ht="15" hidden="false" customHeight="false" outlineLevel="0" collapsed="false">
      <c r="A442" s="24"/>
      <c r="B442" s="27"/>
      <c r="C442" s="28"/>
      <c r="D442" s="24"/>
      <c r="E442" s="24"/>
      <c r="F442" s="24"/>
      <c r="G442" s="28"/>
      <c r="H442" s="28"/>
      <c r="I442" s="24"/>
      <c r="J442" s="24"/>
      <c r="K442" s="29" t="str">
        <f aca="false">IF($A442="","",IF(OR($C442="Decision",$C442="Conflict"),IF(COUNTIFS($I$2:$I$1001,$A442,$C$2:$C$1001,"Resolved")=0,"Open","Closed"),IF(AND($H442="Unconfirmed",OR($C442="New",$C442="Know")),IF(COUNTIFS($I$2:$I$1001,$A442,$C$2:$C$1001,"Confirmed")=0,"Unconfirmed","Confirmed"),"Logged")))</f>
        <v/>
      </c>
      <c r="L442" s="29" t="str">
        <f aca="false">IF($A442="","",AsOf-$B442)</f>
        <v/>
      </c>
      <c r="M442" s="29" t="str">
        <f aca="false">IF($K442="Open",IF($C442="Conflict","Critical",IF($L442&gt;=DecisionCritical,"Critical",IF($L442&gt;=DecisionWarn,"Warning","On track"))),IF($K442="Unconfirmed",IF($L442&gt;=UnconfirmedWarn,"Warning","On track"),""))</f>
        <v/>
      </c>
      <c r="N442" s="29" t="str">
        <f aca="false">IF($M442="","",IF($M442="Critical",3000,IF($M442="Warning",2000,1000))+$L442+ROW()/100000)</f>
        <v/>
      </c>
      <c r="O442" s="29" t="str">
        <f aca="false">IF($K442="Open",IF($C442="Conflict","decide "&amp;$A442&amp;": &lt;which version stands&gt;","decide "&amp;$A442&amp;": &lt;outcome&gt;"),IF($K442="Unconfirmed","confirm "&amp;$A442,""))</f>
        <v/>
      </c>
    </row>
    <row r="443" customFormat="false" ht="15" hidden="false" customHeight="false" outlineLevel="0" collapsed="false">
      <c r="A443" s="24"/>
      <c r="B443" s="27"/>
      <c r="C443" s="28"/>
      <c r="D443" s="24"/>
      <c r="E443" s="24"/>
      <c r="F443" s="24"/>
      <c r="G443" s="28"/>
      <c r="H443" s="28"/>
      <c r="I443" s="24"/>
      <c r="J443" s="24"/>
      <c r="K443" s="29" t="str">
        <f aca="false">IF($A443="","",IF(OR($C443="Decision",$C443="Conflict"),IF(COUNTIFS($I$2:$I$1001,$A443,$C$2:$C$1001,"Resolved")=0,"Open","Closed"),IF(AND($H443="Unconfirmed",OR($C443="New",$C443="Know")),IF(COUNTIFS($I$2:$I$1001,$A443,$C$2:$C$1001,"Confirmed")=0,"Unconfirmed","Confirmed"),"Logged")))</f>
        <v/>
      </c>
      <c r="L443" s="29" t="str">
        <f aca="false">IF($A443="","",AsOf-$B443)</f>
        <v/>
      </c>
      <c r="M443" s="29" t="str">
        <f aca="false">IF($K443="Open",IF($C443="Conflict","Critical",IF($L443&gt;=DecisionCritical,"Critical",IF($L443&gt;=DecisionWarn,"Warning","On track"))),IF($K443="Unconfirmed",IF($L443&gt;=UnconfirmedWarn,"Warning","On track"),""))</f>
        <v/>
      </c>
      <c r="N443" s="29" t="str">
        <f aca="false">IF($M443="","",IF($M443="Critical",3000,IF($M443="Warning",2000,1000))+$L443+ROW()/100000)</f>
        <v/>
      </c>
      <c r="O443" s="29" t="str">
        <f aca="false">IF($K443="Open",IF($C443="Conflict","decide "&amp;$A443&amp;": &lt;which version stands&gt;","decide "&amp;$A443&amp;": &lt;outcome&gt;"),IF($K443="Unconfirmed","confirm "&amp;$A443,""))</f>
        <v/>
      </c>
    </row>
    <row r="444" customFormat="false" ht="15" hidden="false" customHeight="false" outlineLevel="0" collapsed="false">
      <c r="A444" s="24"/>
      <c r="B444" s="27"/>
      <c r="C444" s="28"/>
      <c r="D444" s="24"/>
      <c r="E444" s="24"/>
      <c r="F444" s="24"/>
      <c r="G444" s="28"/>
      <c r="H444" s="28"/>
      <c r="I444" s="24"/>
      <c r="J444" s="24"/>
      <c r="K444" s="29" t="str">
        <f aca="false">IF($A444="","",IF(OR($C444="Decision",$C444="Conflict"),IF(COUNTIFS($I$2:$I$1001,$A444,$C$2:$C$1001,"Resolved")=0,"Open","Closed"),IF(AND($H444="Unconfirmed",OR($C444="New",$C444="Know")),IF(COUNTIFS($I$2:$I$1001,$A444,$C$2:$C$1001,"Confirmed")=0,"Unconfirmed","Confirmed"),"Logged")))</f>
        <v/>
      </c>
      <c r="L444" s="29" t="str">
        <f aca="false">IF($A444="","",AsOf-$B444)</f>
        <v/>
      </c>
      <c r="M444" s="29" t="str">
        <f aca="false">IF($K444="Open",IF($C444="Conflict","Critical",IF($L444&gt;=DecisionCritical,"Critical",IF($L444&gt;=DecisionWarn,"Warning","On track"))),IF($K444="Unconfirmed",IF($L444&gt;=UnconfirmedWarn,"Warning","On track"),""))</f>
        <v/>
      </c>
      <c r="N444" s="29" t="str">
        <f aca="false">IF($M444="","",IF($M444="Critical",3000,IF($M444="Warning",2000,1000))+$L444+ROW()/100000)</f>
        <v/>
      </c>
      <c r="O444" s="29" t="str">
        <f aca="false">IF($K444="Open",IF($C444="Conflict","decide "&amp;$A444&amp;": &lt;which version stands&gt;","decide "&amp;$A444&amp;": &lt;outcome&gt;"),IF($K444="Unconfirmed","confirm "&amp;$A444,""))</f>
        <v/>
      </c>
    </row>
    <row r="445" customFormat="false" ht="15" hidden="false" customHeight="false" outlineLevel="0" collapsed="false">
      <c r="A445" s="24"/>
      <c r="B445" s="27"/>
      <c r="C445" s="28"/>
      <c r="D445" s="24"/>
      <c r="E445" s="24"/>
      <c r="F445" s="24"/>
      <c r="G445" s="28"/>
      <c r="H445" s="28"/>
      <c r="I445" s="24"/>
      <c r="J445" s="24"/>
      <c r="K445" s="29" t="str">
        <f aca="false">IF($A445="","",IF(OR($C445="Decision",$C445="Conflict"),IF(COUNTIFS($I$2:$I$1001,$A445,$C$2:$C$1001,"Resolved")=0,"Open","Closed"),IF(AND($H445="Unconfirmed",OR($C445="New",$C445="Know")),IF(COUNTIFS($I$2:$I$1001,$A445,$C$2:$C$1001,"Confirmed")=0,"Unconfirmed","Confirmed"),"Logged")))</f>
        <v/>
      </c>
      <c r="L445" s="29" t="str">
        <f aca="false">IF($A445="","",AsOf-$B445)</f>
        <v/>
      </c>
      <c r="M445" s="29" t="str">
        <f aca="false">IF($K445="Open",IF($C445="Conflict","Critical",IF($L445&gt;=DecisionCritical,"Critical",IF($L445&gt;=DecisionWarn,"Warning","On track"))),IF($K445="Unconfirmed",IF($L445&gt;=UnconfirmedWarn,"Warning","On track"),""))</f>
        <v/>
      </c>
      <c r="N445" s="29" t="str">
        <f aca="false">IF($M445="","",IF($M445="Critical",3000,IF($M445="Warning",2000,1000))+$L445+ROW()/100000)</f>
        <v/>
      </c>
      <c r="O445" s="29" t="str">
        <f aca="false">IF($K445="Open",IF($C445="Conflict","decide "&amp;$A445&amp;": &lt;which version stands&gt;","decide "&amp;$A445&amp;": &lt;outcome&gt;"),IF($K445="Unconfirmed","confirm "&amp;$A445,""))</f>
        <v/>
      </c>
    </row>
    <row r="446" customFormat="false" ht="15" hidden="false" customHeight="false" outlineLevel="0" collapsed="false">
      <c r="A446" s="24"/>
      <c r="B446" s="27"/>
      <c r="C446" s="28"/>
      <c r="D446" s="24"/>
      <c r="E446" s="24"/>
      <c r="F446" s="24"/>
      <c r="G446" s="28"/>
      <c r="H446" s="28"/>
      <c r="I446" s="24"/>
      <c r="J446" s="24"/>
      <c r="K446" s="29" t="str">
        <f aca="false">IF($A446="","",IF(OR($C446="Decision",$C446="Conflict"),IF(COUNTIFS($I$2:$I$1001,$A446,$C$2:$C$1001,"Resolved")=0,"Open","Closed"),IF(AND($H446="Unconfirmed",OR($C446="New",$C446="Know")),IF(COUNTIFS($I$2:$I$1001,$A446,$C$2:$C$1001,"Confirmed")=0,"Unconfirmed","Confirmed"),"Logged")))</f>
        <v/>
      </c>
      <c r="L446" s="29" t="str">
        <f aca="false">IF($A446="","",AsOf-$B446)</f>
        <v/>
      </c>
      <c r="M446" s="29" t="str">
        <f aca="false">IF($K446="Open",IF($C446="Conflict","Critical",IF($L446&gt;=DecisionCritical,"Critical",IF($L446&gt;=DecisionWarn,"Warning","On track"))),IF($K446="Unconfirmed",IF($L446&gt;=UnconfirmedWarn,"Warning","On track"),""))</f>
        <v/>
      </c>
      <c r="N446" s="29" t="str">
        <f aca="false">IF($M446="","",IF($M446="Critical",3000,IF($M446="Warning",2000,1000))+$L446+ROW()/100000)</f>
        <v/>
      </c>
      <c r="O446" s="29" t="str">
        <f aca="false">IF($K446="Open",IF($C446="Conflict","decide "&amp;$A446&amp;": &lt;which version stands&gt;","decide "&amp;$A446&amp;": &lt;outcome&gt;"),IF($K446="Unconfirmed","confirm "&amp;$A446,""))</f>
        <v/>
      </c>
    </row>
    <row r="447" customFormat="false" ht="15" hidden="false" customHeight="false" outlineLevel="0" collapsed="false">
      <c r="A447" s="24"/>
      <c r="B447" s="27"/>
      <c r="C447" s="28"/>
      <c r="D447" s="24"/>
      <c r="E447" s="24"/>
      <c r="F447" s="24"/>
      <c r="G447" s="28"/>
      <c r="H447" s="28"/>
      <c r="I447" s="24"/>
      <c r="J447" s="24"/>
      <c r="K447" s="29" t="str">
        <f aca="false">IF($A447="","",IF(OR($C447="Decision",$C447="Conflict"),IF(COUNTIFS($I$2:$I$1001,$A447,$C$2:$C$1001,"Resolved")=0,"Open","Closed"),IF(AND($H447="Unconfirmed",OR($C447="New",$C447="Know")),IF(COUNTIFS($I$2:$I$1001,$A447,$C$2:$C$1001,"Confirmed")=0,"Unconfirmed","Confirmed"),"Logged")))</f>
        <v/>
      </c>
      <c r="L447" s="29" t="str">
        <f aca="false">IF($A447="","",AsOf-$B447)</f>
        <v/>
      </c>
      <c r="M447" s="29" t="str">
        <f aca="false">IF($K447="Open",IF($C447="Conflict","Critical",IF($L447&gt;=DecisionCritical,"Critical",IF($L447&gt;=DecisionWarn,"Warning","On track"))),IF($K447="Unconfirmed",IF($L447&gt;=UnconfirmedWarn,"Warning","On track"),""))</f>
        <v/>
      </c>
      <c r="N447" s="29" t="str">
        <f aca="false">IF($M447="","",IF($M447="Critical",3000,IF($M447="Warning",2000,1000))+$L447+ROW()/100000)</f>
        <v/>
      </c>
      <c r="O447" s="29" t="str">
        <f aca="false">IF($K447="Open",IF($C447="Conflict","decide "&amp;$A447&amp;": &lt;which version stands&gt;","decide "&amp;$A447&amp;": &lt;outcome&gt;"),IF($K447="Unconfirmed","confirm "&amp;$A447,""))</f>
        <v/>
      </c>
    </row>
    <row r="448" customFormat="false" ht="15" hidden="false" customHeight="false" outlineLevel="0" collapsed="false">
      <c r="A448" s="24"/>
      <c r="B448" s="27"/>
      <c r="C448" s="28"/>
      <c r="D448" s="24"/>
      <c r="E448" s="24"/>
      <c r="F448" s="24"/>
      <c r="G448" s="28"/>
      <c r="H448" s="28"/>
      <c r="I448" s="24"/>
      <c r="J448" s="24"/>
      <c r="K448" s="29" t="str">
        <f aca="false">IF($A448="","",IF(OR($C448="Decision",$C448="Conflict"),IF(COUNTIFS($I$2:$I$1001,$A448,$C$2:$C$1001,"Resolved")=0,"Open","Closed"),IF(AND($H448="Unconfirmed",OR($C448="New",$C448="Know")),IF(COUNTIFS($I$2:$I$1001,$A448,$C$2:$C$1001,"Confirmed")=0,"Unconfirmed","Confirmed"),"Logged")))</f>
        <v/>
      </c>
      <c r="L448" s="29" t="str">
        <f aca="false">IF($A448="","",AsOf-$B448)</f>
        <v/>
      </c>
      <c r="M448" s="29" t="str">
        <f aca="false">IF($K448="Open",IF($C448="Conflict","Critical",IF($L448&gt;=DecisionCritical,"Critical",IF($L448&gt;=DecisionWarn,"Warning","On track"))),IF($K448="Unconfirmed",IF($L448&gt;=UnconfirmedWarn,"Warning","On track"),""))</f>
        <v/>
      </c>
      <c r="N448" s="29" t="str">
        <f aca="false">IF($M448="","",IF($M448="Critical",3000,IF($M448="Warning",2000,1000))+$L448+ROW()/100000)</f>
        <v/>
      </c>
      <c r="O448" s="29" t="str">
        <f aca="false">IF($K448="Open",IF($C448="Conflict","decide "&amp;$A448&amp;": &lt;which version stands&gt;","decide "&amp;$A448&amp;": &lt;outcome&gt;"),IF($K448="Unconfirmed","confirm "&amp;$A448,""))</f>
        <v/>
      </c>
    </row>
    <row r="449" customFormat="false" ht="15" hidden="false" customHeight="false" outlineLevel="0" collapsed="false">
      <c r="A449" s="24"/>
      <c r="B449" s="27"/>
      <c r="C449" s="28"/>
      <c r="D449" s="24"/>
      <c r="E449" s="24"/>
      <c r="F449" s="24"/>
      <c r="G449" s="28"/>
      <c r="H449" s="28"/>
      <c r="I449" s="24"/>
      <c r="J449" s="24"/>
      <c r="K449" s="29" t="str">
        <f aca="false">IF($A449="","",IF(OR($C449="Decision",$C449="Conflict"),IF(COUNTIFS($I$2:$I$1001,$A449,$C$2:$C$1001,"Resolved")=0,"Open","Closed"),IF(AND($H449="Unconfirmed",OR($C449="New",$C449="Know")),IF(COUNTIFS($I$2:$I$1001,$A449,$C$2:$C$1001,"Confirmed")=0,"Unconfirmed","Confirmed"),"Logged")))</f>
        <v/>
      </c>
      <c r="L449" s="29" t="str">
        <f aca="false">IF($A449="","",AsOf-$B449)</f>
        <v/>
      </c>
      <c r="M449" s="29" t="str">
        <f aca="false">IF($K449="Open",IF($C449="Conflict","Critical",IF($L449&gt;=DecisionCritical,"Critical",IF($L449&gt;=DecisionWarn,"Warning","On track"))),IF($K449="Unconfirmed",IF($L449&gt;=UnconfirmedWarn,"Warning","On track"),""))</f>
        <v/>
      </c>
      <c r="N449" s="29" t="str">
        <f aca="false">IF($M449="","",IF($M449="Critical",3000,IF($M449="Warning",2000,1000))+$L449+ROW()/100000)</f>
        <v/>
      </c>
      <c r="O449" s="29" t="str">
        <f aca="false">IF($K449="Open",IF($C449="Conflict","decide "&amp;$A449&amp;": &lt;which version stands&gt;","decide "&amp;$A449&amp;": &lt;outcome&gt;"),IF($K449="Unconfirmed","confirm "&amp;$A449,""))</f>
        <v/>
      </c>
    </row>
    <row r="450" customFormat="false" ht="15" hidden="false" customHeight="false" outlineLevel="0" collapsed="false">
      <c r="A450" s="24"/>
      <c r="B450" s="27"/>
      <c r="C450" s="28"/>
      <c r="D450" s="24"/>
      <c r="E450" s="24"/>
      <c r="F450" s="24"/>
      <c r="G450" s="28"/>
      <c r="H450" s="28"/>
      <c r="I450" s="24"/>
      <c r="J450" s="24"/>
      <c r="K450" s="29" t="str">
        <f aca="false">IF($A450="","",IF(OR($C450="Decision",$C450="Conflict"),IF(COUNTIFS($I$2:$I$1001,$A450,$C$2:$C$1001,"Resolved")=0,"Open","Closed"),IF(AND($H450="Unconfirmed",OR($C450="New",$C450="Know")),IF(COUNTIFS($I$2:$I$1001,$A450,$C$2:$C$1001,"Confirmed")=0,"Unconfirmed","Confirmed"),"Logged")))</f>
        <v/>
      </c>
      <c r="L450" s="29" t="str">
        <f aca="false">IF($A450="","",AsOf-$B450)</f>
        <v/>
      </c>
      <c r="M450" s="29" t="str">
        <f aca="false">IF($K450="Open",IF($C450="Conflict","Critical",IF($L450&gt;=DecisionCritical,"Critical",IF($L450&gt;=DecisionWarn,"Warning","On track"))),IF($K450="Unconfirmed",IF($L450&gt;=UnconfirmedWarn,"Warning","On track"),""))</f>
        <v/>
      </c>
      <c r="N450" s="29" t="str">
        <f aca="false">IF($M450="","",IF($M450="Critical",3000,IF($M450="Warning",2000,1000))+$L450+ROW()/100000)</f>
        <v/>
      </c>
      <c r="O450" s="29" t="str">
        <f aca="false">IF($K450="Open",IF($C450="Conflict","decide "&amp;$A450&amp;": &lt;which version stands&gt;","decide "&amp;$A450&amp;": &lt;outcome&gt;"),IF($K450="Unconfirmed","confirm "&amp;$A450,""))</f>
        <v/>
      </c>
    </row>
    <row r="451" customFormat="false" ht="15" hidden="false" customHeight="false" outlineLevel="0" collapsed="false">
      <c r="A451" s="24"/>
      <c r="B451" s="27"/>
      <c r="C451" s="28"/>
      <c r="D451" s="24"/>
      <c r="E451" s="24"/>
      <c r="F451" s="24"/>
      <c r="G451" s="28"/>
      <c r="H451" s="28"/>
      <c r="I451" s="24"/>
      <c r="J451" s="24"/>
      <c r="K451" s="29" t="str">
        <f aca="false">IF($A451="","",IF(OR($C451="Decision",$C451="Conflict"),IF(COUNTIFS($I$2:$I$1001,$A451,$C$2:$C$1001,"Resolved")=0,"Open","Closed"),IF(AND($H451="Unconfirmed",OR($C451="New",$C451="Know")),IF(COUNTIFS($I$2:$I$1001,$A451,$C$2:$C$1001,"Confirmed")=0,"Unconfirmed","Confirmed"),"Logged")))</f>
        <v/>
      </c>
      <c r="L451" s="29" t="str">
        <f aca="false">IF($A451="","",AsOf-$B451)</f>
        <v/>
      </c>
      <c r="M451" s="29" t="str">
        <f aca="false">IF($K451="Open",IF($C451="Conflict","Critical",IF($L451&gt;=DecisionCritical,"Critical",IF($L451&gt;=DecisionWarn,"Warning","On track"))),IF($K451="Unconfirmed",IF($L451&gt;=UnconfirmedWarn,"Warning","On track"),""))</f>
        <v/>
      </c>
      <c r="N451" s="29" t="str">
        <f aca="false">IF($M451="","",IF($M451="Critical",3000,IF($M451="Warning",2000,1000))+$L451+ROW()/100000)</f>
        <v/>
      </c>
      <c r="O451" s="29" t="str">
        <f aca="false">IF($K451="Open",IF($C451="Conflict","decide "&amp;$A451&amp;": &lt;which version stands&gt;","decide "&amp;$A451&amp;": &lt;outcome&gt;"),IF($K451="Unconfirmed","confirm "&amp;$A451,""))</f>
        <v/>
      </c>
    </row>
    <row r="452" customFormat="false" ht="15" hidden="false" customHeight="false" outlineLevel="0" collapsed="false">
      <c r="A452" s="24"/>
      <c r="B452" s="27"/>
      <c r="C452" s="28"/>
      <c r="D452" s="24"/>
      <c r="E452" s="24"/>
      <c r="F452" s="24"/>
      <c r="G452" s="28"/>
      <c r="H452" s="28"/>
      <c r="I452" s="24"/>
      <c r="J452" s="24"/>
      <c r="K452" s="29" t="str">
        <f aca="false">IF($A452="","",IF(OR($C452="Decision",$C452="Conflict"),IF(COUNTIFS($I$2:$I$1001,$A452,$C$2:$C$1001,"Resolved")=0,"Open","Closed"),IF(AND($H452="Unconfirmed",OR($C452="New",$C452="Know")),IF(COUNTIFS($I$2:$I$1001,$A452,$C$2:$C$1001,"Confirmed")=0,"Unconfirmed","Confirmed"),"Logged")))</f>
        <v/>
      </c>
      <c r="L452" s="29" t="str">
        <f aca="false">IF($A452="","",AsOf-$B452)</f>
        <v/>
      </c>
      <c r="M452" s="29" t="str">
        <f aca="false">IF($K452="Open",IF($C452="Conflict","Critical",IF($L452&gt;=DecisionCritical,"Critical",IF($L452&gt;=DecisionWarn,"Warning","On track"))),IF($K452="Unconfirmed",IF($L452&gt;=UnconfirmedWarn,"Warning","On track"),""))</f>
        <v/>
      </c>
      <c r="N452" s="29" t="str">
        <f aca="false">IF($M452="","",IF($M452="Critical",3000,IF($M452="Warning",2000,1000))+$L452+ROW()/100000)</f>
        <v/>
      </c>
      <c r="O452" s="29" t="str">
        <f aca="false">IF($K452="Open",IF($C452="Conflict","decide "&amp;$A452&amp;": &lt;which version stands&gt;","decide "&amp;$A452&amp;": &lt;outcome&gt;"),IF($K452="Unconfirmed","confirm "&amp;$A452,""))</f>
        <v/>
      </c>
    </row>
    <row r="453" customFormat="false" ht="15" hidden="false" customHeight="false" outlineLevel="0" collapsed="false">
      <c r="A453" s="24"/>
      <c r="B453" s="27"/>
      <c r="C453" s="28"/>
      <c r="D453" s="24"/>
      <c r="E453" s="24"/>
      <c r="F453" s="24"/>
      <c r="G453" s="28"/>
      <c r="H453" s="28"/>
      <c r="I453" s="24"/>
      <c r="J453" s="24"/>
      <c r="K453" s="29" t="str">
        <f aca="false">IF($A453="","",IF(OR($C453="Decision",$C453="Conflict"),IF(COUNTIFS($I$2:$I$1001,$A453,$C$2:$C$1001,"Resolved")=0,"Open","Closed"),IF(AND($H453="Unconfirmed",OR($C453="New",$C453="Know")),IF(COUNTIFS($I$2:$I$1001,$A453,$C$2:$C$1001,"Confirmed")=0,"Unconfirmed","Confirmed"),"Logged")))</f>
        <v/>
      </c>
      <c r="L453" s="29" t="str">
        <f aca="false">IF($A453="","",AsOf-$B453)</f>
        <v/>
      </c>
      <c r="M453" s="29" t="str">
        <f aca="false">IF($K453="Open",IF($C453="Conflict","Critical",IF($L453&gt;=DecisionCritical,"Critical",IF($L453&gt;=DecisionWarn,"Warning","On track"))),IF($K453="Unconfirmed",IF($L453&gt;=UnconfirmedWarn,"Warning","On track"),""))</f>
        <v/>
      </c>
      <c r="N453" s="29" t="str">
        <f aca="false">IF($M453="","",IF($M453="Critical",3000,IF($M453="Warning",2000,1000))+$L453+ROW()/100000)</f>
        <v/>
      </c>
      <c r="O453" s="29" t="str">
        <f aca="false">IF($K453="Open",IF($C453="Conflict","decide "&amp;$A453&amp;": &lt;which version stands&gt;","decide "&amp;$A453&amp;": &lt;outcome&gt;"),IF($K453="Unconfirmed","confirm "&amp;$A453,""))</f>
        <v/>
      </c>
    </row>
    <row r="454" customFormat="false" ht="15" hidden="false" customHeight="false" outlineLevel="0" collapsed="false">
      <c r="A454" s="24"/>
      <c r="B454" s="27"/>
      <c r="C454" s="28"/>
      <c r="D454" s="24"/>
      <c r="E454" s="24"/>
      <c r="F454" s="24"/>
      <c r="G454" s="28"/>
      <c r="H454" s="28"/>
      <c r="I454" s="24"/>
      <c r="J454" s="24"/>
      <c r="K454" s="29" t="str">
        <f aca="false">IF($A454="","",IF(OR($C454="Decision",$C454="Conflict"),IF(COUNTIFS($I$2:$I$1001,$A454,$C$2:$C$1001,"Resolved")=0,"Open","Closed"),IF(AND($H454="Unconfirmed",OR($C454="New",$C454="Know")),IF(COUNTIFS($I$2:$I$1001,$A454,$C$2:$C$1001,"Confirmed")=0,"Unconfirmed","Confirmed"),"Logged")))</f>
        <v/>
      </c>
      <c r="L454" s="29" t="str">
        <f aca="false">IF($A454="","",AsOf-$B454)</f>
        <v/>
      </c>
      <c r="M454" s="29" t="str">
        <f aca="false">IF($K454="Open",IF($C454="Conflict","Critical",IF($L454&gt;=DecisionCritical,"Critical",IF($L454&gt;=DecisionWarn,"Warning","On track"))),IF($K454="Unconfirmed",IF($L454&gt;=UnconfirmedWarn,"Warning","On track"),""))</f>
        <v/>
      </c>
      <c r="N454" s="29" t="str">
        <f aca="false">IF($M454="","",IF($M454="Critical",3000,IF($M454="Warning",2000,1000))+$L454+ROW()/100000)</f>
        <v/>
      </c>
      <c r="O454" s="29" t="str">
        <f aca="false">IF($K454="Open",IF($C454="Conflict","decide "&amp;$A454&amp;": &lt;which version stands&gt;","decide "&amp;$A454&amp;": &lt;outcome&gt;"),IF($K454="Unconfirmed","confirm "&amp;$A454,""))</f>
        <v/>
      </c>
    </row>
    <row r="455" customFormat="false" ht="15" hidden="false" customHeight="false" outlineLevel="0" collapsed="false">
      <c r="A455" s="24"/>
      <c r="B455" s="27"/>
      <c r="C455" s="28"/>
      <c r="D455" s="24"/>
      <c r="E455" s="24"/>
      <c r="F455" s="24"/>
      <c r="G455" s="28"/>
      <c r="H455" s="28"/>
      <c r="I455" s="24"/>
      <c r="J455" s="24"/>
      <c r="K455" s="29" t="str">
        <f aca="false">IF($A455="","",IF(OR($C455="Decision",$C455="Conflict"),IF(COUNTIFS($I$2:$I$1001,$A455,$C$2:$C$1001,"Resolved")=0,"Open","Closed"),IF(AND($H455="Unconfirmed",OR($C455="New",$C455="Know")),IF(COUNTIFS($I$2:$I$1001,$A455,$C$2:$C$1001,"Confirmed")=0,"Unconfirmed","Confirmed"),"Logged")))</f>
        <v/>
      </c>
      <c r="L455" s="29" t="str">
        <f aca="false">IF($A455="","",AsOf-$B455)</f>
        <v/>
      </c>
      <c r="M455" s="29" t="str">
        <f aca="false">IF($K455="Open",IF($C455="Conflict","Critical",IF($L455&gt;=DecisionCritical,"Critical",IF($L455&gt;=DecisionWarn,"Warning","On track"))),IF($K455="Unconfirmed",IF($L455&gt;=UnconfirmedWarn,"Warning","On track"),""))</f>
        <v/>
      </c>
      <c r="N455" s="29" t="str">
        <f aca="false">IF($M455="","",IF($M455="Critical",3000,IF($M455="Warning",2000,1000))+$L455+ROW()/100000)</f>
        <v/>
      </c>
      <c r="O455" s="29" t="str">
        <f aca="false">IF($K455="Open",IF($C455="Conflict","decide "&amp;$A455&amp;": &lt;which version stands&gt;","decide "&amp;$A455&amp;": &lt;outcome&gt;"),IF($K455="Unconfirmed","confirm "&amp;$A455,""))</f>
        <v/>
      </c>
    </row>
    <row r="456" customFormat="false" ht="15" hidden="false" customHeight="false" outlineLevel="0" collapsed="false">
      <c r="A456" s="24"/>
      <c r="B456" s="27"/>
      <c r="C456" s="28"/>
      <c r="D456" s="24"/>
      <c r="E456" s="24"/>
      <c r="F456" s="24"/>
      <c r="G456" s="28"/>
      <c r="H456" s="28"/>
      <c r="I456" s="24"/>
      <c r="J456" s="24"/>
      <c r="K456" s="29" t="str">
        <f aca="false">IF($A456="","",IF(OR($C456="Decision",$C456="Conflict"),IF(COUNTIFS($I$2:$I$1001,$A456,$C$2:$C$1001,"Resolved")=0,"Open","Closed"),IF(AND($H456="Unconfirmed",OR($C456="New",$C456="Know")),IF(COUNTIFS($I$2:$I$1001,$A456,$C$2:$C$1001,"Confirmed")=0,"Unconfirmed","Confirmed"),"Logged")))</f>
        <v/>
      </c>
      <c r="L456" s="29" t="str">
        <f aca="false">IF($A456="","",AsOf-$B456)</f>
        <v/>
      </c>
      <c r="M456" s="29" t="str">
        <f aca="false">IF($K456="Open",IF($C456="Conflict","Critical",IF($L456&gt;=DecisionCritical,"Critical",IF($L456&gt;=DecisionWarn,"Warning","On track"))),IF($K456="Unconfirmed",IF($L456&gt;=UnconfirmedWarn,"Warning","On track"),""))</f>
        <v/>
      </c>
      <c r="N456" s="29" t="str">
        <f aca="false">IF($M456="","",IF($M456="Critical",3000,IF($M456="Warning",2000,1000))+$L456+ROW()/100000)</f>
        <v/>
      </c>
      <c r="O456" s="29" t="str">
        <f aca="false">IF($K456="Open",IF($C456="Conflict","decide "&amp;$A456&amp;": &lt;which version stands&gt;","decide "&amp;$A456&amp;": &lt;outcome&gt;"),IF($K456="Unconfirmed","confirm "&amp;$A456,""))</f>
        <v/>
      </c>
    </row>
    <row r="457" customFormat="false" ht="15" hidden="false" customHeight="false" outlineLevel="0" collapsed="false">
      <c r="A457" s="24"/>
      <c r="B457" s="27"/>
      <c r="C457" s="28"/>
      <c r="D457" s="24"/>
      <c r="E457" s="24"/>
      <c r="F457" s="24"/>
      <c r="G457" s="28"/>
      <c r="H457" s="28"/>
      <c r="I457" s="24"/>
      <c r="J457" s="24"/>
      <c r="K457" s="29" t="str">
        <f aca="false">IF($A457="","",IF(OR($C457="Decision",$C457="Conflict"),IF(COUNTIFS($I$2:$I$1001,$A457,$C$2:$C$1001,"Resolved")=0,"Open","Closed"),IF(AND($H457="Unconfirmed",OR($C457="New",$C457="Know")),IF(COUNTIFS($I$2:$I$1001,$A457,$C$2:$C$1001,"Confirmed")=0,"Unconfirmed","Confirmed"),"Logged")))</f>
        <v/>
      </c>
      <c r="L457" s="29" t="str">
        <f aca="false">IF($A457="","",AsOf-$B457)</f>
        <v/>
      </c>
      <c r="M457" s="29" t="str">
        <f aca="false">IF($K457="Open",IF($C457="Conflict","Critical",IF($L457&gt;=DecisionCritical,"Critical",IF($L457&gt;=DecisionWarn,"Warning","On track"))),IF($K457="Unconfirmed",IF($L457&gt;=UnconfirmedWarn,"Warning","On track"),""))</f>
        <v/>
      </c>
      <c r="N457" s="29" t="str">
        <f aca="false">IF($M457="","",IF($M457="Critical",3000,IF($M457="Warning",2000,1000))+$L457+ROW()/100000)</f>
        <v/>
      </c>
      <c r="O457" s="29" t="str">
        <f aca="false">IF($K457="Open",IF($C457="Conflict","decide "&amp;$A457&amp;": &lt;which version stands&gt;","decide "&amp;$A457&amp;": &lt;outcome&gt;"),IF($K457="Unconfirmed","confirm "&amp;$A457,""))</f>
        <v/>
      </c>
    </row>
    <row r="458" customFormat="false" ht="15" hidden="false" customHeight="false" outlineLevel="0" collapsed="false">
      <c r="A458" s="24"/>
      <c r="B458" s="27"/>
      <c r="C458" s="28"/>
      <c r="D458" s="24"/>
      <c r="E458" s="24"/>
      <c r="F458" s="24"/>
      <c r="G458" s="28"/>
      <c r="H458" s="28"/>
      <c r="I458" s="24"/>
      <c r="J458" s="24"/>
      <c r="K458" s="29" t="str">
        <f aca="false">IF($A458="","",IF(OR($C458="Decision",$C458="Conflict"),IF(COUNTIFS($I$2:$I$1001,$A458,$C$2:$C$1001,"Resolved")=0,"Open","Closed"),IF(AND($H458="Unconfirmed",OR($C458="New",$C458="Know")),IF(COUNTIFS($I$2:$I$1001,$A458,$C$2:$C$1001,"Confirmed")=0,"Unconfirmed","Confirmed"),"Logged")))</f>
        <v/>
      </c>
      <c r="L458" s="29" t="str">
        <f aca="false">IF($A458="","",AsOf-$B458)</f>
        <v/>
      </c>
      <c r="M458" s="29" t="str">
        <f aca="false">IF($K458="Open",IF($C458="Conflict","Critical",IF($L458&gt;=DecisionCritical,"Critical",IF($L458&gt;=DecisionWarn,"Warning","On track"))),IF($K458="Unconfirmed",IF($L458&gt;=UnconfirmedWarn,"Warning","On track"),""))</f>
        <v/>
      </c>
      <c r="N458" s="29" t="str">
        <f aca="false">IF($M458="","",IF($M458="Critical",3000,IF($M458="Warning",2000,1000))+$L458+ROW()/100000)</f>
        <v/>
      </c>
      <c r="O458" s="29" t="str">
        <f aca="false">IF($K458="Open",IF($C458="Conflict","decide "&amp;$A458&amp;": &lt;which version stands&gt;","decide "&amp;$A458&amp;": &lt;outcome&gt;"),IF($K458="Unconfirmed","confirm "&amp;$A458,""))</f>
        <v/>
      </c>
    </row>
    <row r="459" customFormat="false" ht="15" hidden="false" customHeight="false" outlineLevel="0" collapsed="false">
      <c r="A459" s="24"/>
      <c r="B459" s="27"/>
      <c r="C459" s="28"/>
      <c r="D459" s="24"/>
      <c r="E459" s="24"/>
      <c r="F459" s="24"/>
      <c r="G459" s="28"/>
      <c r="H459" s="28"/>
      <c r="I459" s="24"/>
      <c r="J459" s="24"/>
      <c r="K459" s="29" t="str">
        <f aca="false">IF($A459="","",IF(OR($C459="Decision",$C459="Conflict"),IF(COUNTIFS($I$2:$I$1001,$A459,$C$2:$C$1001,"Resolved")=0,"Open","Closed"),IF(AND($H459="Unconfirmed",OR($C459="New",$C459="Know")),IF(COUNTIFS($I$2:$I$1001,$A459,$C$2:$C$1001,"Confirmed")=0,"Unconfirmed","Confirmed"),"Logged")))</f>
        <v/>
      </c>
      <c r="L459" s="29" t="str">
        <f aca="false">IF($A459="","",AsOf-$B459)</f>
        <v/>
      </c>
      <c r="M459" s="29" t="str">
        <f aca="false">IF($K459="Open",IF($C459="Conflict","Critical",IF($L459&gt;=DecisionCritical,"Critical",IF($L459&gt;=DecisionWarn,"Warning","On track"))),IF($K459="Unconfirmed",IF($L459&gt;=UnconfirmedWarn,"Warning","On track"),""))</f>
        <v/>
      </c>
      <c r="N459" s="29" t="str">
        <f aca="false">IF($M459="","",IF($M459="Critical",3000,IF($M459="Warning",2000,1000))+$L459+ROW()/100000)</f>
        <v/>
      </c>
      <c r="O459" s="29" t="str">
        <f aca="false">IF($K459="Open",IF($C459="Conflict","decide "&amp;$A459&amp;": &lt;which version stands&gt;","decide "&amp;$A459&amp;": &lt;outcome&gt;"),IF($K459="Unconfirmed","confirm "&amp;$A459,""))</f>
        <v/>
      </c>
    </row>
    <row r="460" customFormat="false" ht="15" hidden="false" customHeight="false" outlineLevel="0" collapsed="false">
      <c r="A460" s="24"/>
      <c r="B460" s="27"/>
      <c r="C460" s="28"/>
      <c r="D460" s="24"/>
      <c r="E460" s="24"/>
      <c r="F460" s="24"/>
      <c r="G460" s="28"/>
      <c r="H460" s="28"/>
      <c r="I460" s="24"/>
      <c r="J460" s="24"/>
      <c r="K460" s="29" t="str">
        <f aca="false">IF($A460="","",IF(OR($C460="Decision",$C460="Conflict"),IF(COUNTIFS($I$2:$I$1001,$A460,$C$2:$C$1001,"Resolved")=0,"Open","Closed"),IF(AND($H460="Unconfirmed",OR($C460="New",$C460="Know")),IF(COUNTIFS($I$2:$I$1001,$A460,$C$2:$C$1001,"Confirmed")=0,"Unconfirmed","Confirmed"),"Logged")))</f>
        <v/>
      </c>
      <c r="L460" s="29" t="str">
        <f aca="false">IF($A460="","",AsOf-$B460)</f>
        <v/>
      </c>
      <c r="M460" s="29" t="str">
        <f aca="false">IF($K460="Open",IF($C460="Conflict","Critical",IF($L460&gt;=DecisionCritical,"Critical",IF($L460&gt;=DecisionWarn,"Warning","On track"))),IF($K460="Unconfirmed",IF($L460&gt;=UnconfirmedWarn,"Warning","On track"),""))</f>
        <v/>
      </c>
      <c r="N460" s="29" t="str">
        <f aca="false">IF($M460="","",IF($M460="Critical",3000,IF($M460="Warning",2000,1000))+$L460+ROW()/100000)</f>
        <v/>
      </c>
      <c r="O460" s="29" t="str">
        <f aca="false">IF($K460="Open",IF($C460="Conflict","decide "&amp;$A460&amp;": &lt;which version stands&gt;","decide "&amp;$A460&amp;": &lt;outcome&gt;"),IF($K460="Unconfirmed","confirm "&amp;$A460,""))</f>
        <v/>
      </c>
    </row>
    <row r="461" customFormat="false" ht="15" hidden="false" customHeight="false" outlineLevel="0" collapsed="false">
      <c r="A461" s="24"/>
      <c r="B461" s="27"/>
      <c r="C461" s="28"/>
      <c r="D461" s="24"/>
      <c r="E461" s="24"/>
      <c r="F461" s="24"/>
      <c r="G461" s="28"/>
      <c r="H461" s="28"/>
      <c r="I461" s="24"/>
      <c r="J461" s="24"/>
      <c r="K461" s="29" t="str">
        <f aca="false">IF($A461="","",IF(OR($C461="Decision",$C461="Conflict"),IF(COUNTIFS($I$2:$I$1001,$A461,$C$2:$C$1001,"Resolved")=0,"Open","Closed"),IF(AND($H461="Unconfirmed",OR($C461="New",$C461="Know")),IF(COUNTIFS($I$2:$I$1001,$A461,$C$2:$C$1001,"Confirmed")=0,"Unconfirmed","Confirmed"),"Logged")))</f>
        <v/>
      </c>
      <c r="L461" s="29" t="str">
        <f aca="false">IF($A461="","",AsOf-$B461)</f>
        <v/>
      </c>
      <c r="M461" s="29" t="str">
        <f aca="false">IF($K461="Open",IF($C461="Conflict","Critical",IF($L461&gt;=DecisionCritical,"Critical",IF($L461&gt;=DecisionWarn,"Warning","On track"))),IF($K461="Unconfirmed",IF($L461&gt;=UnconfirmedWarn,"Warning","On track"),""))</f>
        <v/>
      </c>
      <c r="N461" s="29" t="str">
        <f aca="false">IF($M461="","",IF($M461="Critical",3000,IF($M461="Warning",2000,1000))+$L461+ROW()/100000)</f>
        <v/>
      </c>
      <c r="O461" s="29" t="str">
        <f aca="false">IF($K461="Open",IF($C461="Conflict","decide "&amp;$A461&amp;": &lt;which version stands&gt;","decide "&amp;$A461&amp;": &lt;outcome&gt;"),IF($K461="Unconfirmed","confirm "&amp;$A461,""))</f>
        <v/>
      </c>
    </row>
    <row r="462" customFormat="false" ht="15" hidden="false" customHeight="false" outlineLevel="0" collapsed="false">
      <c r="A462" s="24"/>
      <c r="B462" s="27"/>
      <c r="C462" s="28"/>
      <c r="D462" s="24"/>
      <c r="E462" s="24"/>
      <c r="F462" s="24"/>
      <c r="G462" s="28"/>
      <c r="H462" s="28"/>
      <c r="I462" s="24"/>
      <c r="J462" s="24"/>
      <c r="K462" s="29" t="str">
        <f aca="false">IF($A462="","",IF(OR($C462="Decision",$C462="Conflict"),IF(COUNTIFS($I$2:$I$1001,$A462,$C$2:$C$1001,"Resolved")=0,"Open","Closed"),IF(AND($H462="Unconfirmed",OR($C462="New",$C462="Know")),IF(COUNTIFS($I$2:$I$1001,$A462,$C$2:$C$1001,"Confirmed")=0,"Unconfirmed","Confirmed"),"Logged")))</f>
        <v/>
      </c>
      <c r="L462" s="29" t="str">
        <f aca="false">IF($A462="","",AsOf-$B462)</f>
        <v/>
      </c>
      <c r="M462" s="29" t="str">
        <f aca="false">IF($K462="Open",IF($C462="Conflict","Critical",IF($L462&gt;=DecisionCritical,"Critical",IF($L462&gt;=DecisionWarn,"Warning","On track"))),IF($K462="Unconfirmed",IF($L462&gt;=UnconfirmedWarn,"Warning","On track"),""))</f>
        <v/>
      </c>
      <c r="N462" s="29" t="str">
        <f aca="false">IF($M462="","",IF($M462="Critical",3000,IF($M462="Warning",2000,1000))+$L462+ROW()/100000)</f>
        <v/>
      </c>
      <c r="O462" s="29" t="str">
        <f aca="false">IF($K462="Open",IF($C462="Conflict","decide "&amp;$A462&amp;": &lt;which version stands&gt;","decide "&amp;$A462&amp;": &lt;outcome&gt;"),IF($K462="Unconfirmed","confirm "&amp;$A462,""))</f>
        <v/>
      </c>
    </row>
    <row r="463" customFormat="false" ht="15" hidden="false" customHeight="false" outlineLevel="0" collapsed="false">
      <c r="A463" s="24"/>
      <c r="B463" s="27"/>
      <c r="C463" s="28"/>
      <c r="D463" s="24"/>
      <c r="E463" s="24"/>
      <c r="F463" s="24"/>
      <c r="G463" s="28"/>
      <c r="H463" s="28"/>
      <c r="I463" s="24"/>
      <c r="J463" s="24"/>
      <c r="K463" s="29" t="str">
        <f aca="false">IF($A463="","",IF(OR($C463="Decision",$C463="Conflict"),IF(COUNTIFS($I$2:$I$1001,$A463,$C$2:$C$1001,"Resolved")=0,"Open","Closed"),IF(AND($H463="Unconfirmed",OR($C463="New",$C463="Know")),IF(COUNTIFS($I$2:$I$1001,$A463,$C$2:$C$1001,"Confirmed")=0,"Unconfirmed","Confirmed"),"Logged")))</f>
        <v/>
      </c>
      <c r="L463" s="29" t="str">
        <f aca="false">IF($A463="","",AsOf-$B463)</f>
        <v/>
      </c>
      <c r="M463" s="29" t="str">
        <f aca="false">IF($K463="Open",IF($C463="Conflict","Critical",IF($L463&gt;=DecisionCritical,"Critical",IF($L463&gt;=DecisionWarn,"Warning","On track"))),IF($K463="Unconfirmed",IF($L463&gt;=UnconfirmedWarn,"Warning","On track"),""))</f>
        <v/>
      </c>
      <c r="N463" s="29" t="str">
        <f aca="false">IF($M463="","",IF($M463="Critical",3000,IF($M463="Warning",2000,1000))+$L463+ROW()/100000)</f>
        <v/>
      </c>
      <c r="O463" s="29" t="str">
        <f aca="false">IF($K463="Open",IF($C463="Conflict","decide "&amp;$A463&amp;": &lt;which version stands&gt;","decide "&amp;$A463&amp;": &lt;outcome&gt;"),IF($K463="Unconfirmed","confirm "&amp;$A463,""))</f>
        <v/>
      </c>
    </row>
    <row r="464" customFormat="false" ht="15" hidden="false" customHeight="false" outlineLevel="0" collapsed="false">
      <c r="A464" s="24"/>
      <c r="B464" s="27"/>
      <c r="C464" s="28"/>
      <c r="D464" s="24"/>
      <c r="E464" s="24"/>
      <c r="F464" s="24"/>
      <c r="G464" s="28"/>
      <c r="H464" s="28"/>
      <c r="I464" s="24"/>
      <c r="J464" s="24"/>
      <c r="K464" s="29" t="str">
        <f aca="false">IF($A464="","",IF(OR($C464="Decision",$C464="Conflict"),IF(COUNTIFS($I$2:$I$1001,$A464,$C$2:$C$1001,"Resolved")=0,"Open","Closed"),IF(AND($H464="Unconfirmed",OR($C464="New",$C464="Know")),IF(COUNTIFS($I$2:$I$1001,$A464,$C$2:$C$1001,"Confirmed")=0,"Unconfirmed","Confirmed"),"Logged")))</f>
        <v/>
      </c>
      <c r="L464" s="29" t="str">
        <f aca="false">IF($A464="","",AsOf-$B464)</f>
        <v/>
      </c>
      <c r="M464" s="29" t="str">
        <f aca="false">IF($K464="Open",IF($C464="Conflict","Critical",IF($L464&gt;=DecisionCritical,"Critical",IF($L464&gt;=DecisionWarn,"Warning","On track"))),IF($K464="Unconfirmed",IF($L464&gt;=UnconfirmedWarn,"Warning","On track"),""))</f>
        <v/>
      </c>
      <c r="N464" s="29" t="str">
        <f aca="false">IF($M464="","",IF($M464="Critical",3000,IF($M464="Warning",2000,1000))+$L464+ROW()/100000)</f>
        <v/>
      </c>
      <c r="O464" s="29" t="str">
        <f aca="false">IF($K464="Open",IF($C464="Conflict","decide "&amp;$A464&amp;": &lt;which version stands&gt;","decide "&amp;$A464&amp;": &lt;outcome&gt;"),IF($K464="Unconfirmed","confirm "&amp;$A464,""))</f>
        <v/>
      </c>
    </row>
    <row r="465" customFormat="false" ht="15" hidden="false" customHeight="false" outlineLevel="0" collapsed="false">
      <c r="A465" s="24"/>
      <c r="B465" s="27"/>
      <c r="C465" s="28"/>
      <c r="D465" s="24"/>
      <c r="E465" s="24"/>
      <c r="F465" s="24"/>
      <c r="G465" s="28"/>
      <c r="H465" s="28"/>
      <c r="I465" s="24"/>
      <c r="J465" s="24"/>
      <c r="K465" s="29" t="str">
        <f aca="false">IF($A465="","",IF(OR($C465="Decision",$C465="Conflict"),IF(COUNTIFS($I$2:$I$1001,$A465,$C$2:$C$1001,"Resolved")=0,"Open","Closed"),IF(AND($H465="Unconfirmed",OR($C465="New",$C465="Know")),IF(COUNTIFS($I$2:$I$1001,$A465,$C$2:$C$1001,"Confirmed")=0,"Unconfirmed","Confirmed"),"Logged")))</f>
        <v/>
      </c>
      <c r="L465" s="29" t="str">
        <f aca="false">IF($A465="","",AsOf-$B465)</f>
        <v/>
      </c>
      <c r="M465" s="29" t="str">
        <f aca="false">IF($K465="Open",IF($C465="Conflict","Critical",IF($L465&gt;=DecisionCritical,"Critical",IF($L465&gt;=DecisionWarn,"Warning","On track"))),IF($K465="Unconfirmed",IF($L465&gt;=UnconfirmedWarn,"Warning","On track"),""))</f>
        <v/>
      </c>
      <c r="N465" s="29" t="str">
        <f aca="false">IF($M465="","",IF($M465="Critical",3000,IF($M465="Warning",2000,1000))+$L465+ROW()/100000)</f>
        <v/>
      </c>
      <c r="O465" s="29" t="str">
        <f aca="false">IF($K465="Open",IF($C465="Conflict","decide "&amp;$A465&amp;": &lt;which version stands&gt;","decide "&amp;$A465&amp;": &lt;outcome&gt;"),IF($K465="Unconfirmed","confirm "&amp;$A465,""))</f>
        <v/>
      </c>
    </row>
    <row r="466" customFormat="false" ht="15" hidden="false" customHeight="false" outlineLevel="0" collapsed="false">
      <c r="A466" s="24"/>
      <c r="B466" s="27"/>
      <c r="C466" s="28"/>
      <c r="D466" s="24"/>
      <c r="E466" s="24"/>
      <c r="F466" s="24"/>
      <c r="G466" s="28"/>
      <c r="H466" s="28"/>
      <c r="I466" s="24"/>
      <c r="J466" s="24"/>
      <c r="K466" s="29" t="str">
        <f aca="false">IF($A466="","",IF(OR($C466="Decision",$C466="Conflict"),IF(COUNTIFS($I$2:$I$1001,$A466,$C$2:$C$1001,"Resolved")=0,"Open","Closed"),IF(AND($H466="Unconfirmed",OR($C466="New",$C466="Know")),IF(COUNTIFS($I$2:$I$1001,$A466,$C$2:$C$1001,"Confirmed")=0,"Unconfirmed","Confirmed"),"Logged")))</f>
        <v/>
      </c>
      <c r="L466" s="29" t="str">
        <f aca="false">IF($A466="","",AsOf-$B466)</f>
        <v/>
      </c>
      <c r="M466" s="29" t="str">
        <f aca="false">IF($K466="Open",IF($C466="Conflict","Critical",IF($L466&gt;=DecisionCritical,"Critical",IF($L466&gt;=DecisionWarn,"Warning","On track"))),IF($K466="Unconfirmed",IF($L466&gt;=UnconfirmedWarn,"Warning","On track"),""))</f>
        <v/>
      </c>
      <c r="N466" s="29" t="str">
        <f aca="false">IF($M466="","",IF($M466="Critical",3000,IF($M466="Warning",2000,1000))+$L466+ROW()/100000)</f>
        <v/>
      </c>
      <c r="O466" s="29" t="str">
        <f aca="false">IF($K466="Open",IF($C466="Conflict","decide "&amp;$A466&amp;": &lt;which version stands&gt;","decide "&amp;$A466&amp;": &lt;outcome&gt;"),IF($K466="Unconfirmed","confirm "&amp;$A466,""))</f>
        <v/>
      </c>
    </row>
    <row r="467" customFormat="false" ht="15" hidden="false" customHeight="false" outlineLevel="0" collapsed="false">
      <c r="A467" s="24"/>
      <c r="B467" s="27"/>
      <c r="C467" s="28"/>
      <c r="D467" s="24"/>
      <c r="E467" s="24"/>
      <c r="F467" s="24"/>
      <c r="G467" s="28"/>
      <c r="H467" s="28"/>
      <c r="I467" s="24"/>
      <c r="J467" s="24"/>
      <c r="K467" s="29" t="str">
        <f aca="false">IF($A467="","",IF(OR($C467="Decision",$C467="Conflict"),IF(COUNTIFS($I$2:$I$1001,$A467,$C$2:$C$1001,"Resolved")=0,"Open","Closed"),IF(AND($H467="Unconfirmed",OR($C467="New",$C467="Know")),IF(COUNTIFS($I$2:$I$1001,$A467,$C$2:$C$1001,"Confirmed")=0,"Unconfirmed","Confirmed"),"Logged")))</f>
        <v/>
      </c>
      <c r="L467" s="29" t="str">
        <f aca="false">IF($A467="","",AsOf-$B467)</f>
        <v/>
      </c>
      <c r="M467" s="29" t="str">
        <f aca="false">IF($K467="Open",IF($C467="Conflict","Critical",IF($L467&gt;=DecisionCritical,"Critical",IF($L467&gt;=DecisionWarn,"Warning","On track"))),IF($K467="Unconfirmed",IF($L467&gt;=UnconfirmedWarn,"Warning","On track"),""))</f>
        <v/>
      </c>
      <c r="N467" s="29" t="str">
        <f aca="false">IF($M467="","",IF($M467="Critical",3000,IF($M467="Warning",2000,1000))+$L467+ROW()/100000)</f>
        <v/>
      </c>
      <c r="O467" s="29" t="str">
        <f aca="false">IF($K467="Open",IF($C467="Conflict","decide "&amp;$A467&amp;": &lt;which version stands&gt;","decide "&amp;$A467&amp;": &lt;outcome&gt;"),IF($K467="Unconfirmed","confirm "&amp;$A467,""))</f>
        <v/>
      </c>
    </row>
    <row r="468" customFormat="false" ht="15" hidden="false" customHeight="false" outlineLevel="0" collapsed="false">
      <c r="A468" s="24"/>
      <c r="B468" s="27"/>
      <c r="C468" s="28"/>
      <c r="D468" s="24"/>
      <c r="E468" s="24"/>
      <c r="F468" s="24"/>
      <c r="G468" s="28"/>
      <c r="H468" s="28"/>
      <c r="I468" s="24"/>
      <c r="J468" s="24"/>
      <c r="K468" s="29" t="str">
        <f aca="false">IF($A468="","",IF(OR($C468="Decision",$C468="Conflict"),IF(COUNTIFS($I$2:$I$1001,$A468,$C$2:$C$1001,"Resolved")=0,"Open","Closed"),IF(AND($H468="Unconfirmed",OR($C468="New",$C468="Know")),IF(COUNTIFS($I$2:$I$1001,$A468,$C$2:$C$1001,"Confirmed")=0,"Unconfirmed","Confirmed"),"Logged")))</f>
        <v/>
      </c>
      <c r="L468" s="29" t="str">
        <f aca="false">IF($A468="","",AsOf-$B468)</f>
        <v/>
      </c>
      <c r="M468" s="29" t="str">
        <f aca="false">IF($K468="Open",IF($C468="Conflict","Critical",IF($L468&gt;=DecisionCritical,"Critical",IF($L468&gt;=DecisionWarn,"Warning","On track"))),IF($K468="Unconfirmed",IF($L468&gt;=UnconfirmedWarn,"Warning","On track"),""))</f>
        <v/>
      </c>
      <c r="N468" s="29" t="str">
        <f aca="false">IF($M468="","",IF($M468="Critical",3000,IF($M468="Warning",2000,1000))+$L468+ROW()/100000)</f>
        <v/>
      </c>
      <c r="O468" s="29" t="str">
        <f aca="false">IF($K468="Open",IF($C468="Conflict","decide "&amp;$A468&amp;": &lt;which version stands&gt;","decide "&amp;$A468&amp;": &lt;outcome&gt;"),IF($K468="Unconfirmed","confirm "&amp;$A468,""))</f>
        <v/>
      </c>
    </row>
    <row r="469" customFormat="false" ht="15" hidden="false" customHeight="false" outlineLevel="0" collapsed="false">
      <c r="A469" s="24"/>
      <c r="B469" s="27"/>
      <c r="C469" s="28"/>
      <c r="D469" s="24"/>
      <c r="E469" s="24"/>
      <c r="F469" s="24"/>
      <c r="G469" s="28"/>
      <c r="H469" s="28"/>
      <c r="I469" s="24"/>
      <c r="J469" s="24"/>
      <c r="K469" s="29" t="str">
        <f aca="false">IF($A469="","",IF(OR($C469="Decision",$C469="Conflict"),IF(COUNTIFS($I$2:$I$1001,$A469,$C$2:$C$1001,"Resolved")=0,"Open","Closed"),IF(AND($H469="Unconfirmed",OR($C469="New",$C469="Know")),IF(COUNTIFS($I$2:$I$1001,$A469,$C$2:$C$1001,"Confirmed")=0,"Unconfirmed","Confirmed"),"Logged")))</f>
        <v/>
      </c>
      <c r="L469" s="29" t="str">
        <f aca="false">IF($A469="","",AsOf-$B469)</f>
        <v/>
      </c>
      <c r="M469" s="29" t="str">
        <f aca="false">IF($K469="Open",IF($C469="Conflict","Critical",IF($L469&gt;=DecisionCritical,"Critical",IF($L469&gt;=DecisionWarn,"Warning","On track"))),IF($K469="Unconfirmed",IF($L469&gt;=UnconfirmedWarn,"Warning","On track"),""))</f>
        <v/>
      </c>
      <c r="N469" s="29" t="str">
        <f aca="false">IF($M469="","",IF($M469="Critical",3000,IF($M469="Warning",2000,1000))+$L469+ROW()/100000)</f>
        <v/>
      </c>
      <c r="O469" s="29" t="str">
        <f aca="false">IF($K469="Open",IF($C469="Conflict","decide "&amp;$A469&amp;": &lt;which version stands&gt;","decide "&amp;$A469&amp;": &lt;outcome&gt;"),IF($K469="Unconfirmed","confirm "&amp;$A469,""))</f>
        <v/>
      </c>
    </row>
    <row r="470" customFormat="false" ht="15" hidden="false" customHeight="false" outlineLevel="0" collapsed="false">
      <c r="A470" s="24"/>
      <c r="B470" s="27"/>
      <c r="C470" s="28"/>
      <c r="D470" s="24"/>
      <c r="E470" s="24"/>
      <c r="F470" s="24"/>
      <c r="G470" s="28"/>
      <c r="H470" s="28"/>
      <c r="I470" s="24"/>
      <c r="J470" s="24"/>
      <c r="K470" s="29" t="str">
        <f aca="false">IF($A470="","",IF(OR($C470="Decision",$C470="Conflict"),IF(COUNTIFS($I$2:$I$1001,$A470,$C$2:$C$1001,"Resolved")=0,"Open","Closed"),IF(AND($H470="Unconfirmed",OR($C470="New",$C470="Know")),IF(COUNTIFS($I$2:$I$1001,$A470,$C$2:$C$1001,"Confirmed")=0,"Unconfirmed","Confirmed"),"Logged")))</f>
        <v/>
      </c>
      <c r="L470" s="29" t="str">
        <f aca="false">IF($A470="","",AsOf-$B470)</f>
        <v/>
      </c>
      <c r="M470" s="29" t="str">
        <f aca="false">IF($K470="Open",IF($C470="Conflict","Critical",IF($L470&gt;=DecisionCritical,"Critical",IF($L470&gt;=DecisionWarn,"Warning","On track"))),IF($K470="Unconfirmed",IF($L470&gt;=UnconfirmedWarn,"Warning","On track"),""))</f>
        <v/>
      </c>
      <c r="N470" s="29" t="str">
        <f aca="false">IF($M470="","",IF($M470="Critical",3000,IF($M470="Warning",2000,1000))+$L470+ROW()/100000)</f>
        <v/>
      </c>
      <c r="O470" s="29" t="str">
        <f aca="false">IF($K470="Open",IF($C470="Conflict","decide "&amp;$A470&amp;": &lt;which version stands&gt;","decide "&amp;$A470&amp;": &lt;outcome&gt;"),IF($K470="Unconfirmed","confirm "&amp;$A470,""))</f>
        <v/>
      </c>
    </row>
    <row r="471" customFormat="false" ht="15" hidden="false" customHeight="false" outlineLevel="0" collapsed="false">
      <c r="A471" s="24"/>
      <c r="B471" s="27"/>
      <c r="C471" s="28"/>
      <c r="D471" s="24"/>
      <c r="E471" s="24"/>
      <c r="F471" s="24"/>
      <c r="G471" s="28"/>
      <c r="H471" s="28"/>
      <c r="I471" s="24"/>
      <c r="J471" s="24"/>
      <c r="K471" s="29" t="str">
        <f aca="false">IF($A471="","",IF(OR($C471="Decision",$C471="Conflict"),IF(COUNTIFS($I$2:$I$1001,$A471,$C$2:$C$1001,"Resolved")=0,"Open","Closed"),IF(AND($H471="Unconfirmed",OR($C471="New",$C471="Know")),IF(COUNTIFS($I$2:$I$1001,$A471,$C$2:$C$1001,"Confirmed")=0,"Unconfirmed","Confirmed"),"Logged")))</f>
        <v/>
      </c>
      <c r="L471" s="29" t="str">
        <f aca="false">IF($A471="","",AsOf-$B471)</f>
        <v/>
      </c>
      <c r="M471" s="29" t="str">
        <f aca="false">IF($K471="Open",IF($C471="Conflict","Critical",IF($L471&gt;=DecisionCritical,"Critical",IF($L471&gt;=DecisionWarn,"Warning","On track"))),IF($K471="Unconfirmed",IF($L471&gt;=UnconfirmedWarn,"Warning","On track"),""))</f>
        <v/>
      </c>
      <c r="N471" s="29" t="str">
        <f aca="false">IF($M471="","",IF($M471="Critical",3000,IF($M471="Warning",2000,1000))+$L471+ROW()/100000)</f>
        <v/>
      </c>
      <c r="O471" s="29" t="str">
        <f aca="false">IF($K471="Open",IF($C471="Conflict","decide "&amp;$A471&amp;": &lt;which version stands&gt;","decide "&amp;$A471&amp;": &lt;outcome&gt;"),IF($K471="Unconfirmed","confirm "&amp;$A471,""))</f>
        <v/>
      </c>
    </row>
    <row r="472" customFormat="false" ht="15" hidden="false" customHeight="false" outlineLevel="0" collapsed="false">
      <c r="A472" s="24"/>
      <c r="B472" s="27"/>
      <c r="C472" s="28"/>
      <c r="D472" s="24"/>
      <c r="E472" s="24"/>
      <c r="F472" s="24"/>
      <c r="G472" s="28"/>
      <c r="H472" s="28"/>
      <c r="I472" s="24"/>
      <c r="J472" s="24"/>
      <c r="K472" s="29" t="str">
        <f aca="false">IF($A472="","",IF(OR($C472="Decision",$C472="Conflict"),IF(COUNTIFS($I$2:$I$1001,$A472,$C$2:$C$1001,"Resolved")=0,"Open","Closed"),IF(AND($H472="Unconfirmed",OR($C472="New",$C472="Know")),IF(COUNTIFS($I$2:$I$1001,$A472,$C$2:$C$1001,"Confirmed")=0,"Unconfirmed","Confirmed"),"Logged")))</f>
        <v/>
      </c>
      <c r="L472" s="29" t="str">
        <f aca="false">IF($A472="","",AsOf-$B472)</f>
        <v/>
      </c>
      <c r="M472" s="29" t="str">
        <f aca="false">IF($K472="Open",IF($C472="Conflict","Critical",IF($L472&gt;=DecisionCritical,"Critical",IF($L472&gt;=DecisionWarn,"Warning","On track"))),IF($K472="Unconfirmed",IF($L472&gt;=UnconfirmedWarn,"Warning","On track"),""))</f>
        <v/>
      </c>
      <c r="N472" s="29" t="str">
        <f aca="false">IF($M472="","",IF($M472="Critical",3000,IF($M472="Warning",2000,1000))+$L472+ROW()/100000)</f>
        <v/>
      </c>
      <c r="O472" s="29" t="str">
        <f aca="false">IF($K472="Open",IF($C472="Conflict","decide "&amp;$A472&amp;": &lt;which version stands&gt;","decide "&amp;$A472&amp;": &lt;outcome&gt;"),IF($K472="Unconfirmed","confirm "&amp;$A472,""))</f>
        <v/>
      </c>
    </row>
    <row r="473" customFormat="false" ht="15" hidden="false" customHeight="false" outlineLevel="0" collapsed="false">
      <c r="A473" s="24"/>
      <c r="B473" s="27"/>
      <c r="C473" s="28"/>
      <c r="D473" s="24"/>
      <c r="E473" s="24"/>
      <c r="F473" s="24"/>
      <c r="G473" s="28"/>
      <c r="H473" s="28"/>
      <c r="I473" s="24"/>
      <c r="J473" s="24"/>
      <c r="K473" s="29" t="str">
        <f aca="false">IF($A473="","",IF(OR($C473="Decision",$C473="Conflict"),IF(COUNTIFS($I$2:$I$1001,$A473,$C$2:$C$1001,"Resolved")=0,"Open","Closed"),IF(AND($H473="Unconfirmed",OR($C473="New",$C473="Know")),IF(COUNTIFS($I$2:$I$1001,$A473,$C$2:$C$1001,"Confirmed")=0,"Unconfirmed","Confirmed"),"Logged")))</f>
        <v/>
      </c>
      <c r="L473" s="29" t="str">
        <f aca="false">IF($A473="","",AsOf-$B473)</f>
        <v/>
      </c>
      <c r="M473" s="29" t="str">
        <f aca="false">IF($K473="Open",IF($C473="Conflict","Critical",IF($L473&gt;=DecisionCritical,"Critical",IF($L473&gt;=DecisionWarn,"Warning","On track"))),IF($K473="Unconfirmed",IF($L473&gt;=UnconfirmedWarn,"Warning","On track"),""))</f>
        <v/>
      </c>
      <c r="N473" s="29" t="str">
        <f aca="false">IF($M473="","",IF($M473="Critical",3000,IF($M473="Warning",2000,1000))+$L473+ROW()/100000)</f>
        <v/>
      </c>
      <c r="O473" s="29" t="str">
        <f aca="false">IF($K473="Open",IF($C473="Conflict","decide "&amp;$A473&amp;": &lt;which version stands&gt;","decide "&amp;$A473&amp;": &lt;outcome&gt;"),IF($K473="Unconfirmed","confirm "&amp;$A473,""))</f>
        <v/>
      </c>
    </row>
    <row r="474" customFormat="false" ht="15" hidden="false" customHeight="false" outlineLevel="0" collapsed="false">
      <c r="A474" s="24"/>
      <c r="B474" s="27"/>
      <c r="C474" s="28"/>
      <c r="D474" s="24"/>
      <c r="E474" s="24"/>
      <c r="F474" s="24"/>
      <c r="G474" s="28"/>
      <c r="H474" s="28"/>
      <c r="I474" s="24"/>
      <c r="J474" s="24"/>
      <c r="K474" s="29" t="str">
        <f aca="false">IF($A474="","",IF(OR($C474="Decision",$C474="Conflict"),IF(COUNTIFS($I$2:$I$1001,$A474,$C$2:$C$1001,"Resolved")=0,"Open","Closed"),IF(AND($H474="Unconfirmed",OR($C474="New",$C474="Know")),IF(COUNTIFS($I$2:$I$1001,$A474,$C$2:$C$1001,"Confirmed")=0,"Unconfirmed","Confirmed"),"Logged")))</f>
        <v/>
      </c>
      <c r="L474" s="29" t="str">
        <f aca="false">IF($A474="","",AsOf-$B474)</f>
        <v/>
      </c>
      <c r="M474" s="29" t="str">
        <f aca="false">IF($K474="Open",IF($C474="Conflict","Critical",IF($L474&gt;=DecisionCritical,"Critical",IF($L474&gt;=DecisionWarn,"Warning","On track"))),IF($K474="Unconfirmed",IF($L474&gt;=UnconfirmedWarn,"Warning","On track"),""))</f>
        <v/>
      </c>
      <c r="N474" s="29" t="str">
        <f aca="false">IF($M474="","",IF($M474="Critical",3000,IF($M474="Warning",2000,1000))+$L474+ROW()/100000)</f>
        <v/>
      </c>
      <c r="O474" s="29" t="str">
        <f aca="false">IF($K474="Open",IF($C474="Conflict","decide "&amp;$A474&amp;": &lt;which version stands&gt;","decide "&amp;$A474&amp;": &lt;outcome&gt;"),IF($K474="Unconfirmed","confirm "&amp;$A474,""))</f>
        <v/>
      </c>
    </row>
    <row r="475" customFormat="false" ht="15" hidden="false" customHeight="false" outlineLevel="0" collapsed="false">
      <c r="A475" s="24"/>
      <c r="B475" s="27"/>
      <c r="C475" s="28"/>
      <c r="D475" s="24"/>
      <c r="E475" s="24"/>
      <c r="F475" s="24"/>
      <c r="G475" s="28"/>
      <c r="H475" s="28"/>
      <c r="I475" s="24"/>
      <c r="J475" s="24"/>
      <c r="K475" s="29" t="str">
        <f aca="false">IF($A475="","",IF(OR($C475="Decision",$C475="Conflict"),IF(COUNTIFS($I$2:$I$1001,$A475,$C$2:$C$1001,"Resolved")=0,"Open","Closed"),IF(AND($H475="Unconfirmed",OR($C475="New",$C475="Know")),IF(COUNTIFS($I$2:$I$1001,$A475,$C$2:$C$1001,"Confirmed")=0,"Unconfirmed","Confirmed"),"Logged")))</f>
        <v/>
      </c>
      <c r="L475" s="29" t="str">
        <f aca="false">IF($A475="","",AsOf-$B475)</f>
        <v/>
      </c>
      <c r="M475" s="29" t="str">
        <f aca="false">IF($K475="Open",IF($C475="Conflict","Critical",IF($L475&gt;=DecisionCritical,"Critical",IF($L475&gt;=DecisionWarn,"Warning","On track"))),IF($K475="Unconfirmed",IF($L475&gt;=UnconfirmedWarn,"Warning","On track"),""))</f>
        <v/>
      </c>
      <c r="N475" s="29" t="str">
        <f aca="false">IF($M475="","",IF($M475="Critical",3000,IF($M475="Warning",2000,1000))+$L475+ROW()/100000)</f>
        <v/>
      </c>
      <c r="O475" s="29" t="str">
        <f aca="false">IF($K475="Open",IF($C475="Conflict","decide "&amp;$A475&amp;": &lt;which version stands&gt;","decide "&amp;$A475&amp;": &lt;outcome&gt;"),IF($K475="Unconfirmed","confirm "&amp;$A475,""))</f>
        <v/>
      </c>
    </row>
    <row r="476" customFormat="false" ht="15" hidden="false" customHeight="false" outlineLevel="0" collapsed="false">
      <c r="A476" s="24"/>
      <c r="B476" s="27"/>
      <c r="C476" s="28"/>
      <c r="D476" s="24"/>
      <c r="E476" s="24"/>
      <c r="F476" s="24"/>
      <c r="G476" s="28"/>
      <c r="H476" s="28"/>
      <c r="I476" s="24"/>
      <c r="J476" s="24"/>
      <c r="K476" s="29" t="str">
        <f aca="false">IF($A476="","",IF(OR($C476="Decision",$C476="Conflict"),IF(COUNTIFS($I$2:$I$1001,$A476,$C$2:$C$1001,"Resolved")=0,"Open","Closed"),IF(AND($H476="Unconfirmed",OR($C476="New",$C476="Know")),IF(COUNTIFS($I$2:$I$1001,$A476,$C$2:$C$1001,"Confirmed")=0,"Unconfirmed","Confirmed"),"Logged")))</f>
        <v/>
      </c>
      <c r="L476" s="29" t="str">
        <f aca="false">IF($A476="","",AsOf-$B476)</f>
        <v/>
      </c>
      <c r="M476" s="29" t="str">
        <f aca="false">IF($K476="Open",IF($C476="Conflict","Critical",IF($L476&gt;=DecisionCritical,"Critical",IF($L476&gt;=DecisionWarn,"Warning","On track"))),IF($K476="Unconfirmed",IF($L476&gt;=UnconfirmedWarn,"Warning","On track"),""))</f>
        <v/>
      </c>
      <c r="N476" s="29" t="str">
        <f aca="false">IF($M476="","",IF($M476="Critical",3000,IF($M476="Warning",2000,1000))+$L476+ROW()/100000)</f>
        <v/>
      </c>
      <c r="O476" s="29" t="str">
        <f aca="false">IF($K476="Open",IF($C476="Conflict","decide "&amp;$A476&amp;": &lt;which version stands&gt;","decide "&amp;$A476&amp;": &lt;outcome&gt;"),IF($K476="Unconfirmed","confirm "&amp;$A476,""))</f>
        <v/>
      </c>
    </row>
    <row r="477" customFormat="false" ht="15" hidden="false" customHeight="false" outlineLevel="0" collapsed="false">
      <c r="A477" s="24"/>
      <c r="B477" s="27"/>
      <c r="C477" s="28"/>
      <c r="D477" s="24"/>
      <c r="E477" s="24"/>
      <c r="F477" s="24"/>
      <c r="G477" s="28"/>
      <c r="H477" s="28"/>
      <c r="I477" s="24"/>
      <c r="J477" s="24"/>
      <c r="K477" s="29" t="str">
        <f aca="false">IF($A477="","",IF(OR($C477="Decision",$C477="Conflict"),IF(COUNTIFS($I$2:$I$1001,$A477,$C$2:$C$1001,"Resolved")=0,"Open","Closed"),IF(AND($H477="Unconfirmed",OR($C477="New",$C477="Know")),IF(COUNTIFS($I$2:$I$1001,$A477,$C$2:$C$1001,"Confirmed")=0,"Unconfirmed","Confirmed"),"Logged")))</f>
        <v/>
      </c>
      <c r="L477" s="29" t="str">
        <f aca="false">IF($A477="","",AsOf-$B477)</f>
        <v/>
      </c>
      <c r="M477" s="29" t="str">
        <f aca="false">IF($K477="Open",IF($C477="Conflict","Critical",IF($L477&gt;=DecisionCritical,"Critical",IF($L477&gt;=DecisionWarn,"Warning","On track"))),IF($K477="Unconfirmed",IF($L477&gt;=UnconfirmedWarn,"Warning","On track"),""))</f>
        <v/>
      </c>
      <c r="N477" s="29" t="str">
        <f aca="false">IF($M477="","",IF($M477="Critical",3000,IF($M477="Warning",2000,1000))+$L477+ROW()/100000)</f>
        <v/>
      </c>
      <c r="O477" s="29" t="str">
        <f aca="false">IF($K477="Open",IF($C477="Conflict","decide "&amp;$A477&amp;": &lt;which version stands&gt;","decide "&amp;$A477&amp;": &lt;outcome&gt;"),IF($K477="Unconfirmed","confirm "&amp;$A477,""))</f>
        <v/>
      </c>
    </row>
    <row r="478" customFormat="false" ht="15" hidden="false" customHeight="false" outlineLevel="0" collapsed="false">
      <c r="A478" s="24"/>
      <c r="B478" s="27"/>
      <c r="C478" s="28"/>
      <c r="D478" s="24"/>
      <c r="E478" s="24"/>
      <c r="F478" s="24"/>
      <c r="G478" s="28"/>
      <c r="H478" s="28"/>
      <c r="I478" s="24"/>
      <c r="J478" s="24"/>
      <c r="K478" s="29" t="str">
        <f aca="false">IF($A478="","",IF(OR($C478="Decision",$C478="Conflict"),IF(COUNTIFS($I$2:$I$1001,$A478,$C$2:$C$1001,"Resolved")=0,"Open","Closed"),IF(AND($H478="Unconfirmed",OR($C478="New",$C478="Know")),IF(COUNTIFS($I$2:$I$1001,$A478,$C$2:$C$1001,"Confirmed")=0,"Unconfirmed","Confirmed"),"Logged")))</f>
        <v/>
      </c>
      <c r="L478" s="29" t="str">
        <f aca="false">IF($A478="","",AsOf-$B478)</f>
        <v/>
      </c>
      <c r="M478" s="29" t="str">
        <f aca="false">IF($K478="Open",IF($C478="Conflict","Critical",IF($L478&gt;=DecisionCritical,"Critical",IF($L478&gt;=DecisionWarn,"Warning","On track"))),IF($K478="Unconfirmed",IF($L478&gt;=UnconfirmedWarn,"Warning","On track"),""))</f>
        <v/>
      </c>
      <c r="N478" s="29" t="str">
        <f aca="false">IF($M478="","",IF($M478="Critical",3000,IF($M478="Warning",2000,1000))+$L478+ROW()/100000)</f>
        <v/>
      </c>
      <c r="O478" s="29" t="str">
        <f aca="false">IF($K478="Open",IF($C478="Conflict","decide "&amp;$A478&amp;": &lt;which version stands&gt;","decide "&amp;$A478&amp;": &lt;outcome&gt;"),IF($K478="Unconfirmed","confirm "&amp;$A478,""))</f>
        <v/>
      </c>
    </row>
    <row r="479" customFormat="false" ht="15" hidden="false" customHeight="false" outlineLevel="0" collapsed="false">
      <c r="A479" s="24"/>
      <c r="B479" s="27"/>
      <c r="C479" s="28"/>
      <c r="D479" s="24"/>
      <c r="E479" s="24"/>
      <c r="F479" s="24"/>
      <c r="G479" s="28"/>
      <c r="H479" s="28"/>
      <c r="I479" s="24"/>
      <c r="J479" s="24"/>
      <c r="K479" s="29" t="str">
        <f aca="false">IF($A479="","",IF(OR($C479="Decision",$C479="Conflict"),IF(COUNTIFS($I$2:$I$1001,$A479,$C$2:$C$1001,"Resolved")=0,"Open","Closed"),IF(AND($H479="Unconfirmed",OR($C479="New",$C479="Know")),IF(COUNTIFS($I$2:$I$1001,$A479,$C$2:$C$1001,"Confirmed")=0,"Unconfirmed","Confirmed"),"Logged")))</f>
        <v/>
      </c>
      <c r="L479" s="29" t="str">
        <f aca="false">IF($A479="","",AsOf-$B479)</f>
        <v/>
      </c>
      <c r="M479" s="29" t="str">
        <f aca="false">IF($K479="Open",IF($C479="Conflict","Critical",IF($L479&gt;=DecisionCritical,"Critical",IF($L479&gt;=DecisionWarn,"Warning","On track"))),IF($K479="Unconfirmed",IF($L479&gt;=UnconfirmedWarn,"Warning","On track"),""))</f>
        <v/>
      </c>
      <c r="N479" s="29" t="str">
        <f aca="false">IF($M479="","",IF($M479="Critical",3000,IF($M479="Warning",2000,1000))+$L479+ROW()/100000)</f>
        <v/>
      </c>
      <c r="O479" s="29" t="str">
        <f aca="false">IF($K479="Open",IF($C479="Conflict","decide "&amp;$A479&amp;": &lt;which version stands&gt;","decide "&amp;$A479&amp;": &lt;outcome&gt;"),IF($K479="Unconfirmed","confirm "&amp;$A479,""))</f>
        <v/>
      </c>
    </row>
    <row r="480" customFormat="false" ht="15" hidden="false" customHeight="false" outlineLevel="0" collapsed="false">
      <c r="A480" s="24"/>
      <c r="B480" s="27"/>
      <c r="C480" s="28"/>
      <c r="D480" s="24"/>
      <c r="E480" s="24"/>
      <c r="F480" s="24"/>
      <c r="G480" s="28"/>
      <c r="H480" s="28"/>
      <c r="I480" s="24"/>
      <c r="J480" s="24"/>
      <c r="K480" s="29" t="str">
        <f aca="false">IF($A480="","",IF(OR($C480="Decision",$C480="Conflict"),IF(COUNTIFS($I$2:$I$1001,$A480,$C$2:$C$1001,"Resolved")=0,"Open","Closed"),IF(AND($H480="Unconfirmed",OR($C480="New",$C480="Know")),IF(COUNTIFS($I$2:$I$1001,$A480,$C$2:$C$1001,"Confirmed")=0,"Unconfirmed","Confirmed"),"Logged")))</f>
        <v/>
      </c>
      <c r="L480" s="29" t="str">
        <f aca="false">IF($A480="","",AsOf-$B480)</f>
        <v/>
      </c>
      <c r="M480" s="29" t="str">
        <f aca="false">IF($K480="Open",IF($C480="Conflict","Critical",IF($L480&gt;=DecisionCritical,"Critical",IF($L480&gt;=DecisionWarn,"Warning","On track"))),IF($K480="Unconfirmed",IF($L480&gt;=UnconfirmedWarn,"Warning","On track"),""))</f>
        <v/>
      </c>
      <c r="N480" s="29" t="str">
        <f aca="false">IF($M480="","",IF($M480="Critical",3000,IF($M480="Warning",2000,1000))+$L480+ROW()/100000)</f>
        <v/>
      </c>
      <c r="O480" s="29" t="str">
        <f aca="false">IF($K480="Open",IF($C480="Conflict","decide "&amp;$A480&amp;": &lt;which version stands&gt;","decide "&amp;$A480&amp;": &lt;outcome&gt;"),IF($K480="Unconfirmed","confirm "&amp;$A480,""))</f>
        <v/>
      </c>
    </row>
    <row r="481" customFormat="false" ht="15" hidden="false" customHeight="false" outlineLevel="0" collapsed="false">
      <c r="A481" s="24"/>
      <c r="B481" s="27"/>
      <c r="C481" s="28"/>
      <c r="D481" s="24"/>
      <c r="E481" s="24"/>
      <c r="F481" s="24"/>
      <c r="G481" s="28"/>
      <c r="H481" s="28"/>
      <c r="I481" s="24"/>
      <c r="J481" s="24"/>
      <c r="K481" s="29" t="str">
        <f aca="false">IF($A481="","",IF(OR($C481="Decision",$C481="Conflict"),IF(COUNTIFS($I$2:$I$1001,$A481,$C$2:$C$1001,"Resolved")=0,"Open","Closed"),IF(AND($H481="Unconfirmed",OR($C481="New",$C481="Know")),IF(COUNTIFS($I$2:$I$1001,$A481,$C$2:$C$1001,"Confirmed")=0,"Unconfirmed","Confirmed"),"Logged")))</f>
        <v/>
      </c>
      <c r="L481" s="29" t="str">
        <f aca="false">IF($A481="","",AsOf-$B481)</f>
        <v/>
      </c>
      <c r="M481" s="29" t="str">
        <f aca="false">IF($K481="Open",IF($C481="Conflict","Critical",IF($L481&gt;=DecisionCritical,"Critical",IF($L481&gt;=DecisionWarn,"Warning","On track"))),IF($K481="Unconfirmed",IF($L481&gt;=UnconfirmedWarn,"Warning","On track"),""))</f>
        <v/>
      </c>
      <c r="N481" s="29" t="str">
        <f aca="false">IF($M481="","",IF($M481="Critical",3000,IF($M481="Warning",2000,1000))+$L481+ROW()/100000)</f>
        <v/>
      </c>
      <c r="O481" s="29" t="str">
        <f aca="false">IF($K481="Open",IF($C481="Conflict","decide "&amp;$A481&amp;": &lt;which version stands&gt;","decide "&amp;$A481&amp;": &lt;outcome&gt;"),IF($K481="Unconfirmed","confirm "&amp;$A481,""))</f>
        <v/>
      </c>
    </row>
    <row r="482" customFormat="false" ht="15" hidden="false" customHeight="false" outlineLevel="0" collapsed="false">
      <c r="A482" s="24"/>
      <c r="B482" s="27"/>
      <c r="C482" s="28"/>
      <c r="D482" s="24"/>
      <c r="E482" s="24"/>
      <c r="F482" s="24"/>
      <c r="G482" s="28"/>
      <c r="H482" s="28"/>
      <c r="I482" s="24"/>
      <c r="J482" s="24"/>
      <c r="K482" s="29" t="str">
        <f aca="false">IF($A482="","",IF(OR($C482="Decision",$C482="Conflict"),IF(COUNTIFS($I$2:$I$1001,$A482,$C$2:$C$1001,"Resolved")=0,"Open","Closed"),IF(AND($H482="Unconfirmed",OR($C482="New",$C482="Know")),IF(COUNTIFS($I$2:$I$1001,$A482,$C$2:$C$1001,"Confirmed")=0,"Unconfirmed","Confirmed"),"Logged")))</f>
        <v/>
      </c>
      <c r="L482" s="29" t="str">
        <f aca="false">IF($A482="","",AsOf-$B482)</f>
        <v/>
      </c>
      <c r="M482" s="29" t="str">
        <f aca="false">IF($K482="Open",IF($C482="Conflict","Critical",IF($L482&gt;=DecisionCritical,"Critical",IF($L482&gt;=DecisionWarn,"Warning","On track"))),IF($K482="Unconfirmed",IF($L482&gt;=UnconfirmedWarn,"Warning","On track"),""))</f>
        <v/>
      </c>
      <c r="N482" s="29" t="str">
        <f aca="false">IF($M482="","",IF($M482="Critical",3000,IF($M482="Warning",2000,1000))+$L482+ROW()/100000)</f>
        <v/>
      </c>
      <c r="O482" s="29" t="str">
        <f aca="false">IF($K482="Open",IF($C482="Conflict","decide "&amp;$A482&amp;": &lt;which version stands&gt;","decide "&amp;$A482&amp;": &lt;outcome&gt;"),IF($K482="Unconfirmed","confirm "&amp;$A482,""))</f>
        <v/>
      </c>
    </row>
    <row r="483" customFormat="false" ht="15" hidden="false" customHeight="false" outlineLevel="0" collapsed="false">
      <c r="A483" s="24"/>
      <c r="B483" s="27"/>
      <c r="C483" s="28"/>
      <c r="D483" s="24"/>
      <c r="E483" s="24"/>
      <c r="F483" s="24"/>
      <c r="G483" s="28"/>
      <c r="H483" s="28"/>
      <c r="I483" s="24"/>
      <c r="J483" s="24"/>
      <c r="K483" s="29" t="str">
        <f aca="false">IF($A483="","",IF(OR($C483="Decision",$C483="Conflict"),IF(COUNTIFS($I$2:$I$1001,$A483,$C$2:$C$1001,"Resolved")=0,"Open","Closed"),IF(AND($H483="Unconfirmed",OR($C483="New",$C483="Know")),IF(COUNTIFS($I$2:$I$1001,$A483,$C$2:$C$1001,"Confirmed")=0,"Unconfirmed","Confirmed"),"Logged")))</f>
        <v/>
      </c>
      <c r="L483" s="29" t="str">
        <f aca="false">IF($A483="","",AsOf-$B483)</f>
        <v/>
      </c>
      <c r="M483" s="29" t="str">
        <f aca="false">IF($K483="Open",IF($C483="Conflict","Critical",IF($L483&gt;=DecisionCritical,"Critical",IF($L483&gt;=DecisionWarn,"Warning","On track"))),IF($K483="Unconfirmed",IF($L483&gt;=UnconfirmedWarn,"Warning","On track"),""))</f>
        <v/>
      </c>
      <c r="N483" s="29" t="str">
        <f aca="false">IF($M483="","",IF($M483="Critical",3000,IF($M483="Warning",2000,1000))+$L483+ROW()/100000)</f>
        <v/>
      </c>
      <c r="O483" s="29" t="str">
        <f aca="false">IF($K483="Open",IF($C483="Conflict","decide "&amp;$A483&amp;": &lt;which version stands&gt;","decide "&amp;$A483&amp;": &lt;outcome&gt;"),IF($K483="Unconfirmed","confirm "&amp;$A483,""))</f>
        <v/>
      </c>
    </row>
    <row r="484" customFormat="false" ht="15" hidden="false" customHeight="false" outlineLevel="0" collapsed="false">
      <c r="A484" s="24"/>
      <c r="B484" s="27"/>
      <c r="C484" s="28"/>
      <c r="D484" s="24"/>
      <c r="E484" s="24"/>
      <c r="F484" s="24"/>
      <c r="G484" s="28"/>
      <c r="H484" s="28"/>
      <c r="I484" s="24"/>
      <c r="J484" s="24"/>
      <c r="K484" s="29" t="str">
        <f aca="false">IF($A484="","",IF(OR($C484="Decision",$C484="Conflict"),IF(COUNTIFS($I$2:$I$1001,$A484,$C$2:$C$1001,"Resolved")=0,"Open","Closed"),IF(AND($H484="Unconfirmed",OR($C484="New",$C484="Know")),IF(COUNTIFS($I$2:$I$1001,$A484,$C$2:$C$1001,"Confirmed")=0,"Unconfirmed","Confirmed"),"Logged")))</f>
        <v/>
      </c>
      <c r="L484" s="29" t="str">
        <f aca="false">IF($A484="","",AsOf-$B484)</f>
        <v/>
      </c>
      <c r="M484" s="29" t="str">
        <f aca="false">IF($K484="Open",IF($C484="Conflict","Critical",IF($L484&gt;=DecisionCritical,"Critical",IF($L484&gt;=DecisionWarn,"Warning","On track"))),IF($K484="Unconfirmed",IF($L484&gt;=UnconfirmedWarn,"Warning","On track"),""))</f>
        <v/>
      </c>
      <c r="N484" s="29" t="str">
        <f aca="false">IF($M484="","",IF($M484="Critical",3000,IF($M484="Warning",2000,1000))+$L484+ROW()/100000)</f>
        <v/>
      </c>
      <c r="O484" s="29" t="str">
        <f aca="false">IF($K484="Open",IF($C484="Conflict","decide "&amp;$A484&amp;": &lt;which version stands&gt;","decide "&amp;$A484&amp;": &lt;outcome&gt;"),IF($K484="Unconfirmed","confirm "&amp;$A484,""))</f>
        <v/>
      </c>
    </row>
    <row r="485" customFormat="false" ht="15" hidden="false" customHeight="false" outlineLevel="0" collapsed="false">
      <c r="A485" s="24"/>
      <c r="B485" s="27"/>
      <c r="C485" s="28"/>
      <c r="D485" s="24"/>
      <c r="E485" s="24"/>
      <c r="F485" s="24"/>
      <c r="G485" s="28"/>
      <c r="H485" s="28"/>
      <c r="I485" s="24"/>
      <c r="J485" s="24"/>
      <c r="K485" s="29" t="str">
        <f aca="false">IF($A485="","",IF(OR($C485="Decision",$C485="Conflict"),IF(COUNTIFS($I$2:$I$1001,$A485,$C$2:$C$1001,"Resolved")=0,"Open","Closed"),IF(AND($H485="Unconfirmed",OR($C485="New",$C485="Know")),IF(COUNTIFS($I$2:$I$1001,$A485,$C$2:$C$1001,"Confirmed")=0,"Unconfirmed","Confirmed"),"Logged")))</f>
        <v/>
      </c>
      <c r="L485" s="29" t="str">
        <f aca="false">IF($A485="","",AsOf-$B485)</f>
        <v/>
      </c>
      <c r="M485" s="29" t="str">
        <f aca="false">IF($K485="Open",IF($C485="Conflict","Critical",IF($L485&gt;=DecisionCritical,"Critical",IF($L485&gt;=DecisionWarn,"Warning","On track"))),IF($K485="Unconfirmed",IF($L485&gt;=UnconfirmedWarn,"Warning","On track"),""))</f>
        <v/>
      </c>
      <c r="N485" s="29" t="str">
        <f aca="false">IF($M485="","",IF($M485="Critical",3000,IF($M485="Warning",2000,1000))+$L485+ROW()/100000)</f>
        <v/>
      </c>
      <c r="O485" s="29" t="str">
        <f aca="false">IF($K485="Open",IF($C485="Conflict","decide "&amp;$A485&amp;": &lt;which version stands&gt;","decide "&amp;$A485&amp;": &lt;outcome&gt;"),IF($K485="Unconfirmed","confirm "&amp;$A485,""))</f>
        <v/>
      </c>
    </row>
    <row r="486" customFormat="false" ht="15" hidden="false" customHeight="false" outlineLevel="0" collapsed="false">
      <c r="A486" s="24"/>
      <c r="B486" s="27"/>
      <c r="C486" s="28"/>
      <c r="D486" s="24"/>
      <c r="E486" s="24"/>
      <c r="F486" s="24"/>
      <c r="G486" s="28"/>
      <c r="H486" s="28"/>
      <c r="I486" s="24"/>
      <c r="J486" s="24"/>
      <c r="K486" s="29" t="str">
        <f aca="false">IF($A486="","",IF(OR($C486="Decision",$C486="Conflict"),IF(COUNTIFS($I$2:$I$1001,$A486,$C$2:$C$1001,"Resolved")=0,"Open","Closed"),IF(AND($H486="Unconfirmed",OR($C486="New",$C486="Know")),IF(COUNTIFS($I$2:$I$1001,$A486,$C$2:$C$1001,"Confirmed")=0,"Unconfirmed","Confirmed"),"Logged")))</f>
        <v/>
      </c>
      <c r="L486" s="29" t="str">
        <f aca="false">IF($A486="","",AsOf-$B486)</f>
        <v/>
      </c>
      <c r="M486" s="29" t="str">
        <f aca="false">IF($K486="Open",IF($C486="Conflict","Critical",IF($L486&gt;=DecisionCritical,"Critical",IF($L486&gt;=DecisionWarn,"Warning","On track"))),IF($K486="Unconfirmed",IF($L486&gt;=UnconfirmedWarn,"Warning","On track"),""))</f>
        <v/>
      </c>
      <c r="N486" s="29" t="str">
        <f aca="false">IF($M486="","",IF($M486="Critical",3000,IF($M486="Warning",2000,1000))+$L486+ROW()/100000)</f>
        <v/>
      </c>
      <c r="O486" s="29" t="str">
        <f aca="false">IF($K486="Open",IF($C486="Conflict","decide "&amp;$A486&amp;": &lt;which version stands&gt;","decide "&amp;$A486&amp;": &lt;outcome&gt;"),IF($K486="Unconfirmed","confirm "&amp;$A486,""))</f>
        <v/>
      </c>
    </row>
    <row r="487" customFormat="false" ht="15" hidden="false" customHeight="false" outlineLevel="0" collapsed="false">
      <c r="A487" s="24"/>
      <c r="B487" s="27"/>
      <c r="C487" s="28"/>
      <c r="D487" s="24"/>
      <c r="E487" s="24"/>
      <c r="F487" s="24"/>
      <c r="G487" s="28"/>
      <c r="H487" s="28"/>
      <c r="I487" s="24"/>
      <c r="J487" s="24"/>
      <c r="K487" s="29" t="str">
        <f aca="false">IF($A487="","",IF(OR($C487="Decision",$C487="Conflict"),IF(COUNTIFS($I$2:$I$1001,$A487,$C$2:$C$1001,"Resolved")=0,"Open","Closed"),IF(AND($H487="Unconfirmed",OR($C487="New",$C487="Know")),IF(COUNTIFS($I$2:$I$1001,$A487,$C$2:$C$1001,"Confirmed")=0,"Unconfirmed","Confirmed"),"Logged")))</f>
        <v/>
      </c>
      <c r="L487" s="29" t="str">
        <f aca="false">IF($A487="","",AsOf-$B487)</f>
        <v/>
      </c>
      <c r="M487" s="29" t="str">
        <f aca="false">IF($K487="Open",IF($C487="Conflict","Critical",IF($L487&gt;=DecisionCritical,"Critical",IF($L487&gt;=DecisionWarn,"Warning","On track"))),IF($K487="Unconfirmed",IF($L487&gt;=UnconfirmedWarn,"Warning","On track"),""))</f>
        <v/>
      </c>
      <c r="N487" s="29" t="str">
        <f aca="false">IF($M487="","",IF($M487="Critical",3000,IF($M487="Warning",2000,1000))+$L487+ROW()/100000)</f>
        <v/>
      </c>
      <c r="O487" s="29" t="str">
        <f aca="false">IF($K487="Open",IF($C487="Conflict","decide "&amp;$A487&amp;": &lt;which version stands&gt;","decide "&amp;$A487&amp;": &lt;outcome&gt;"),IF($K487="Unconfirmed","confirm "&amp;$A487,""))</f>
        <v/>
      </c>
    </row>
    <row r="488" customFormat="false" ht="15" hidden="false" customHeight="false" outlineLevel="0" collapsed="false">
      <c r="A488" s="24"/>
      <c r="B488" s="27"/>
      <c r="C488" s="28"/>
      <c r="D488" s="24"/>
      <c r="E488" s="24"/>
      <c r="F488" s="24"/>
      <c r="G488" s="28"/>
      <c r="H488" s="28"/>
      <c r="I488" s="24"/>
      <c r="J488" s="24"/>
      <c r="K488" s="29" t="str">
        <f aca="false">IF($A488="","",IF(OR($C488="Decision",$C488="Conflict"),IF(COUNTIFS($I$2:$I$1001,$A488,$C$2:$C$1001,"Resolved")=0,"Open","Closed"),IF(AND($H488="Unconfirmed",OR($C488="New",$C488="Know")),IF(COUNTIFS($I$2:$I$1001,$A488,$C$2:$C$1001,"Confirmed")=0,"Unconfirmed","Confirmed"),"Logged")))</f>
        <v/>
      </c>
      <c r="L488" s="29" t="str">
        <f aca="false">IF($A488="","",AsOf-$B488)</f>
        <v/>
      </c>
      <c r="M488" s="29" t="str">
        <f aca="false">IF($K488="Open",IF($C488="Conflict","Critical",IF($L488&gt;=DecisionCritical,"Critical",IF($L488&gt;=DecisionWarn,"Warning","On track"))),IF($K488="Unconfirmed",IF($L488&gt;=UnconfirmedWarn,"Warning","On track"),""))</f>
        <v/>
      </c>
      <c r="N488" s="29" t="str">
        <f aca="false">IF($M488="","",IF($M488="Critical",3000,IF($M488="Warning",2000,1000))+$L488+ROW()/100000)</f>
        <v/>
      </c>
      <c r="O488" s="29" t="str">
        <f aca="false">IF($K488="Open",IF($C488="Conflict","decide "&amp;$A488&amp;": &lt;which version stands&gt;","decide "&amp;$A488&amp;": &lt;outcome&gt;"),IF($K488="Unconfirmed","confirm "&amp;$A488,""))</f>
        <v/>
      </c>
    </row>
    <row r="489" customFormat="false" ht="15" hidden="false" customHeight="false" outlineLevel="0" collapsed="false">
      <c r="A489" s="24"/>
      <c r="B489" s="27"/>
      <c r="C489" s="28"/>
      <c r="D489" s="24"/>
      <c r="E489" s="24"/>
      <c r="F489" s="24"/>
      <c r="G489" s="28"/>
      <c r="H489" s="28"/>
      <c r="I489" s="24"/>
      <c r="J489" s="24"/>
      <c r="K489" s="29" t="str">
        <f aca="false">IF($A489="","",IF(OR($C489="Decision",$C489="Conflict"),IF(COUNTIFS($I$2:$I$1001,$A489,$C$2:$C$1001,"Resolved")=0,"Open","Closed"),IF(AND($H489="Unconfirmed",OR($C489="New",$C489="Know")),IF(COUNTIFS($I$2:$I$1001,$A489,$C$2:$C$1001,"Confirmed")=0,"Unconfirmed","Confirmed"),"Logged")))</f>
        <v/>
      </c>
      <c r="L489" s="29" t="str">
        <f aca="false">IF($A489="","",AsOf-$B489)</f>
        <v/>
      </c>
      <c r="M489" s="29" t="str">
        <f aca="false">IF($K489="Open",IF($C489="Conflict","Critical",IF($L489&gt;=DecisionCritical,"Critical",IF($L489&gt;=DecisionWarn,"Warning","On track"))),IF($K489="Unconfirmed",IF($L489&gt;=UnconfirmedWarn,"Warning","On track"),""))</f>
        <v/>
      </c>
      <c r="N489" s="29" t="str">
        <f aca="false">IF($M489="","",IF($M489="Critical",3000,IF($M489="Warning",2000,1000))+$L489+ROW()/100000)</f>
        <v/>
      </c>
      <c r="O489" s="29" t="str">
        <f aca="false">IF($K489="Open",IF($C489="Conflict","decide "&amp;$A489&amp;": &lt;which version stands&gt;","decide "&amp;$A489&amp;": &lt;outcome&gt;"),IF($K489="Unconfirmed","confirm "&amp;$A489,""))</f>
        <v/>
      </c>
    </row>
    <row r="490" customFormat="false" ht="15" hidden="false" customHeight="false" outlineLevel="0" collapsed="false">
      <c r="A490" s="24"/>
      <c r="B490" s="27"/>
      <c r="C490" s="28"/>
      <c r="D490" s="24"/>
      <c r="E490" s="24"/>
      <c r="F490" s="24"/>
      <c r="G490" s="28"/>
      <c r="H490" s="28"/>
      <c r="I490" s="24"/>
      <c r="J490" s="24"/>
      <c r="K490" s="29" t="str">
        <f aca="false">IF($A490="","",IF(OR($C490="Decision",$C490="Conflict"),IF(COUNTIFS($I$2:$I$1001,$A490,$C$2:$C$1001,"Resolved")=0,"Open","Closed"),IF(AND($H490="Unconfirmed",OR($C490="New",$C490="Know")),IF(COUNTIFS($I$2:$I$1001,$A490,$C$2:$C$1001,"Confirmed")=0,"Unconfirmed","Confirmed"),"Logged")))</f>
        <v/>
      </c>
      <c r="L490" s="29" t="str">
        <f aca="false">IF($A490="","",AsOf-$B490)</f>
        <v/>
      </c>
      <c r="M490" s="29" t="str">
        <f aca="false">IF($K490="Open",IF($C490="Conflict","Critical",IF($L490&gt;=DecisionCritical,"Critical",IF($L490&gt;=DecisionWarn,"Warning","On track"))),IF($K490="Unconfirmed",IF($L490&gt;=UnconfirmedWarn,"Warning","On track"),""))</f>
        <v/>
      </c>
      <c r="N490" s="29" t="str">
        <f aca="false">IF($M490="","",IF($M490="Critical",3000,IF($M490="Warning",2000,1000))+$L490+ROW()/100000)</f>
        <v/>
      </c>
      <c r="O490" s="29" t="str">
        <f aca="false">IF($K490="Open",IF($C490="Conflict","decide "&amp;$A490&amp;": &lt;which version stands&gt;","decide "&amp;$A490&amp;": &lt;outcome&gt;"),IF($K490="Unconfirmed","confirm "&amp;$A490,""))</f>
        <v/>
      </c>
    </row>
    <row r="491" customFormat="false" ht="15" hidden="false" customHeight="false" outlineLevel="0" collapsed="false">
      <c r="A491" s="24"/>
      <c r="B491" s="27"/>
      <c r="C491" s="28"/>
      <c r="D491" s="24"/>
      <c r="E491" s="24"/>
      <c r="F491" s="24"/>
      <c r="G491" s="28"/>
      <c r="H491" s="28"/>
      <c r="I491" s="24"/>
      <c r="J491" s="24"/>
      <c r="K491" s="29" t="str">
        <f aca="false">IF($A491="","",IF(OR($C491="Decision",$C491="Conflict"),IF(COUNTIFS($I$2:$I$1001,$A491,$C$2:$C$1001,"Resolved")=0,"Open","Closed"),IF(AND($H491="Unconfirmed",OR($C491="New",$C491="Know")),IF(COUNTIFS($I$2:$I$1001,$A491,$C$2:$C$1001,"Confirmed")=0,"Unconfirmed","Confirmed"),"Logged")))</f>
        <v/>
      </c>
      <c r="L491" s="29" t="str">
        <f aca="false">IF($A491="","",AsOf-$B491)</f>
        <v/>
      </c>
      <c r="M491" s="29" t="str">
        <f aca="false">IF($K491="Open",IF($C491="Conflict","Critical",IF($L491&gt;=DecisionCritical,"Critical",IF($L491&gt;=DecisionWarn,"Warning","On track"))),IF($K491="Unconfirmed",IF($L491&gt;=UnconfirmedWarn,"Warning","On track"),""))</f>
        <v/>
      </c>
      <c r="N491" s="29" t="str">
        <f aca="false">IF($M491="","",IF($M491="Critical",3000,IF($M491="Warning",2000,1000))+$L491+ROW()/100000)</f>
        <v/>
      </c>
      <c r="O491" s="29" t="str">
        <f aca="false">IF($K491="Open",IF($C491="Conflict","decide "&amp;$A491&amp;": &lt;which version stands&gt;","decide "&amp;$A491&amp;": &lt;outcome&gt;"),IF($K491="Unconfirmed","confirm "&amp;$A491,""))</f>
        <v/>
      </c>
    </row>
    <row r="492" customFormat="false" ht="15" hidden="false" customHeight="false" outlineLevel="0" collapsed="false">
      <c r="A492" s="24"/>
      <c r="B492" s="27"/>
      <c r="C492" s="28"/>
      <c r="D492" s="24"/>
      <c r="E492" s="24"/>
      <c r="F492" s="24"/>
      <c r="G492" s="28"/>
      <c r="H492" s="28"/>
      <c r="I492" s="24"/>
      <c r="J492" s="24"/>
      <c r="K492" s="29" t="str">
        <f aca="false">IF($A492="","",IF(OR($C492="Decision",$C492="Conflict"),IF(COUNTIFS($I$2:$I$1001,$A492,$C$2:$C$1001,"Resolved")=0,"Open","Closed"),IF(AND($H492="Unconfirmed",OR($C492="New",$C492="Know")),IF(COUNTIFS($I$2:$I$1001,$A492,$C$2:$C$1001,"Confirmed")=0,"Unconfirmed","Confirmed"),"Logged")))</f>
        <v/>
      </c>
      <c r="L492" s="29" t="str">
        <f aca="false">IF($A492="","",AsOf-$B492)</f>
        <v/>
      </c>
      <c r="M492" s="29" t="str">
        <f aca="false">IF($K492="Open",IF($C492="Conflict","Critical",IF($L492&gt;=DecisionCritical,"Critical",IF($L492&gt;=DecisionWarn,"Warning","On track"))),IF($K492="Unconfirmed",IF($L492&gt;=UnconfirmedWarn,"Warning","On track"),""))</f>
        <v/>
      </c>
      <c r="N492" s="29" t="str">
        <f aca="false">IF($M492="","",IF($M492="Critical",3000,IF($M492="Warning",2000,1000))+$L492+ROW()/100000)</f>
        <v/>
      </c>
      <c r="O492" s="29" t="str">
        <f aca="false">IF($K492="Open",IF($C492="Conflict","decide "&amp;$A492&amp;": &lt;which version stands&gt;","decide "&amp;$A492&amp;": &lt;outcome&gt;"),IF($K492="Unconfirmed","confirm "&amp;$A492,""))</f>
        <v/>
      </c>
    </row>
    <row r="493" customFormat="false" ht="15" hidden="false" customHeight="false" outlineLevel="0" collapsed="false">
      <c r="A493" s="24"/>
      <c r="B493" s="27"/>
      <c r="C493" s="28"/>
      <c r="D493" s="24"/>
      <c r="E493" s="24"/>
      <c r="F493" s="24"/>
      <c r="G493" s="28"/>
      <c r="H493" s="28"/>
      <c r="I493" s="24"/>
      <c r="J493" s="24"/>
      <c r="K493" s="29" t="str">
        <f aca="false">IF($A493="","",IF(OR($C493="Decision",$C493="Conflict"),IF(COUNTIFS($I$2:$I$1001,$A493,$C$2:$C$1001,"Resolved")=0,"Open","Closed"),IF(AND($H493="Unconfirmed",OR($C493="New",$C493="Know")),IF(COUNTIFS($I$2:$I$1001,$A493,$C$2:$C$1001,"Confirmed")=0,"Unconfirmed","Confirmed"),"Logged")))</f>
        <v/>
      </c>
      <c r="L493" s="29" t="str">
        <f aca="false">IF($A493="","",AsOf-$B493)</f>
        <v/>
      </c>
      <c r="M493" s="29" t="str">
        <f aca="false">IF($K493="Open",IF($C493="Conflict","Critical",IF($L493&gt;=DecisionCritical,"Critical",IF($L493&gt;=DecisionWarn,"Warning","On track"))),IF($K493="Unconfirmed",IF($L493&gt;=UnconfirmedWarn,"Warning","On track"),""))</f>
        <v/>
      </c>
      <c r="N493" s="29" t="str">
        <f aca="false">IF($M493="","",IF($M493="Critical",3000,IF($M493="Warning",2000,1000))+$L493+ROW()/100000)</f>
        <v/>
      </c>
      <c r="O493" s="29" t="str">
        <f aca="false">IF($K493="Open",IF($C493="Conflict","decide "&amp;$A493&amp;": &lt;which version stands&gt;","decide "&amp;$A493&amp;": &lt;outcome&gt;"),IF($K493="Unconfirmed","confirm "&amp;$A493,""))</f>
        <v/>
      </c>
    </row>
    <row r="494" customFormat="false" ht="15" hidden="false" customHeight="false" outlineLevel="0" collapsed="false">
      <c r="A494" s="24"/>
      <c r="B494" s="27"/>
      <c r="C494" s="28"/>
      <c r="D494" s="24"/>
      <c r="E494" s="24"/>
      <c r="F494" s="24"/>
      <c r="G494" s="28"/>
      <c r="H494" s="28"/>
      <c r="I494" s="24"/>
      <c r="J494" s="24"/>
      <c r="K494" s="29" t="str">
        <f aca="false">IF($A494="","",IF(OR($C494="Decision",$C494="Conflict"),IF(COUNTIFS($I$2:$I$1001,$A494,$C$2:$C$1001,"Resolved")=0,"Open","Closed"),IF(AND($H494="Unconfirmed",OR($C494="New",$C494="Know")),IF(COUNTIFS($I$2:$I$1001,$A494,$C$2:$C$1001,"Confirmed")=0,"Unconfirmed","Confirmed"),"Logged")))</f>
        <v/>
      </c>
      <c r="L494" s="29" t="str">
        <f aca="false">IF($A494="","",AsOf-$B494)</f>
        <v/>
      </c>
      <c r="M494" s="29" t="str">
        <f aca="false">IF($K494="Open",IF($C494="Conflict","Critical",IF($L494&gt;=DecisionCritical,"Critical",IF($L494&gt;=DecisionWarn,"Warning","On track"))),IF($K494="Unconfirmed",IF($L494&gt;=UnconfirmedWarn,"Warning","On track"),""))</f>
        <v/>
      </c>
      <c r="N494" s="29" t="str">
        <f aca="false">IF($M494="","",IF($M494="Critical",3000,IF($M494="Warning",2000,1000))+$L494+ROW()/100000)</f>
        <v/>
      </c>
      <c r="O494" s="29" t="str">
        <f aca="false">IF($K494="Open",IF($C494="Conflict","decide "&amp;$A494&amp;": &lt;which version stands&gt;","decide "&amp;$A494&amp;": &lt;outcome&gt;"),IF($K494="Unconfirmed","confirm "&amp;$A494,""))</f>
        <v/>
      </c>
    </row>
    <row r="495" customFormat="false" ht="15" hidden="false" customHeight="false" outlineLevel="0" collapsed="false">
      <c r="A495" s="24"/>
      <c r="B495" s="27"/>
      <c r="C495" s="28"/>
      <c r="D495" s="24"/>
      <c r="E495" s="24"/>
      <c r="F495" s="24"/>
      <c r="G495" s="28"/>
      <c r="H495" s="28"/>
      <c r="I495" s="24"/>
      <c r="J495" s="24"/>
      <c r="K495" s="29" t="str">
        <f aca="false">IF($A495="","",IF(OR($C495="Decision",$C495="Conflict"),IF(COUNTIFS($I$2:$I$1001,$A495,$C$2:$C$1001,"Resolved")=0,"Open","Closed"),IF(AND($H495="Unconfirmed",OR($C495="New",$C495="Know")),IF(COUNTIFS($I$2:$I$1001,$A495,$C$2:$C$1001,"Confirmed")=0,"Unconfirmed","Confirmed"),"Logged")))</f>
        <v/>
      </c>
      <c r="L495" s="29" t="str">
        <f aca="false">IF($A495="","",AsOf-$B495)</f>
        <v/>
      </c>
      <c r="M495" s="29" t="str">
        <f aca="false">IF($K495="Open",IF($C495="Conflict","Critical",IF($L495&gt;=DecisionCritical,"Critical",IF($L495&gt;=DecisionWarn,"Warning","On track"))),IF($K495="Unconfirmed",IF($L495&gt;=UnconfirmedWarn,"Warning","On track"),""))</f>
        <v/>
      </c>
      <c r="N495" s="29" t="str">
        <f aca="false">IF($M495="","",IF($M495="Critical",3000,IF($M495="Warning",2000,1000))+$L495+ROW()/100000)</f>
        <v/>
      </c>
      <c r="O495" s="29" t="str">
        <f aca="false">IF($K495="Open",IF($C495="Conflict","decide "&amp;$A495&amp;": &lt;which version stands&gt;","decide "&amp;$A495&amp;": &lt;outcome&gt;"),IF($K495="Unconfirmed","confirm "&amp;$A495,""))</f>
        <v/>
      </c>
    </row>
    <row r="496" customFormat="false" ht="15" hidden="false" customHeight="false" outlineLevel="0" collapsed="false">
      <c r="A496" s="24"/>
      <c r="B496" s="27"/>
      <c r="C496" s="28"/>
      <c r="D496" s="24"/>
      <c r="E496" s="24"/>
      <c r="F496" s="24"/>
      <c r="G496" s="28"/>
      <c r="H496" s="28"/>
      <c r="I496" s="24"/>
      <c r="J496" s="24"/>
      <c r="K496" s="29" t="str">
        <f aca="false">IF($A496="","",IF(OR($C496="Decision",$C496="Conflict"),IF(COUNTIFS($I$2:$I$1001,$A496,$C$2:$C$1001,"Resolved")=0,"Open","Closed"),IF(AND($H496="Unconfirmed",OR($C496="New",$C496="Know")),IF(COUNTIFS($I$2:$I$1001,$A496,$C$2:$C$1001,"Confirmed")=0,"Unconfirmed","Confirmed"),"Logged")))</f>
        <v/>
      </c>
      <c r="L496" s="29" t="str">
        <f aca="false">IF($A496="","",AsOf-$B496)</f>
        <v/>
      </c>
      <c r="M496" s="29" t="str">
        <f aca="false">IF($K496="Open",IF($C496="Conflict","Critical",IF($L496&gt;=DecisionCritical,"Critical",IF($L496&gt;=DecisionWarn,"Warning","On track"))),IF($K496="Unconfirmed",IF($L496&gt;=UnconfirmedWarn,"Warning","On track"),""))</f>
        <v/>
      </c>
      <c r="N496" s="29" t="str">
        <f aca="false">IF($M496="","",IF($M496="Critical",3000,IF($M496="Warning",2000,1000))+$L496+ROW()/100000)</f>
        <v/>
      </c>
      <c r="O496" s="29" t="str">
        <f aca="false">IF($K496="Open",IF($C496="Conflict","decide "&amp;$A496&amp;": &lt;which version stands&gt;","decide "&amp;$A496&amp;": &lt;outcome&gt;"),IF($K496="Unconfirmed","confirm "&amp;$A496,""))</f>
        <v/>
      </c>
    </row>
    <row r="497" customFormat="false" ht="15" hidden="false" customHeight="false" outlineLevel="0" collapsed="false">
      <c r="A497" s="24"/>
      <c r="B497" s="27"/>
      <c r="C497" s="28"/>
      <c r="D497" s="24"/>
      <c r="E497" s="24"/>
      <c r="F497" s="24"/>
      <c r="G497" s="28"/>
      <c r="H497" s="28"/>
      <c r="I497" s="24"/>
      <c r="J497" s="24"/>
      <c r="K497" s="29" t="str">
        <f aca="false">IF($A497="","",IF(OR($C497="Decision",$C497="Conflict"),IF(COUNTIFS($I$2:$I$1001,$A497,$C$2:$C$1001,"Resolved")=0,"Open","Closed"),IF(AND($H497="Unconfirmed",OR($C497="New",$C497="Know")),IF(COUNTIFS($I$2:$I$1001,$A497,$C$2:$C$1001,"Confirmed")=0,"Unconfirmed","Confirmed"),"Logged")))</f>
        <v/>
      </c>
      <c r="L497" s="29" t="str">
        <f aca="false">IF($A497="","",AsOf-$B497)</f>
        <v/>
      </c>
      <c r="M497" s="29" t="str">
        <f aca="false">IF($K497="Open",IF($C497="Conflict","Critical",IF($L497&gt;=DecisionCritical,"Critical",IF($L497&gt;=DecisionWarn,"Warning","On track"))),IF($K497="Unconfirmed",IF($L497&gt;=UnconfirmedWarn,"Warning","On track"),""))</f>
        <v/>
      </c>
      <c r="N497" s="29" t="str">
        <f aca="false">IF($M497="","",IF($M497="Critical",3000,IF($M497="Warning",2000,1000))+$L497+ROW()/100000)</f>
        <v/>
      </c>
      <c r="O497" s="29" t="str">
        <f aca="false">IF($K497="Open",IF($C497="Conflict","decide "&amp;$A497&amp;": &lt;which version stands&gt;","decide "&amp;$A497&amp;": &lt;outcome&gt;"),IF($K497="Unconfirmed","confirm "&amp;$A497,""))</f>
        <v/>
      </c>
    </row>
    <row r="498" customFormat="false" ht="15" hidden="false" customHeight="false" outlineLevel="0" collapsed="false">
      <c r="A498" s="24"/>
      <c r="B498" s="27"/>
      <c r="C498" s="28"/>
      <c r="D498" s="24"/>
      <c r="E498" s="24"/>
      <c r="F498" s="24"/>
      <c r="G498" s="28"/>
      <c r="H498" s="28"/>
      <c r="I498" s="24"/>
      <c r="J498" s="24"/>
      <c r="K498" s="29" t="str">
        <f aca="false">IF($A498="","",IF(OR($C498="Decision",$C498="Conflict"),IF(COUNTIFS($I$2:$I$1001,$A498,$C$2:$C$1001,"Resolved")=0,"Open","Closed"),IF(AND($H498="Unconfirmed",OR($C498="New",$C498="Know")),IF(COUNTIFS($I$2:$I$1001,$A498,$C$2:$C$1001,"Confirmed")=0,"Unconfirmed","Confirmed"),"Logged")))</f>
        <v/>
      </c>
      <c r="L498" s="29" t="str">
        <f aca="false">IF($A498="","",AsOf-$B498)</f>
        <v/>
      </c>
      <c r="M498" s="29" t="str">
        <f aca="false">IF($K498="Open",IF($C498="Conflict","Critical",IF($L498&gt;=DecisionCritical,"Critical",IF($L498&gt;=DecisionWarn,"Warning","On track"))),IF($K498="Unconfirmed",IF($L498&gt;=UnconfirmedWarn,"Warning","On track"),""))</f>
        <v/>
      </c>
      <c r="N498" s="29" t="str">
        <f aca="false">IF($M498="","",IF($M498="Critical",3000,IF($M498="Warning",2000,1000))+$L498+ROW()/100000)</f>
        <v/>
      </c>
      <c r="O498" s="29" t="str">
        <f aca="false">IF($K498="Open",IF($C498="Conflict","decide "&amp;$A498&amp;": &lt;which version stands&gt;","decide "&amp;$A498&amp;": &lt;outcome&gt;"),IF($K498="Unconfirmed","confirm "&amp;$A498,""))</f>
        <v/>
      </c>
    </row>
    <row r="499" customFormat="false" ht="15" hidden="false" customHeight="false" outlineLevel="0" collapsed="false">
      <c r="A499" s="24"/>
      <c r="B499" s="27"/>
      <c r="C499" s="28"/>
      <c r="D499" s="24"/>
      <c r="E499" s="24"/>
      <c r="F499" s="24"/>
      <c r="G499" s="28"/>
      <c r="H499" s="28"/>
      <c r="I499" s="24"/>
      <c r="J499" s="24"/>
      <c r="K499" s="29" t="str">
        <f aca="false">IF($A499="","",IF(OR($C499="Decision",$C499="Conflict"),IF(COUNTIFS($I$2:$I$1001,$A499,$C$2:$C$1001,"Resolved")=0,"Open","Closed"),IF(AND($H499="Unconfirmed",OR($C499="New",$C499="Know")),IF(COUNTIFS($I$2:$I$1001,$A499,$C$2:$C$1001,"Confirmed")=0,"Unconfirmed","Confirmed"),"Logged")))</f>
        <v/>
      </c>
      <c r="L499" s="29" t="str">
        <f aca="false">IF($A499="","",AsOf-$B499)</f>
        <v/>
      </c>
      <c r="M499" s="29" t="str">
        <f aca="false">IF($K499="Open",IF($C499="Conflict","Critical",IF($L499&gt;=DecisionCritical,"Critical",IF($L499&gt;=DecisionWarn,"Warning","On track"))),IF($K499="Unconfirmed",IF($L499&gt;=UnconfirmedWarn,"Warning","On track"),""))</f>
        <v/>
      </c>
      <c r="N499" s="29" t="str">
        <f aca="false">IF($M499="","",IF($M499="Critical",3000,IF($M499="Warning",2000,1000))+$L499+ROW()/100000)</f>
        <v/>
      </c>
      <c r="O499" s="29" t="str">
        <f aca="false">IF($K499="Open",IF($C499="Conflict","decide "&amp;$A499&amp;": &lt;which version stands&gt;","decide "&amp;$A499&amp;": &lt;outcome&gt;"),IF($K499="Unconfirmed","confirm "&amp;$A499,""))</f>
        <v/>
      </c>
    </row>
    <row r="500" customFormat="false" ht="15" hidden="false" customHeight="false" outlineLevel="0" collapsed="false">
      <c r="A500" s="24"/>
      <c r="B500" s="27"/>
      <c r="C500" s="28"/>
      <c r="D500" s="24"/>
      <c r="E500" s="24"/>
      <c r="F500" s="24"/>
      <c r="G500" s="28"/>
      <c r="H500" s="28"/>
      <c r="I500" s="24"/>
      <c r="J500" s="24"/>
      <c r="K500" s="29" t="str">
        <f aca="false">IF($A500="","",IF(OR($C500="Decision",$C500="Conflict"),IF(COUNTIFS($I$2:$I$1001,$A500,$C$2:$C$1001,"Resolved")=0,"Open","Closed"),IF(AND($H500="Unconfirmed",OR($C500="New",$C500="Know")),IF(COUNTIFS($I$2:$I$1001,$A500,$C$2:$C$1001,"Confirmed")=0,"Unconfirmed","Confirmed"),"Logged")))</f>
        <v/>
      </c>
      <c r="L500" s="29" t="str">
        <f aca="false">IF($A500="","",AsOf-$B500)</f>
        <v/>
      </c>
      <c r="M500" s="29" t="str">
        <f aca="false">IF($K500="Open",IF($C500="Conflict","Critical",IF($L500&gt;=DecisionCritical,"Critical",IF($L500&gt;=DecisionWarn,"Warning","On track"))),IF($K500="Unconfirmed",IF($L500&gt;=UnconfirmedWarn,"Warning","On track"),""))</f>
        <v/>
      </c>
      <c r="N500" s="29" t="str">
        <f aca="false">IF($M500="","",IF($M500="Critical",3000,IF($M500="Warning",2000,1000))+$L500+ROW()/100000)</f>
        <v/>
      </c>
      <c r="O500" s="29" t="str">
        <f aca="false">IF($K500="Open",IF($C500="Conflict","decide "&amp;$A500&amp;": &lt;which version stands&gt;","decide "&amp;$A500&amp;": &lt;outcome&gt;"),IF($K500="Unconfirmed","confirm "&amp;$A500,""))</f>
        <v/>
      </c>
    </row>
    <row r="501" customFormat="false" ht="15" hidden="false" customHeight="false" outlineLevel="0" collapsed="false">
      <c r="A501" s="24"/>
      <c r="B501" s="27"/>
      <c r="C501" s="28"/>
      <c r="D501" s="24"/>
      <c r="E501" s="24"/>
      <c r="F501" s="24"/>
      <c r="G501" s="28"/>
      <c r="H501" s="28"/>
      <c r="I501" s="24"/>
      <c r="J501" s="24"/>
      <c r="K501" s="29" t="str">
        <f aca="false">IF($A501="","",IF(OR($C501="Decision",$C501="Conflict"),IF(COUNTIFS($I$2:$I$1001,$A501,$C$2:$C$1001,"Resolved")=0,"Open","Closed"),IF(AND($H501="Unconfirmed",OR($C501="New",$C501="Know")),IF(COUNTIFS($I$2:$I$1001,$A501,$C$2:$C$1001,"Confirmed")=0,"Unconfirmed","Confirmed"),"Logged")))</f>
        <v/>
      </c>
      <c r="L501" s="29" t="str">
        <f aca="false">IF($A501="","",AsOf-$B501)</f>
        <v/>
      </c>
      <c r="M501" s="29" t="str">
        <f aca="false">IF($K501="Open",IF($C501="Conflict","Critical",IF($L501&gt;=DecisionCritical,"Critical",IF($L501&gt;=DecisionWarn,"Warning","On track"))),IF($K501="Unconfirmed",IF($L501&gt;=UnconfirmedWarn,"Warning","On track"),""))</f>
        <v/>
      </c>
      <c r="N501" s="29" t="str">
        <f aca="false">IF($M501="","",IF($M501="Critical",3000,IF($M501="Warning",2000,1000))+$L501+ROW()/100000)</f>
        <v/>
      </c>
      <c r="O501" s="29" t="str">
        <f aca="false">IF($K501="Open",IF($C501="Conflict","decide "&amp;$A501&amp;": &lt;which version stands&gt;","decide "&amp;$A501&amp;": &lt;outcome&gt;"),IF($K501="Unconfirmed","confirm "&amp;$A501,""))</f>
        <v/>
      </c>
    </row>
    <row r="502" customFormat="false" ht="15" hidden="false" customHeight="false" outlineLevel="0" collapsed="false">
      <c r="A502" s="24"/>
      <c r="B502" s="27"/>
      <c r="C502" s="28"/>
      <c r="D502" s="24"/>
      <c r="E502" s="24"/>
      <c r="F502" s="24"/>
      <c r="G502" s="28"/>
      <c r="H502" s="28"/>
      <c r="I502" s="24"/>
      <c r="J502" s="24"/>
      <c r="K502" s="29" t="str">
        <f aca="false">IF($A502="","",IF(OR($C502="Decision",$C502="Conflict"),IF(COUNTIFS($I$2:$I$1001,$A502,$C$2:$C$1001,"Resolved")=0,"Open","Closed"),IF(AND($H502="Unconfirmed",OR($C502="New",$C502="Know")),IF(COUNTIFS($I$2:$I$1001,$A502,$C$2:$C$1001,"Confirmed")=0,"Unconfirmed","Confirmed"),"Logged")))</f>
        <v/>
      </c>
      <c r="L502" s="29" t="str">
        <f aca="false">IF($A502="","",AsOf-$B502)</f>
        <v/>
      </c>
      <c r="M502" s="29" t="str">
        <f aca="false">IF($K502="Open",IF($C502="Conflict","Critical",IF($L502&gt;=DecisionCritical,"Critical",IF($L502&gt;=DecisionWarn,"Warning","On track"))),IF($K502="Unconfirmed",IF($L502&gt;=UnconfirmedWarn,"Warning","On track"),""))</f>
        <v/>
      </c>
      <c r="N502" s="29" t="str">
        <f aca="false">IF($M502="","",IF($M502="Critical",3000,IF($M502="Warning",2000,1000))+$L502+ROW()/100000)</f>
        <v/>
      </c>
      <c r="O502" s="29" t="str">
        <f aca="false">IF($K502="Open",IF($C502="Conflict","decide "&amp;$A502&amp;": &lt;which version stands&gt;","decide "&amp;$A502&amp;": &lt;outcome&gt;"),IF($K502="Unconfirmed","confirm "&amp;$A502,""))</f>
        <v/>
      </c>
    </row>
    <row r="503" customFormat="false" ht="15" hidden="false" customHeight="false" outlineLevel="0" collapsed="false">
      <c r="A503" s="24"/>
      <c r="B503" s="27"/>
      <c r="C503" s="28"/>
      <c r="D503" s="24"/>
      <c r="E503" s="24"/>
      <c r="F503" s="24"/>
      <c r="G503" s="28"/>
      <c r="H503" s="28"/>
      <c r="I503" s="24"/>
      <c r="J503" s="24"/>
      <c r="K503" s="29" t="str">
        <f aca="false">IF($A503="","",IF(OR($C503="Decision",$C503="Conflict"),IF(COUNTIFS($I$2:$I$1001,$A503,$C$2:$C$1001,"Resolved")=0,"Open","Closed"),IF(AND($H503="Unconfirmed",OR($C503="New",$C503="Know")),IF(COUNTIFS($I$2:$I$1001,$A503,$C$2:$C$1001,"Confirmed")=0,"Unconfirmed","Confirmed"),"Logged")))</f>
        <v/>
      </c>
      <c r="L503" s="29" t="str">
        <f aca="false">IF($A503="","",AsOf-$B503)</f>
        <v/>
      </c>
      <c r="M503" s="29" t="str">
        <f aca="false">IF($K503="Open",IF($C503="Conflict","Critical",IF($L503&gt;=DecisionCritical,"Critical",IF($L503&gt;=DecisionWarn,"Warning","On track"))),IF($K503="Unconfirmed",IF($L503&gt;=UnconfirmedWarn,"Warning","On track"),""))</f>
        <v/>
      </c>
      <c r="N503" s="29" t="str">
        <f aca="false">IF($M503="","",IF($M503="Critical",3000,IF($M503="Warning",2000,1000))+$L503+ROW()/100000)</f>
        <v/>
      </c>
      <c r="O503" s="29" t="str">
        <f aca="false">IF($K503="Open",IF($C503="Conflict","decide "&amp;$A503&amp;": &lt;which version stands&gt;","decide "&amp;$A503&amp;": &lt;outcome&gt;"),IF($K503="Unconfirmed","confirm "&amp;$A503,""))</f>
        <v/>
      </c>
    </row>
    <row r="504" customFormat="false" ht="15" hidden="false" customHeight="false" outlineLevel="0" collapsed="false">
      <c r="A504" s="24"/>
      <c r="B504" s="27"/>
      <c r="C504" s="28"/>
      <c r="D504" s="24"/>
      <c r="E504" s="24"/>
      <c r="F504" s="24"/>
      <c r="G504" s="28"/>
      <c r="H504" s="28"/>
      <c r="I504" s="24"/>
      <c r="J504" s="24"/>
      <c r="K504" s="29" t="str">
        <f aca="false">IF($A504="","",IF(OR($C504="Decision",$C504="Conflict"),IF(COUNTIFS($I$2:$I$1001,$A504,$C$2:$C$1001,"Resolved")=0,"Open","Closed"),IF(AND($H504="Unconfirmed",OR($C504="New",$C504="Know")),IF(COUNTIFS($I$2:$I$1001,$A504,$C$2:$C$1001,"Confirmed")=0,"Unconfirmed","Confirmed"),"Logged")))</f>
        <v/>
      </c>
      <c r="L504" s="29" t="str">
        <f aca="false">IF($A504="","",AsOf-$B504)</f>
        <v/>
      </c>
      <c r="M504" s="29" t="str">
        <f aca="false">IF($K504="Open",IF($C504="Conflict","Critical",IF($L504&gt;=DecisionCritical,"Critical",IF($L504&gt;=DecisionWarn,"Warning","On track"))),IF($K504="Unconfirmed",IF($L504&gt;=UnconfirmedWarn,"Warning","On track"),""))</f>
        <v/>
      </c>
      <c r="N504" s="29" t="str">
        <f aca="false">IF($M504="","",IF($M504="Critical",3000,IF($M504="Warning",2000,1000))+$L504+ROW()/100000)</f>
        <v/>
      </c>
      <c r="O504" s="29" t="str">
        <f aca="false">IF($K504="Open",IF($C504="Conflict","decide "&amp;$A504&amp;": &lt;which version stands&gt;","decide "&amp;$A504&amp;": &lt;outcome&gt;"),IF($K504="Unconfirmed","confirm "&amp;$A504,""))</f>
        <v/>
      </c>
    </row>
    <row r="505" customFormat="false" ht="15" hidden="false" customHeight="false" outlineLevel="0" collapsed="false">
      <c r="A505" s="24"/>
      <c r="B505" s="27"/>
      <c r="C505" s="28"/>
      <c r="D505" s="24"/>
      <c r="E505" s="24"/>
      <c r="F505" s="24"/>
      <c r="G505" s="28"/>
      <c r="H505" s="28"/>
      <c r="I505" s="24"/>
      <c r="J505" s="24"/>
      <c r="K505" s="29" t="str">
        <f aca="false">IF($A505="","",IF(OR($C505="Decision",$C505="Conflict"),IF(COUNTIFS($I$2:$I$1001,$A505,$C$2:$C$1001,"Resolved")=0,"Open","Closed"),IF(AND($H505="Unconfirmed",OR($C505="New",$C505="Know")),IF(COUNTIFS($I$2:$I$1001,$A505,$C$2:$C$1001,"Confirmed")=0,"Unconfirmed","Confirmed"),"Logged")))</f>
        <v/>
      </c>
      <c r="L505" s="29" t="str">
        <f aca="false">IF($A505="","",AsOf-$B505)</f>
        <v/>
      </c>
      <c r="M505" s="29" t="str">
        <f aca="false">IF($K505="Open",IF($C505="Conflict","Critical",IF($L505&gt;=DecisionCritical,"Critical",IF($L505&gt;=DecisionWarn,"Warning","On track"))),IF($K505="Unconfirmed",IF($L505&gt;=UnconfirmedWarn,"Warning","On track"),""))</f>
        <v/>
      </c>
      <c r="N505" s="29" t="str">
        <f aca="false">IF($M505="","",IF($M505="Critical",3000,IF($M505="Warning",2000,1000))+$L505+ROW()/100000)</f>
        <v/>
      </c>
      <c r="O505" s="29" t="str">
        <f aca="false">IF($K505="Open",IF($C505="Conflict","decide "&amp;$A505&amp;": &lt;which version stands&gt;","decide "&amp;$A505&amp;": &lt;outcome&gt;"),IF($K505="Unconfirmed","confirm "&amp;$A505,""))</f>
        <v/>
      </c>
    </row>
    <row r="506" customFormat="false" ht="15" hidden="false" customHeight="false" outlineLevel="0" collapsed="false">
      <c r="A506" s="24"/>
      <c r="B506" s="27"/>
      <c r="C506" s="28"/>
      <c r="D506" s="24"/>
      <c r="E506" s="24"/>
      <c r="F506" s="24"/>
      <c r="G506" s="28"/>
      <c r="H506" s="28"/>
      <c r="I506" s="24"/>
      <c r="J506" s="24"/>
      <c r="K506" s="29" t="str">
        <f aca="false">IF($A506="","",IF(OR($C506="Decision",$C506="Conflict"),IF(COUNTIFS($I$2:$I$1001,$A506,$C$2:$C$1001,"Resolved")=0,"Open","Closed"),IF(AND($H506="Unconfirmed",OR($C506="New",$C506="Know")),IF(COUNTIFS($I$2:$I$1001,$A506,$C$2:$C$1001,"Confirmed")=0,"Unconfirmed","Confirmed"),"Logged")))</f>
        <v/>
      </c>
      <c r="L506" s="29" t="str">
        <f aca="false">IF($A506="","",AsOf-$B506)</f>
        <v/>
      </c>
      <c r="M506" s="29" t="str">
        <f aca="false">IF($K506="Open",IF($C506="Conflict","Critical",IF($L506&gt;=DecisionCritical,"Critical",IF($L506&gt;=DecisionWarn,"Warning","On track"))),IF($K506="Unconfirmed",IF($L506&gt;=UnconfirmedWarn,"Warning","On track"),""))</f>
        <v/>
      </c>
      <c r="N506" s="29" t="str">
        <f aca="false">IF($M506="","",IF($M506="Critical",3000,IF($M506="Warning",2000,1000))+$L506+ROW()/100000)</f>
        <v/>
      </c>
      <c r="O506" s="29" t="str">
        <f aca="false">IF($K506="Open",IF($C506="Conflict","decide "&amp;$A506&amp;": &lt;which version stands&gt;","decide "&amp;$A506&amp;": &lt;outcome&gt;"),IF($K506="Unconfirmed","confirm "&amp;$A506,""))</f>
        <v/>
      </c>
    </row>
    <row r="507" customFormat="false" ht="15" hidden="false" customHeight="false" outlineLevel="0" collapsed="false">
      <c r="A507" s="24"/>
      <c r="B507" s="27"/>
      <c r="C507" s="28"/>
      <c r="D507" s="24"/>
      <c r="E507" s="24"/>
      <c r="F507" s="24"/>
      <c r="G507" s="28"/>
      <c r="H507" s="28"/>
      <c r="I507" s="24"/>
      <c r="J507" s="24"/>
      <c r="K507" s="29" t="str">
        <f aca="false">IF($A507="","",IF(OR($C507="Decision",$C507="Conflict"),IF(COUNTIFS($I$2:$I$1001,$A507,$C$2:$C$1001,"Resolved")=0,"Open","Closed"),IF(AND($H507="Unconfirmed",OR($C507="New",$C507="Know")),IF(COUNTIFS($I$2:$I$1001,$A507,$C$2:$C$1001,"Confirmed")=0,"Unconfirmed","Confirmed"),"Logged")))</f>
        <v/>
      </c>
      <c r="L507" s="29" t="str">
        <f aca="false">IF($A507="","",AsOf-$B507)</f>
        <v/>
      </c>
      <c r="M507" s="29" t="str">
        <f aca="false">IF($K507="Open",IF($C507="Conflict","Critical",IF($L507&gt;=DecisionCritical,"Critical",IF($L507&gt;=DecisionWarn,"Warning","On track"))),IF($K507="Unconfirmed",IF($L507&gt;=UnconfirmedWarn,"Warning","On track"),""))</f>
        <v/>
      </c>
      <c r="N507" s="29" t="str">
        <f aca="false">IF($M507="","",IF($M507="Critical",3000,IF($M507="Warning",2000,1000))+$L507+ROW()/100000)</f>
        <v/>
      </c>
      <c r="O507" s="29" t="str">
        <f aca="false">IF($K507="Open",IF($C507="Conflict","decide "&amp;$A507&amp;": &lt;which version stands&gt;","decide "&amp;$A507&amp;": &lt;outcome&gt;"),IF($K507="Unconfirmed","confirm "&amp;$A507,""))</f>
        <v/>
      </c>
    </row>
    <row r="508" customFormat="false" ht="15" hidden="false" customHeight="false" outlineLevel="0" collapsed="false">
      <c r="A508" s="24"/>
      <c r="B508" s="27"/>
      <c r="C508" s="28"/>
      <c r="D508" s="24"/>
      <c r="E508" s="24"/>
      <c r="F508" s="24"/>
      <c r="G508" s="28"/>
      <c r="H508" s="28"/>
      <c r="I508" s="24"/>
      <c r="J508" s="24"/>
      <c r="K508" s="29" t="str">
        <f aca="false">IF($A508="","",IF(OR($C508="Decision",$C508="Conflict"),IF(COUNTIFS($I$2:$I$1001,$A508,$C$2:$C$1001,"Resolved")=0,"Open","Closed"),IF(AND($H508="Unconfirmed",OR($C508="New",$C508="Know")),IF(COUNTIFS($I$2:$I$1001,$A508,$C$2:$C$1001,"Confirmed")=0,"Unconfirmed","Confirmed"),"Logged")))</f>
        <v/>
      </c>
      <c r="L508" s="29" t="str">
        <f aca="false">IF($A508="","",AsOf-$B508)</f>
        <v/>
      </c>
      <c r="M508" s="29" t="str">
        <f aca="false">IF($K508="Open",IF($C508="Conflict","Critical",IF($L508&gt;=DecisionCritical,"Critical",IF($L508&gt;=DecisionWarn,"Warning","On track"))),IF($K508="Unconfirmed",IF($L508&gt;=UnconfirmedWarn,"Warning","On track"),""))</f>
        <v/>
      </c>
      <c r="N508" s="29" t="str">
        <f aca="false">IF($M508="","",IF($M508="Critical",3000,IF($M508="Warning",2000,1000))+$L508+ROW()/100000)</f>
        <v/>
      </c>
      <c r="O508" s="29" t="str">
        <f aca="false">IF($K508="Open",IF($C508="Conflict","decide "&amp;$A508&amp;": &lt;which version stands&gt;","decide "&amp;$A508&amp;": &lt;outcome&gt;"),IF($K508="Unconfirmed","confirm "&amp;$A508,""))</f>
        <v/>
      </c>
    </row>
    <row r="509" customFormat="false" ht="15" hidden="false" customHeight="false" outlineLevel="0" collapsed="false">
      <c r="A509" s="24"/>
      <c r="B509" s="27"/>
      <c r="C509" s="28"/>
      <c r="D509" s="24"/>
      <c r="E509" s="24"/>
      <c r="F509" s="24"/>
      <c r="G509" s="28"/>
      <c r="H509" s="28"/>
      <c r="I509" s="24"/>
      <c r="J509" s="24"/>
      <c r="K509" s="29" t="str">
        <f aca="false">IF($A509="","",IF(OR($C509="Decision",$C509="Conflict"),IF(COUNTIFS($I$2:$I$1001,$A509,$C$2:$C$1001,"Resolved")=0,"Open","Closed"),IF(AND($H509="Unconfirmed",OR($C509="New",$C509="Know")),IF(COUNTIFS($I$2:$I$1001,$A509,$C$2:$C$1001,"Confirmed")=0,"Unconfirmed","Confirmed"),"Logged")))</f>
        <v/>
      </c>
      <c r="L509" s="29" t="str">
        <f aca="false">IF($A509="","",AsOf-$B509)</f>
        <v/>
      </c>
      <c r="M509" s="29" t="str">
        <f aca="false">IF($K509="Open",IF($C509="Conflict","Critical",IF($L509&gt;=DecisionCritical,"Critical",IF($L509&gt;=DecisionWarn,"Warning","On track"))),IF($K509="Unconfirmed",IF($L509&gt;=UnconfirmedWarn,"Warning","On track"),""))</f>
        <v/>
      </c>
      <c r="N509" s="29" t="str">
        <f aca="false">IF($M509="","",IF($M509="Critical",3000,IF($M509="Warning",2000,1000))+$L509+ROW()/100000)</f>
        <v/>
      </c>
      <c r="O509" s="29" t="str">
        <f aca="false">IF($K509="Open",IF($C509="Conflict","decide "&amp;$A509&amp;": &lt;which version stands&gt;","decide "&amp;$A509&amp;": &lt;outcome&gt;"),IF($K509="Unconfirmed","confirm "&amp;$A509,""))</f>
        <v/>
      </c>
    </row>
    <row r="510" customFormat="false" ht="15" hidden="false" customHeight="false" outlineLevel="0" collapsed="false">
      <c r="A510" s="24"/>
      <c r="B510" s="27"/>
      <c r="C510" s="28"/>
      <c r="D510" s="24"/>
      <c r="E510" s="24"/>
      <c r="F510" s="24"/>
      <c r="G510" s="28"/>
      <c r="H510" s="28"/>
      <c r="I510" s="24"/>
      <c r="J510" s="24"/>
      <c r="K510" s="29" t="str">
        <f aca="false">IF($A510="","",IF(OR($C510="Decision",$C510="Conflict"),IF(COUNTIFS($I$2:$I$1001,$A510,$C$2:$C$1001,"Resolved")=0,"Open","Closed"),IF(AND($H510="Unconfirmed",OR($C510="New",$C510="Know")),IF(COUNTIFS($I$2:$I$1001,$A510,$C$2:$C$1001,"Confirmed")=0,"Unconfirmed","Confirmed"),"Logged")))</f>
        <v/>
      </c>
      <c r="L510" s="29" t="str">
        <f aca="false">IF($A510="","",AsOf-$B510)</f>
        <v/>
      </c>
      <c r="M510" s="29" t="str">
        <f aca="false">IF($K510="Open",IF($C510="Conflict","Critical",IF($L510&gt;=DecisionCritical,"Critical",IF($L510&gt;=DecisionWarn,"Warning","On track"))),IF($K510="Unconfirmed",IF($L510&gt;=UnconfirmedWarn,"Warning","On track"),""))</f>
        <v/>
      </c>
      <c r="N510" s="29" t="str">
        <f aca="false">IF($M510="","",IF($M510="Critical",3000,IF($M510="Warning",2000,1000))+$L510+ROW()/100000)</f>
        <v/>
      </c>
      <c r="O510" s="29" t="str">
        <f aca="false">IF($K510="Open",IF($C510="Conflict","decide "&amp;$A510&amp;": &lt;which version stands&gt;","decide "&amp;$A510&amp;": &lt;outcome&gt;"),IF($K510="Unconfirmed","confirm "&amp;$A510,""))</f>
        <v/>
      </c>
    </row>
    <row r="511" customFormat="false" ht="15" hidden="false" customHeight="false" outlineLevel="0" collapsed="false">
      <c r="A511" s="24"/>
      <c r="B511" s="27"/>
      <c r="C511" s="28"/>
      <c r="D511" s="24"/>
      <c r="E511" s="24"/>
      <c r="F511" s="24"/>
      <c r="G511" s="28"/>
      <c r="H511" s="28"/>
      <c r="I511" s="24"/>
      <c r="J511" s="24"/>
      <c r="K511" s="29" t="str">
        <f aca="false">IF($A511="","",IF(OR($C511="Decision",$C511="Conflict"),IF(COUNTIFS($I$2:$I$1001,$A511,$C$2:$C$1001,"Resolved")=0,"Open","Closed"),IF(AND($H511="Unconfirmed",OR($C511="New",$C511="Know")),IF(COUNTIFS($I$2:$I$1001,$A511,$C$2:$C$1001,"Confirmed")=0,"Unconfirmed","Confirmed"),"Logged")))</f>
        <v/>
      </c>
      <c r="L511" s="29" t="str">
        <f aca="false">IF($A511="","",AsOf-$B511)</f>
        <v/>
      </c>
      <c r="M511" s="29" t="str">
        <f aca="false">IF($K511="Open",IF($C511="Conflict","Critical",IF($L511&gt;=DecisionCritical,"Critical",IF($L511&gt;=DecisionWarn,"Warning","On track"))),IF($K511="Unconfirmed",IF($L511&gt;=UnconfirmedWarn,"Warning","On track"),""))</f>
        <v/>
      </c>
      <c r="N511" s="29" t="str">
        <f aca="false">IF($M511="","",IF($M511="Critical",3000,IF($M511="Warning",2000,1000))+$L511+ROW()/100000)</f>
        <v/>
      </c>
      <c r="O511" s="29" t="str">
        <f aca="false">IF($K511="Open",IF($C511="Conflict","decide "&amp;$A511&amp;": &lt;which version stands&gt;","decide "&amp;$A511&amp;": &lt;outcome&gt;"),IF($K511="Unconfirmed","confirm "&amp;$A511,""))</f>
        <v/>
      </c>
    </row>
    <row r="512" customFormat="false" ht="15" hidden="false" customHeight="false" outlineLevel="0" collapsed="false">
      <c r="A512" s="24"/>
      <c r="B512" s="27"/>
      <c r="C512" s="28"/>
      <c r="D512" s="24"/>
      <c r="E512" s="24"/>
      <c r="F512" s="24"/>
      <c r="G512" s="28"/>
      <c r="H512" s="28"/>
      <c r="I512" s="24"/>
      <c r="J512" s="24"/>
      <c r="K512" s="29" t="str">
        <f aca="false">IF($A512="","",IF(OR($C512="Decision",$C512="Conflict"),IF(COUNTIFS($I$2:$I$1001,$A512,$C$2:$C$1001,"Resolved")=0,"Open","Closed"),IF(AND($H512="Unconfirmed",OR($C512="New",$C512="Know")),IF(COUNTIFS($I$2:$I$1001,$A512,$C$2:$C$1001,"Confirmed")=0,"Unconfirmed","Confirmed"),"Logged")))</f>
        <v/>
      </c>
      <c r="L512" s="29" t="str">
        <f aca="false">IF($A512="","",AsOf-$B512)</f>
        <v/>
      </c>
      <c r="M512" s="29" t="str">
        <f aca="false">IF($K512="Open",IF($C512="Conflict","Critical",IF($L512&gt;=DecisionCritical,"Critical",IF($L512&gt;=DecisionWarn,"Warning","On track"))),IF($K512="Unconfirmed",IF($L512&gt;=UnconfirmedWarn,"Warning","On track"),""))</f>
        <v/>
      </c>
      <c r="N512" s="29" t="str">
        <f aca="false">IF($M512="","",IF($M512="Critical",3000,IF($M512="Warning",2000,1000))+$L512+ROW()/100000)</f>
        <v/>
      </c>
      <c r="O512" s="29" t="str">
        <f aca="false">IF($K512="Open",IF($C512="Conflict","decide "&amp;$A512&amp;": &lt;which version stands&gt;","decide "&amp;$A512&amp;": &lt;outcome&gt;"),IF($K512="Unconfirmed","confirm "&amp;$A512,""))</f>
        <v/>
      </c>
    </row>
    <row r="513" customFormat="false" ht="15" hidden="false" customHeight="false" outlineLevel="0" collapsed="false">
      <c r="A513" s="24"/>
      <c r="B513" s="27"/>
      <c r="C513" s="28"/>
      <c r="D513" s="24"/>
      <c r="E513" s="24"/>
      <c r="F513" s="24"/>
      <c r="G513" s="28"/>
      <c r="H513" s="28"/>
      <c r="I513" s="24"/>
      <c r="J513" s="24"/>
      <c r="K513" s="29" t="str">
        <f aca="false">IF($A513="","",IF(OR($C513="Decision",$C513="Conflict"),IF(COUNTIFS($I$2:$I$1001,$A513,$C$2:$C$1001,"Resolved")=0,"Open","Closed"),IF(AND($H513="Unconfirmed",OR($C513="New",$C513="Know")),IF(COUNTIFS($I$2:$I$1001,$A513,$C$2:$C$1001,"Confirmed")=0,"Unconfirmed","Confirmed"),"Logged")))</f>
        <v/>
      </c>
      <c r="L513" s="29" t="str">
        <f aca="false">IF($A513="","",AsOf-$B513)</f>
        <v/>
      </c>
      <c r="M513" s="29" t="str">
        <f aca="false">IF($K513="Open",IF($C513="Conflict","Critical",IF($L513&gt;=DecisionCritical,"Critical",IF($L513&gt;=DecisionWarn,"Warning","On track"))),IF($K513="Unconfirmed",IF($L513&gt;=UnconfirmedWarn,"Warning","On track"),""))</f>
        <v/>
      </c>
      <c r="N513" s="29" t="str">
        <f aca="false">IF($M513="","",IF($M513="Critical",3000,IF($M513="Warning",2000,1000))+$L513+ROW()/100000)</f>
        <v/>
      </c>
      <c r="O513" s="29" t="str">
        <f aca="false">IF($K513="Open",IF($C513="Conflict","decide "&amp;$A513&amp;": &lt;which version stands&gt;","decide "&amp;$A513&amp;": &lt;outcome&gt;"),IF($K513="Unconfirmed","confirm "&amp;$A513,""))</f>
        <v/>
      </c>
    </row>
    <row r="514" customFormat="false" ht="15" hidden="false" customHeight="false" outlineLevel="0" collapsed="false">
      <c r="A514" s="24"/>
      <c r="B514" s="27"/>
      <c r="C514" s="28"/>
      <c r="D514" s="24"/>
      <c r="E514" s="24"/>
      <c r="F514" s="24"/>
      <c r="G514" s="28"/>
      <c r="H514" s="28"/>
      <c r="I514" s="24"/>
      <c r="J514" s="24"/>
      <c r="K514" s="29" t="str">
        <f aca="false">IF($A514="","",IF(OR($C514="Decision",$C514="Conflict"),IF(COUNTIFS($I$2:$I$1001,$A514,$C$2:$C$1001,"Resolved")=0,"Open","Closed"),IF(AND($H514="Unconfirmed",OR($C514="New",$C514="Know")),IF(COUNTIFS($I$2:$I$1001,$A514,$C$2:$C$1001,"Confirmed")=0,"Unconfirmed","Confirmed"),"Logged")))</f>
        <v/>
      </c>
      <c r="L514" s="29" t="str">
        <f aca="false">IF($A514="","",AsOf-$B514)</f>
        <v/>
      </c>
      <c r="M514" s="29" t="str">
        <f aca="false">IF($K514="Open",IF($C514="Conflict","Critical",IF($L514&gt;=DecisionCritical,"Critical",IF($L514&gt;=DecisionWarn,"Warning","On track"))),IF($K514="Unconfirmed",IF($L514&gt;=UnconfirmedWarn,"Warning","On track"),""))</f>
        <v/>
      </c>
      <c r="N514" s="29" t="str">
        <f aca="false">IF($M514="","",IF($M514="Critical",3000,IF($M514="Warning",2000,1000))+$L514+ROW()/100000)</f>
        <v/>
      </c>
      <c r="O514" s="29" t="str">
        <f aca="false">IF($K514="Open",IF($C514="Conflict","decide "&amp;$A514&amp;": &lt;which version stands&gt;","decide "&amp;$A514&amp;": &lt;outcome&gt;"),IF($K514="Unconfirmed","confirm "&amp;$A514,""))</f>
        <v/>
      </c>
    </row>
    <row r="515" customFormat="false" ht="15" hidden="false" customHeight="false" outlineLevel="0" collapsed="false">
      <c r="A515" s="24"/>
      <c r="B515" s="27"/>
      <c r="C515" s="28"/>
      <c r="D515" s="24"/>
      <c r="E515" s="24"/>
      <c r="F515" s="24"/>
      <c r="G515" s="28"/>
      <c r="H515" s="28"/>
      <c r="I515" s="24"/>
      <c r="J515" s="24"/>
      <c r="K515" s="29" t="str">
        <f aca="false">IF($A515="","",IF(OR($C515="Decision",$C515="Conflict"),IF(COUNTIFS($I$2:$I$1001,$A515,$C$2:$C$1001,"Resolved")=0,"Open","Closed"),IF(AND($H515="Unconfirmed",OR($C515="New",$C515="Know")),IF(COUNTIFS($I$2:$I$1001,$A515,$C$2:$C$1001,"Confirmed")=0,"Unconfirmed","Confirmed"),"Logged")))</f>
        <v/>
      </c>
      <c r="L515" s="29" t="str">
        <f aca="false">IF($A515="","",AsOf-$B515)</f>
        <v/>
      </c>
      <c r="M515" s="29" t="str">
        <f aca="false">IF($K515="Open",IF($C515="Conflict","Critical",IF($L515&gt;=DecisionCritical,"Critical",IF($L515&gt;=DecisionWarn,"Warning","On track"))),IF($K515="Unconfirmed",IF($L515&gt;=UnconfirmedWarn,"Warning","On track"),""))</f>
        <v/>
      </c>
      <c r="N515" s="29" t="str">
        <f aca="false">IF($M515="","",IF($M515="Critical",3000,IF($M515="Warning",2000,1000))+$L515+ROW()/100000)</f>
        <v/>
      </c>
      <c r="O515" s="29" t="str">
        <f aca="false">IF($K515="Open",IF($C515="Conflict","decide "&amp;$A515&amp;": &lt;which version stands&gt;","decide "&amp;$A515&amp;": &lt;outcome&gt;"),IF($K515="Unconfirmed","confirm "&amp;$A515,""))</f>
        <v/>
      </c>
    </row>
    <row r="516" customFormat="false" ht="15" hidden="false" customHeight="false" outlineLevel="0" collapsed="false">
      <c r="A516" s="24"/>
      <c r="B516" s="27"/>
      <c r="C516" s="28"/>
      <c r="D516" s="24"/>
      <c r="E516" s="24"/>
      <c r="F516" s="24"/>
      <c r="G516" s="28"/>
      <c r="H516" s="28"/>
      <c r="I516" s="24"/>
      <c r="J516" s="24"/>
      <c r="K516" s="29" t="str">
        <f aca="false">IF($A516="","",IF(OR($C516="Decision",$C516="Conflict"),IF(COUNTIFS($I$2:$I$1001,$A516,$C$2:$C$1001,"Resolved")=0,"Open","Closed"),IF(AND($H516="Unconfirmed",OR($C516="New",$C516="Know")),IF(COUNTIFS($I$2:$I$1001,$A516,$C$2:$C$1001,"Confirmed")=0,"Unconfirmed","Confirmed"),"Logged")))</f>
        <v/>
      </c>
      <c r="L516" s="29" t="str">
        <f aca="false">IF($A516="","",AsOf-$B516)</f>
        <v/>
      </c>
      <c r="M516" s="29" t="str">
        <f aca="false">IF($K516="Open",IF($C516="Conflict","Critical",IF($L516&gt;=DecisionCritical,"Critical",IF($L516&gt;=DecisionWarn,"Warning","On track"))),IF($K516="Unconfirmed",IF($L516&gt;=UnconfirmedWarn,"Warning","On track"),""))</f>
        <v/>
      </c>
      <c r="N516" s="29" t="str">
        <f aca="false">IF($M516="","",IF($M516="Critical",3000,IF($M516="Warning",2000,1000))+$L516+ROW()/100000)</f>
        <v/>
      </c>
      <c r="O516" s="29" t="str">
        <f aca="false">IF($K516="Open",IF($C516="Conflict","decide "&amp;$A516&amp;": &lt;which version stands&gt;","decide "&amp;$A516&amp;": &lt;outcome&gt;"),IF($K516="Unconfirmed","confirm "&amp;$A516,""))</f>
        <v/>
      </c>
    </row>
    <row r="517" customFormat="false" ht="15" hidden="false" customHeight="false" outlineLevel="0" collapsed="false">
      <c r="A517" s="24"/>
      <c r="B517" s="27"/>
      <c r="C517" s="28"/>
      <c r="D517" s="24"/>
      <c r="E517" s="24"/>
      <c r="F517" s="24"/>
      <c r="G517" s="28"/>
      <c r="H517" s="28"/>
      <c r="I517" s="24"/>
      <c r="J517" s="24"/>
      <c r="K517" s="29" t="str">
        <f aca="false">IF($A517="","",IF(OR($C517="Decision",$C517="Conflict"),IF(COUNTIFS($I$2:$I$1001,$A517,$C$2:$C$1001,"Resolved")=0,"Open","Closed"),IF(AND($H517="Unconfirmed",OR($C517="New",$C517="Know")),IF(COUNTIFS($I$2:$I$1001,$A517,$C$2:$C$1001,"Confirmed")=0,"Unconfirmed","Confirmed"),"Logged")))</f>
        <v/>
      </c>
      <c r="L517" s="29" t="str">
        <f aca="false">IF($A517="","",AsOf-$B517)</f>
        <v/>
      </c>
      <c r="M517" s="29" t="str">
        <f aca="false">IF($K517="Open",IF($C517="Conflict","Critical",IF($L517&gt;=DecisionCritical,"Critical",IF($L517&gt;=DecisionWarn,"Warning","On track"))),IF($K517="Unconfirmed",IF($L517&gt;=UnconfirmedWarn,"Warning","On track"),""))</f>
        <v/>
      </c>
      <c r="N517" s="29" t="str">
        <f aca="false">IF($M517="","",IF($M517="Critical",3000,IF($M517="Warning",2000,1000))+$L517+ROW()/100000)</f>
        <v/>
      </c>
      <c r="O517" s="29" t="str">
        <f aca="false">IF($K517="Open",IF($C517="Conflict","decide "&amp;$A517&amp;": &lt;which version stands&gt;","decide "&amp;$A517&amp;": &lt;outcome&gt;"),IF($K517="Unconfirmed","confirm "&amp;$A517,""))</f>
        <v/>
      </c>
    </row>
    <row r="518" customFormat="false" ht="15" hidden="false" customHeight="false" outlineLevel="0" collapsed="false">
      <c r="A518" s="24"/>
      <c r="B518" s="27"/>
      <c r="C518" s="28"/>
      <c r="D518" s="24"/>
      <c r="E518" s="24"/>
      <c r="F518" s="24"/>
      <c r="G518" s="28"/>
      <c r="H518" s="28"/>
      <c r="I518" s="24"/>
      <c r="J518" s="24"/>
      <c r="K518" s="29" t="str">
        <f aca="false">IF($A518="","",IF(OR($C518="Decision",$C518="Conflict"),IF(COUNTIFS($I$2:$I$1001,$A518,$C$2:$C$1001,"Resolved")=0,"Open","Closed"),IF(AND($H518="Unconfirmed",OR($C518="New",$C518="Know")),IF(COUNTIFS($I$2:$I$1001,$A518,$C$2:$C$1001,"Confirmed")=0,"Unconfirmed","Confirmed"),"Logged")))</f>
        <v/>
      </c>
      <c r="L518" s="29" t="str">
        <f aca="false">IF($A518="","",AsOf-$B518)</f>
        <v/>
      </c>
      <c r="M518" s="29" t="str">
        <f aca="false">IF($K518="Open",IF($C518="Conflict","Critical",IF($L518&gt;=DecisionCritical,"Critical",IF($L518&gt;=DecisionWarn,"Warning","On track"))),IF($K518="Unconfirmed",IF($L518&gt;=UnconfirmedWarn,"Warning","On track"),""))</f>
        <v/>
      </c>
      <c r="N518" s="29" t="str">
        <f aca="false">IF($M518="","",IF($M518="Critical",3000,IF($M518="Warning",2000,1000))+$L518+ROW()/100000)</f>
        <v/>
      </c>
      <c r="O518" s="29" t="str">
        <f aca="false">IF($K518="Open",IF($C518="Conflict","decide "&amp;$A518&amp;": &lt;which version stands&gt;","decide "&amp;$A518&amp;": &lt;outcome&gt;"),IF($K518="Unconfirmed","confirm "&amp;$A518,""))</f>
        <v/>
      </c>
    </row>
    <row r="519" customFormat="false" ht="15" hidden="false" customHeight="false" outlineLevel="0" collapsed="false">
      <c r="A519" s="24"/>
      <c r="B519" s="27"/>
      <c r="C519" s="28"/>
      <c r="D519" s="24"/>
      <c r="E519" s="24"/>
      <c r="F519" s="24"/>
      <c r="G519" s="28"/>
      <c r="H519" s="28"/>
      <c r="I519" s="24"/>
      <c r="J519" s="24"/>
      <c r="K519" s="29" t="str">
        <f aca="false">IF($A519="","",IF(OR($C519="Decision",$C519="Conflict"),IF(COUNTIFS($I$2:$I$1001,$A519,$C$2:$C$1001,"Resolved")=0,"Open","Closed"),IF(AND($H519="Unconfirmed",OR($C519="New",$C519="Know")),IF(COUNTIFS($I$2:$I$1001,$A519,$C$2:$C$1001,"Confirmed")=0,"Unconfirmed","Confirmed"),"Logged")))</f>
        <v/>
      </c>
      <c r="L519" s="29" t="str">
        <f aca="false">IF($A519="","",AsOf-$B519)</f>
        <v/>
      </c>
      <c r="M519" s="29" t="str">
        <f aca="false">IF($K519="Open",IF($C519="Conflict","Critical",IF($L519&gt;=DecisionCritical,"Critical",IF($L519&gt;=DecisionWarn,"Warning","On track"))),IF($K519="Unconfirmed",IF($L519&gt;=UnconfirmedWarn,"Warning","On track"),""))</f>
        <v/>
      </c>
      <c r="N519" s="29" t="str">
        <f aca="false">IF($M519="","",IF($M519="Critical",3000,IF($M519="Warning",2000,1000))+$L519+ROW()/100000)</f>
        <v/>
      </c>
      <c r="O519" s="29" t="str">
        <f aca="false">IF($K519="Open",IF($C519="Conflict","decide "&amp;$A519&amp;": &lt;which version stands&gt;","decide "&amp;$A519&amp;": &lt;outcome&gt;"),IF($K519="Unconfirmed","confirm "&amp;$A519,""))</f>
        <v/>
      </c>
    </row>
    <row r="520" customFormat="false" ht="15" hidden="false" customHeight="false" outlineLevel="0" collapsed="false">
      <c r="A520" s="24"/>
      <c r="B520" s="27"/>
      <c r="C520" s="28"/>
      <c r="D520" s="24"/>
      <c r="E520" s="24"/>
      <c r="F520" s="24"/>
      <c r="G520" s="28"/>
      <c r="H520" s="28"/>
      <c r="I520" s="24"/>
      <c r="J520" s="24"/>
      <c r="K520" s="29" t="str">
        <f aca="false">IF($A520="","",IF(OR($C520="Decision",$C520="Conflict"),IF(COUNTIFS($I$2:$I$1001,$A520,$C$2:$C$1001,"Resolved")=0,"Open","Closed"),IF(AND($H520="Unconfirmed",OR($C520="New",$C520="Know")),IF(COUNTIFS($I$2:$I$1001,$A520,$C$2:$C$1001,"Confirmed")=0,"Unconfirmed","Confirmed"),"Logged")))</f>
        <v/>
      </c>
      <c r="L520" s="29" t="str">
        <f aca="false">IF($A520="","",AsOf-$B520)</f>
        <v/>
      </c>
      <c r="M520" s="29" t="str">
        <f aca="false">IF($K520="Open",IF($C520="Conflict","Critical",IF($L520&gt;=DecisionCritical,"Critical",IF($L520&gt;=DecisionWarn,"Warning","On track"))),IF($K520="Unconfirmed",IF($L520&gt;=UnconfirmedWarn,"Warning","On track"),""))</f>
        <v/>
      </c>
      <c r="N520" s="29" t="str">
        <f aca="false">IF($M520="","",IF($M520="Critical",3000,IF($M520="Warning",2000,1000))+$L520+ROW()/100000)</f>
        <v/>
      </c>
      <c r="O520" s="29" t="str">
        <f aca="false">IF($K520="Open",IF($C520="Conflict","decide "&amp;$A520&amp;": &lt;which version stands&gt;","decide "&amp;$A520&amp;": &lt;outcome&gt;"),IF($K520="Unconfirmed","confirm "&amp;$A520,""))</f>
        <v/>
      </c>
    </row>
    <row r="521" customFormat="false" ht="15" hidden="false" customHeight="false" outlineLevel="0" collapsed="false">
      <c r="A521" s="24"/>
      <c r="B521" s="27"/>
      <c r="C521" s="28"/>
      <c r="D521" s="24"/>
      <c r="E521" s="24"/>
      <c r="F521" s="24"/>
      <c r="G521" s="28"/>
      <c r="H521" s="28"/>
      <c r="I521" s="24"/>
      <c r="J521" s="24"/>
      <c r="K521" s="29" t="str">
        <f aca="false">IF($A521="","",IF(OR($C521="Decision",$C521="Conflict"),IF(COUNTIFS($I$2:$I$1001,$A521,$C$2:$C$1001,"Resolved")=0,"Open","Closed"),IF(AND($H521="Unconfirmed",OR($C521="New",$C521="Know")),IF(COUNTIFS($I$2:$I$1001,$A521,$C$2:$C$1001,"Confirmed")=0,"Unconfirmed","Confirmed"),"Logged")))</f>
        <v/>
      </c>
      <c r="L521" s="29" t="str">
        <f aca="false">IF($A521="","",AsOf-$B521)</f>
        <v/>
      </c>
      <c r="M521" s="29" t="str">
        <f aca="false">IF($K521="Open",IF($C521="Conflict","Critical",IF($L521&gt;=DecisionCritical,"Critical",IF($L521&gt;=DecisionWarn,"Warning","On track"))),IF($K521="Unconfirmed",IF($L521&gt;=UnconfirmedWarn,"Warning","On track"),""))</f>
        <v/>
      </c>
      <c r="N521" s="29" t="str">
        <f aca="false">IF($M521="","",IF($M521="Critical",3000,IF($M521="Warning",2000,1000))+$L521+ROW()/100000)</f>
        <v/>
      </c>
      <c r="O521" s="29" t="str">
        <f aca="false">IF($K521="Open",IF($C521="Conflict","decide "&amp;$A521&amp;": &lt;which version stands&gt;","decide "&amp;$A521&amp;": &lt;outcome&gt;"),IF($K521="Unconfirmed","confirm "&amp;$A521,""))</f>
        <v/>
      </c>
    </row>
    <row r="522" customFormat="false" ht="15" hidden="false" customHeight="false" outlineLevel="0" collapsed="false">
      <c r="A522" s="24"/>
      <c r="B522" s="27"/>
      <c r="C522" s="28"/>
      <c r="D522" s="24"/>
      <c r="E522" s="24"/>
      <c r="F522" s="24"/>
      <c r="G522" s="28"/>
      <c r="H522" s="28"/>
      <c r="I522" s="24"/>
      <c r="J522" s="24"/>
      <c r="K522" s="29" t="str">
        <f aca="false">IF($A522="","",IF(OR($C522="Decision",$C522="Conflict"),IF(COUNTIFS($I$2:$I$1001,$A522,$C$2:$C$1001,"Resolved")=0,"Open","Closed"),IF(AND($H522="Unconfirmed",OR($C522="New",$C522="Know")),IF(COUNTIFS($I$2:$I$1001,$A522,$C$2:$C$1001,"Confirmed")=0,"Unconfirmed","Confirmed"),"Logged")))</f>
        <v/>
      </c>
      <c r="L522" s="29" t="str">
        <f aca="false">IF($A522="","",AsOf-$B522)</f>
        <v/>
      </c>
      <c r="M522" s="29" t="str">
        <f aca="false">IF($K522="Open",IF($C522="Conflict","Critical",IF($L522&gt;=DecisionCritical,"Critical",IF($L522&gt;=DecisionWarn,"Warning","On track"))),IF($K522="Unconfirmed",IF($L522&gt;=UnconfirmedWarn,"Warning","On track"),""))</f>
        <v/>
      </c>
      <c r="N522" s="29" t="str">
        <f aca="false">IF($M522="","",IF($M522="Critical",3000,IF($M522="Warning",2000,1000))+$L522+ROW()/100000)</f>
        <v/>
      </c>
      <c r="O522" s="29" t="str">
        <f aca="false">IF($K522="Open",IF($C522="Conflict","decide "&amp;$A522&amp;": &lt;which version stands&gt;","decide "&amp;$A522&amp;": &lt;outcome&gt;"),IF($K522="Unconfirmed","confirm "&amp;$A522,""))</f>
        <v/>
      </c>
    </row>
    <row r="523" customFormat="false" ht="15" hidden="false" customHeight="false" outlineLevel="0" collapsed="false">
      <c r="A523" s="24"/>
      <c r="B523" s="27"/>
      <c r="C523" s="28"/>
      <c r="D523" s="24"/>
      <c r="E523" s="24"/>
      <c r="F523" s="24"/>
      <c r="G523" s="28"/>
      <c r="H523" s="28"/>
      <c r="I523" s="24"/>
      <c r="J523" s="24"/>
      <c r="K523" s="29" t="str">
        <f aca="false">IF($A523="","",IF(OR($C523="Decision",$C523="Conflict"),IF(COUNTIFS($I$2:$I$1001,$A523,$C$2:$C$1001,"Resolved")=0,"Open","Closed"),IF(AND($H523="Unconfirmed",OR($C523="New",$C523="Know")),IF(COUNTIFS($I$2:$I$1001,$A523,$C$2:$C$1001,"Confirmed")=0,"Unconfirmed","Confirmed"),"Logged")))</f>
        <v/>
      </c>
      <c r="L523" s="29" t="str">
        <f aca="false">IF($A523="","",AsOf-$B523)</f>
        <v/>
      </c>
      <c r="M523" s="29" t="str">
        <f aca="false">IF($K523="Open",IF($C523="Conflict","Critical",IF($L523&gt;=DecisionCritical,"Critical",IF($L523&gt;=DecisionWarn,"Warning","On track"))),IF($K523="Unconfirmed",IF($L523&gt;=UnconfirmedWarn,"Warning","On track"),""))</f>
        <v/>
      </c>
      <c r="N523" s="29" t="str">
        <f aca="false">IF($M523="","",IF($M523="Critical",3000,IF($M523="Warning",2000,1000))+$L523+ROW()/100000)</f>
        <v/>
      </c>
      <c r="O523" s="29" t="str">
        <f aca="false">IF($K523="Open",IF($C523="Conflict","decide "&amp;$A523&amp;": &lt;which version stands&gt;","decide "&amp;$A523&amp;": &lt;outcome&gt;"),IF($K523="Unconfirmed","confirm "&amp;$A523,""))</f>
        <v/>
      </c>
    </row>
    <row r="524" customFormat="false" ht="15" hidden="false" customHeight="false" outlineLevel="0" collapsed="false">
      <c r="A524" s="24"/>
      <c r="B524" s="27"/>
      <c r="C524" s="28"/>
      <c r="D524" s="24"/>
      <c r="E524" s="24"/>
      <c r="F524" s="24"/>
      <c r="G524" s="28"/>
      <c r="H524" s="28"/>
      <c r="I524" s="24"/>
      <c r="J524" s="24"/>
      <c r="K524" s="29" t="str">
        <f aca="false">IF($A524="","",IF(OR($C524="Decision",$C524="Conflict"),IF(COUNTIFS($I$2:$I$1001,$A524,$C$2:$C$1001,"Resolved")=0,"Open","Closed"),IF(AND($H524="Unconfirmed",OR($C524="New",$C524="Know")),IF(COUNTIFS($I$2:$I$1001,$A524,$C$2:$C$1001,"Confirmed")=0,"Unconfirmed","Confirmed"),"Logged")))</f>
        <v/>
      </c>
      <c r="L524" s="29" t="str">
        <f aca="false">IF($A524="","",AsOf-$B524)</f>
        <v/>
      </c>
      <c r="M524" s="29" t="str">
        <f aca="false">IF($K524="Open",IF($C524="Conflict","Critical",IF($L524&gt;=DecisionCritical,"Critical",IF($L524&gt;=DecisionWarn,"Warning","On track"))),IF($K524="Unconfirmed",IF($L524&gt;=UnconfirmedWarn,"Warning","On track"),""))</f>
        <v/>
      </c>
      <c r="N524" s="29" t="str">
        <f aca="false">IF($M524="","",IF($M524="Critical",3000,IF($M524="Warning",2000,1000))+$L524+ROW()/100000)</f>
        <v/>
      </c>
      <c r="O524" s="29" t="str">
        <f aca="false">IF($K524="Open",IF($C524="Conflict","decide "&amp;$A524&amp;": &lt;which version stands&gt;","decide "&amp;$A524&amp;": &lt;outcome&gt;"),IF($K524="Unconfirmed","confirm "&amp;$A524,""))</f>
        <v/>
      </c>
    </row>
    <row r="525" customFormat="false" ht="15" hidden="false" customHeight="false" outlineLevel="0" collapsed="false">
      <c r="A525" s="24"/>
      <c r="B525" s="27"/>
      <c r="C525" s="28"/>
      <c r="D525" s="24"/>
      <c r="E525" s="24"/>
      <c r="F525" s="24"/>
      <c r="G525" s="28"/>
      <c r="H525" s="28"/>
      <c r="I525" s="24"/>
      <c r="J525" s="24"/>
      <c r="K525" s="29" t="str">
        <f aca="false">IF($A525="","",IF(OR($C525="Decision",$C525="Conflict"),IF(COUNTIFS($I$2:$I$1001,$A525,$C$2:$C$1001,"Resolved")=0,"Open","Closed"),IF(AND($H525="Unconfirmed",OR($C525="New",$C525="Know")),IF(COUNTIFS($I$2:$I$1001,$A525,$C$2:$C$1001,"Confirmed")=0,"Unconfirmed","Confirmed"),"Logged")))</f>
        <v/>
      </c>
      <c r="L525" s="29" t="str">
        <f aca="false">IF($A525="","",AsOf-$B525)</f>
        <v/>
      </c>
      <c r="M525" s="29" t="str">
        <f aca="false">IF($K525="Open",IF($C525="Conflict","Critical",IF($L525&gt;=DecisionCritical,"Critical",IF($L525&gt;=DecisionWarn,"Warning","On track"))),IF($K525="Unconfirmed",IF($L525&gt;=UnconfirmedWarn,"Warning","On track"),""))</f>
        <v/>
      </c>
      <c r="N525" s="29" t="str">
        <f aca="false">IF($M525="","",IF($M525="Critical",3000,IF($M525="Warning",2000,1000))+$L525+ROW()/100000)</f>
        <v/>
      </c>
      <c r="O525" s="29" t="str">
        <f aca="false">IF($K525="Open",IF($C525="Conflict","decide "&amp;$A525&amp;": &lt;which version stands&gt;","decide "&amp;$A525&amp;": &lt;outcome&gt;"),IF($K525="Unconfirmed","confirm "&amp;$A525,""))</f>
        <v/>
      </c>
    </row>
    <row r="526" customFormat="false" ht="15" hidden="false" customHeight="false" outlineLevel="0" collapsed="false">
      <c r="A526" s="24"/>
      <c r="B526" s="27"/>
      <c r="C526" s="28"/>
      <c r="D526" s="24"/>
      <c r="E526" s="24"/>
      <c r="F526" s="24"/>
      <c r="G526" s="28"/>
      <c r="H526" s="28"/>
      <c r="I526" s="24"/>
      <c r="J526" s="24"/>
      <c r="K526" s="29" t="str">
        <f aca="false">IF($A526="","",IF(OR($C526="Decision",$C526="Conflict"),IF(COUNTIFS($I$2:$I$1001,$A526,$C$2:$C$1001,"Resolved")=0,"Open","Closed"),IF(AND($H526="Unconfirmed",OR($C526="New",$C526="Know")),IF(COUNTIFS($I$2:$I$1001,$A526,$C$2:$C$1001,"Confirmed")=0,"Unconfirmed","Confirmed"),"Logged")))</f>
        <v/>
      </c>
      <c r="L526" s="29" t="str">
        <f aca="false">IF($A526="","",AsOf-$B526)</f>
        <v/>
      </c>
      <c r="M526" s="29" t="str">
        <f aca="false">IF($K526="Open",IF($C526="Conflict","Critical",IF($L526&gt;=DecisionCritical,"Critical",IF($L526&gt;=DecisionWarn,"Warning","On track"))),IF($K526="Unconfirmed",IF($L526&gt;=UnconfirmedWarn,"Warning","On track"),""))</f>
        <v/>
      </c>
      <c r="N526" s="29" t="str">
        <f aca="false">IF($M526="","",IF($M526="Critical",3000,IF($M526="Warning",2000,1000))+$L526+ROW()/100000)</f>
        <v/>
      </c>
      <c r="O526" s="29" t="str">
        <f aca="false">IF($K526="Open",IF($C526="Conflict","decide "&amp;$A526&amp;": &lt;which version stands&gt;","decide "&amp;$A526&amp;": &lt;outcome&gt;"),IF($K526="Unconfirmed","confirm "&amp;$A526,""))</f>
        <v/>
      </c>
    </row>
    <row r="527" customFormat="false" ht="15" hidden="false" customHeight="false" outlineLevel="0" collapsed="false">
      <c r="A527" s="24"/>
      <c r="B527" s="27"/>
      <c r="C527" s="28"/>
      <c r="D527" s="24"/>
      <c r="E527" s="24"/>
      <c r="F527" s="24"/>
      <c r="G527" s="28"/>
      <c r="H527" s="28"/>
      <c r="I527" s="24"/>
      <c r="J527" s="24"/>
      <c r="K527" s="29" t="str">
        <f aca="false">IF($A527="","",IF(OR($C527="Decision",$C527="Conflict"),IF(COUNTIFS($I$2:$I$1001,$A527,$C$2:$C$1001,"Resolved")=0,"Open","Closed"),IF(AND($H527="Unconfirmed",OR($C527="New",$C527="Know")),IF(COUNTIFS($I$2:$I$1001,$A527,$C$2:$C$1001,"Confirmed")=0,"Unconfirmed","Confirmed"),"Logged")))</f>
        <v/>
      </c>
      <c r="L527" s="29" t="str">
        <f aca="false">IF($A527="","",AsOf-$B527)</f>
        <v/>
      </c>
      <c r="M527" s="29" t="str">
        <f aca="false">IF($K527="Open",IF($C527="Conflict","Critical",IF($L527&gt;=DecisionCritical,"Critical",IF($L527&gt;=DecisionWarn,"Warning","On track"))),IF($K527="Unconfirmed",IF($L527&gt;=UnconfirmedWarn,"Warning","On track"),""))</f>
        <v/>
      </c>
      <c r="N527" s="29" t="str">
        <f aca="false">IF($M527="","",IF($M527="Critical",3000,IF($M527="Warning",2000,1000))+$L527+ROW()/100000)</f>
        <v/>
      </c>
      <c r="O527" s="29" t="str">
        <f aca="false">IF($K527="Open",IF($C527="Conflict","decide "&amp;$A527&amp;": &lt;which version stands&gt;","decide "&amp;$A527&amp;": &lt;outcome&gt;"),IF($K527="Unconfirmed","confirm "&amp;$A527,""))</f>
        <v/>
      </c>
    </row>
    <row r="528" customFormat="false" ht="15" hidden="false" customHeight="false" outlineLevel="0" collapsed="false">
      <c r="A528" s="24"/>
      <c r="B528" s="27"/>
      <c r="C528" s="28"/>
      <c r="D528" s="24"/>
      <c r="E528" s="24"/>
      <c r="F528" s="24"/>
      <c r="G528" s="28"/>
      <c r="H528" s="28"/>
      <c r="I528" s="24"/>
      <c r="J528" s="24"/>
      <c r="K528" s="29" t="str">
        <f aca="false">IF($A528="","",IF(OR($C528="Decision",$C528="Conflict"),IF(COUNTIFS($I$2:$I$1001,$A528,$C$2:$C$1001,"Resolved")=0,"Open","Closed"),IF(AND($H528="Unconfirmed",OR($C528="New",$C528="Know")),IF(COUNTIFS($I$2:$I$1001,$A528,$C$2:$C$1001,"Confirmed")=0,"Unconfirmed","Confirmed"),"Logged")))</f>
        <v/>
      </c>
      <c r="L528" s="29" t="str">
        <f aca="false">IF($A528="","",AsOf-$B528)</f>
        <v/>
      </c>
      <c r="M528" s="29" t="str">
        <f aca="false">IF($K528="Open",IF($C528="Conflict","Critical",IF($L528&gt;=DecisionCritical,"Critical",IF($L528&gt;=DecisionWarn,"Warning","On track"))),IF($K528="Unconfirmed",IF($L528&gt;=UnconfirmedWarn,"Warning","On track"),""))</f>
        <v/>
      </c>
      <c r="N528" s="29" t="str">
        <f aca="false">IF($M528="","",IF($M528="Critical",3000,IF($M528="Warning",2000,1000))+$L528+ROW()/100000)</f>
        <v/>
      </c>
      <c r="O528" s="29" t="str">
        <f aca="false">IF($K528="Open",IF($C528="Conflict","decide "&amp;$A528&amp;": &lt;which version stands&gt;","decide "&amp;$A528&amp;": &lt;outcome&gt;"),IF($K528="Unconfirmed","confirm "&amp;$A528,""))</f>
        <v/>
      </c>
    </row>
    <row r="529" customFormat="false" ht="15" hidden="false" customHeight="false" outlineLevel="0" collapsed="false">
      <c r="A529" s="24"/>
      <c r="B529" s="27"/>
      <c r="C529" s="28"/>
      <c r="D529" s="24"/>
      <c r="E529" s="24"/>
      <c r="F529" s="24"/>
      <c r="G529" s="28"/>
      <c r="H529" s="28"/>
      <c r="I529" s="24"/>
      <c r="J529" s="24"/>
      <c r="K529" s="29" t="str">
        <f aca="false">IF($A529="","",IF(OR($C529="Decision",$C529="Conflict"),IF(COUNTIFS($I$2:$I$1001,$A529,$C$2:$C$1001,"Resolved")=0,"Open","Closed"),IF(AND($H529="Unconfirmed",OR($C529="New",$C529="Know")),IF(COUNTIFS($I$2:$I$1001,$A529,$C$2:$C$1001,"Confirmed")=0,"Unconfirmed","Confirmed"),"Logged")))</f>
        <v/>
      </c>
      <c r="L529" s="29" t="str">
        <f aca="false">IF($A529="","",AsOf-$B529)</f>
        <v/>
      </c>
      <c r="M529" s="29" t="str">
        <f aca="false">IF($K529="Open",IF($C529="Conflict","Critical",IF($L529&gt;=DecisionCritical,"Critical",IF($L529&gt;=DecisionWarn,"Warning","On track"))),IF($K529="Unconfirmed",IF($L529&gt;=UnconfirmedWarn,"Warning","On track"),""))</f>
        <v/>
      </c>
      <c r="N529" s="29" t="str">
        <f aca="false">IF($M529="","",IF($M529="Critical",3000,IF($M529="Warning",2000,1000))+$L529+ROW()/100000)</f>
        <v/>
      </c>
      <c r="O529" s="29" t="str">
        <f aca="false">IF($K529="Open",IF($C529="Conflict","decide "&amp;$A529&amp;": &lt;which version stands&gt;","decide "&amp;$A529&amp;": &lt;outcome&gt;"),IF($K529="Unconfirmed","confirm "&amp;$A529,""))</f>
        <v/>
      </c>
    </row>
    <row r="530" customFormat="false" ht="15" hidden="false" customHeight="false" outlineLevel="0" collapsed="false">
      <c r="A530" s="24"/>
      <c r="B530" s="27"/>
      <c r="C530" s="28"/>
      <c r="D530" s="24"/>
      <c r="E530" s="24"/>
      <c r="F530" s="24"/>
      <c r="G530" s="28"/>
      <c r="H530" s="28"/>
      <c r="I530" s="24"/>
      <c r="J530" s="24"/>
      <c r="K530" s="29" t="str">
        <f aca="false">IF($A530="","",IF(OR($C530="Decision",$C530="Conflict"),IF(COUNTIFS($I$2:$I$1001,$A530,$C$2:$C$1001,"Resolved")=0,"Open","Closed"),IF(AND($H530="Unconfirmed",OR($C530="New",$C530="Know")),IF(COUNTIFS($I$2:$I$1001,$A530,$C$2:$C$1001,"Confirmed")=0,"Unconfirmed","Confirmed"),"Logged")))</f>
        <v/>
      </c>
      <c r="L530" s="29" t="str">
        <f aca="false">IF($A530="","",AsOf-$B530)</f>
        <v/>
      </c>
      <c r="M530" s="29" t="str">
        <f aca="false">IF($K530="Open",IF($C530="Conflict","Critical",IF($L530&gt;=DecisionCritical,"Critical",IF($L530&gt;=DecisionWarn,"Warning","On track"))),IF($K530="Unconfirmed",IF($L530&gt;=UnconfirmedWarn,"Warning","On track"),""))</f>
        <v/>
      </c>
      <c r="N530" s="29" t="str">
        <f aca="false">IF($M530="","",IF($M530="Critical",3000,IF($M530="Warning",2000,1000))+$L530+ROW()/100000)</f>
        <v/>
      </c>
      <c r="O530" s="29" t="str">
        <f aca="false">IF($K530="Open",IF($C530="Conflict","decide "&amp;$A530&amp;": &lt;which version stands&gt;","decide "&amp;$A530&amp;": &lt;outcome&gt;"),IF($K530="Unconfirmed","confirm "&amp;$A530,""))</f>
        <v/>
      </c>
    </row>
    <row r="531" customFormat="false" ht="15" hidden="false" customHeight="false" outlineLevel="0" collapsed="false">
      <c r="A531" s="24"/>
      <c r="B531" s="27"/>
      <c r="C531" s="28"/>
      <c r="D531" s="24"/>
      <c r="E531" s="24"/>
      <c r="F531" s="24"/>
      <c r="G531" s="28"/>
      <c r="H531" s="28"/>
      <c r="I531" s="24"/>
      <c r="J531" s="24"/>
      <c r="K531" s="29" t="str">
        <f aca="false">IF($A531="","",IF(OR($C531="Decision",$C531="Conflict"),IF(COUNTIFS($I$2:$I$1001,$A531,$C$2:$C$1001,"Resolved")=0,"Open","Closed"),IF(AND($H531="Unconfirmed",OR($C531="New",$C531="Know")),IF(COUNTIFS($I$2:$I$1001,$A531,$C$2:$C$1001,"Confirmed")=0,"Unconfirmed","Confirmed"),"Logged")))</f>
        <v/>
      </c>
      <c r="L531" s="29" t="str">
        <f aca="false">IF($A531="","",AsOf-$B531)</f>
        <v/>
      </c>
      <c r="M531" s="29" t="str">
        <f aca="false">IF($K531="Open",IF($C531="Conflict","Critical",IF($L531&gt;=DecisionCritical,"Critical",IF($L531&gt;=DecisionWarn,"Warning","On track"))),IF($K531="Unconfirmed",IF($L531&gt;=UnconfirmedWarn,"Warning","On track"),""))</f>
        <v/>
      </c>
      <c r="N531" s="29" t="str">
        <f aca="false">IF($M531="","",IF($M531="Critical",3000,IF($M531="Warning",2000,1000))+$L531+ROW()/100000)</f>
        <v/>
      </c>
      <c r="O531" s="29" t="str">
        <f aca="false">IF($K531="Open",IF($C531="Conflict","decide "&amp;$A531&amp;": &lt;which version stands&gt;","decide "&amp;$A531&amp;": &lt;outcome&gt;"),IF($K531="Unconfirmed","confirm "&amp;$A531,""))</f>
        <v/>
      </c>
    </row>
    <row r="532" customFormat="false" ht="15" hidden="false" customHeight="false" outlineLevel="0" collapsed="false">
      <c r="A532" s="24"/>
      <c r="B532" s="27"/>
      <c r="C532" s="28"/>
      <c r="D532" s="24"/>
      <c r="E532" s="24"/>
      <c r="F532" s="24"/>
      <c r="G532" s="28"/>
      <c r="H532" s="28"/>
      <c r="I532" s="24"/>
      <c r="J532" s="24"/>
      <c r="K532" s="29" t="str">
        <f aca="false">IF($A532="","",IF(OR($C532="Decision",$C532="Conflict"),IF(COUNTIFS($I$2:$I$1001,$A532,$C$2:$C$1001,"Resolved")=0,"Open","Closed"),IF(AND($H532="Unconfirmed",OR($C532="New",$C532="Know")),IF(COUNTIFS($I$2:$I$1001,$A532,$C$2:$C$1001,"Confirmed")=0,"Unconfirmed","Confirmed"),"Logged")))</f>
        <v/>
      </c>
      <c r="L532" s="29" t="str">
        <f aca="false">IF($A532="","",AsOf-$B532)</f>
        <v/>
      </c>
      <c r="M532" s="29" t="str">
        <f aca="false">IF($K532="Open",IF($C532="Conflict","Critical",IF($L532&gt;=DecisionCritical,"Critical",IF($L532&gt;=DecisionWarn,"Warning","On track"))),IF($K532="Unconfirmed",IF($L532&gt;=UnconfirmedWarn,"Warning","On track"),""))</f>
        <v/>
      </c>
      <c r="N532" s="29" t="str">
        <f aca="false">IF($M532="","",IF($M532="Critical",3000,IF($M532="Warning",2000,1000))+$L532+ROW()/100000)</f>
        <v/>
      </c>
      <c r="O532" s="29" t="str">
        <f aca="false">IF($K532="Open",IF($C532="Conflict","decide "&amp;$A532&amp;": &lt;which version stands&gt;","decide "&amp;$A532&amp;": &lt;outcome&gt;"),IF($K532="Unconfirmed","confirm "&amp;$A532,""))</f>
        <v/>
      </c>
    </row>
    <row r="533" customFormat="false" ht="15" hidden="false" customHeight="false" outlineLevel="0" collapsed="false">
      <c r="A533" s="24"/>
      <c r="B533" s="27"/>
      <c r="C533" s="28"/>
      <c r="D533" s="24"/>
      <c r="E533" s="24"/>
      <c r="F533" s="24"/>
      <c r="G533" s="28"/>
      <c r="H533" s="28"/>
      <c r="I533" s="24"/>
      <c r="J533" s="24"/>
      <c r="K533" s="29" t="str">
        <f aca="false">IF($A533="","",IF(OR($C533="Decision",$C533="Conflict"),IF(COUNTIFS($I$2:$I$1001,$A533,$C$2:$C$1001,"Resolved")=0,"Open","Closed"),IF(AND($H533="Unconfirmed",OR($C533="New",$C533="Know")),IF(COUNTIFS($I$2:$I$1001,$A533,$C$2:$C$1001,"Confirmed")=0,"Unconfirmed","Confirmed"),"Logged")))</f>
        <v/>
      </c>
      <c r="L533" s="29" t="str">
        <f aca="false">IF($A533="","",AsOf-$B533)</f>
        <v/>
      </c>
      <c r="M533" s="29" t="str">
        <f aca="false">IF($K533="Open",IF($C533="Conflict","Critical",IF($L533&gt;=DecisionCritical,"Critical",IF($L533&gt;=DecisionWarn,"Warning","On track"))),IF($K533="Unconfirmed",IF($L533&gt;=UnconfirmedWarn,"Warning","On track"),""))</f>
        <v/>
      </c>
      <c r="N533" s="29" t="str">
        <f aca="false">IF($M533="","",IF($M533="Critical",3000,IF($M533="Warning",2000,1000))+$L533+ROW()/100000)</f>
        <v/>
      </c>
      <c r="O533" s="29" t="str">
        <f aca="false">IF($K533="Open",IF($C533="Conflict","decide "&amp;$A533&amp;": &lt;which version stands&gt;","decide "&amp;$A533&amp;": &lt;outcome&gt;"),IF($K533="Unconfirmed","confirm "&amp;$A533,""))</f>
        <v/>
      </c>
    </row>
    <row r="534" customFormat="false" ht="15" hidden="false" customHeight="false" outlineLevel="0" collapsed="false">
      <c r="A534" s="24"/>
      <c r="B534" s="27"/>
      <c r="C534" s="28"/>
      <c r="D534" s="24"/>
      <c r="E534" s="24"/>
      <c r="F534" s="24"/>
      <c r="G534" s="28"/>
      <c r="H534" s="28"/>
      <c r="I534" s="24"/>
      <c r="J534" s="24"/>
      <c r="K534" s="29" t="str">
        <f aca="false">IF($A534="","",IF(OR($C534="Decision",$C534="Conflict"),IF(COUNTIFS($I$2:$I$1001,$A534,$C$2:$C$1001,"Resolved")=0,"Open","Closed"),IF(AND($H534="Unconfirmed",OR($C534="New",$C534="Know")),IF(COUNTIFS($I$2:$I$1001,$A534,$C$2:$C$1001,"Confirmed")=0,"Unconfirmed","Confirmed"),"Logged")))</f>
        <v/>
      </c>
      <c r="L534" s="29" t="str">
        <f aca="false">IF($A534="","",AsOf-$B534)</f>
        <v/>
      </c>
      <c r="M534" s="29" t="str">
        <f aca="false">IF($K534="Open",IF($C534="Conflict","Critical",IF($L534&gt;=DecisionCritical,"Critical",IF($L534&gt;=DecisionWarn,"Warning","On track"))),IF($K534="Unconfirmed",IF($L534&gt;=UnconfirmedWarn,"Warning","On track"),""))</f>
        <v/>
      </c>
      <c r="N534" s="29" t="str">
        <f aca="false">IF($M534="","",IF($M534="Critical",3000,IF($M534="Warning",2000,1000))+$L534+ROW()/100000)</f>
        <v/>
      </c>
      <c r="O534" s="29" t="str">
        <f aca="false">IF($K534="Open",IF($C534="Conflict","decide "&amp;$A534&amp;": &lt;which version stands&gt;","decide "&amp;$A534&amp;": &lt;outcome&gt;"),IF($K534="Unconfirmed","confirm "&amp;$A534,""))</f>
        <v/>
      </c>
    </row>
    <row r="535" customFormat="false" ht="15" hidden="false" customHeight="false" outlineLevel="0" collapsed="false">
      <c r="A535" s="24"/>
      <c r="B535" s="27"/>
      <c r="C535" s="28"/>
      <c r="D535" s="24"/>
      <c r="E535" s="24"/>
      <c r="F535" s="24"/>
      <c r="G535" s="28"/>
      <c r="H535" s="28"/>
      <c r="I535" s="24"/>
      <c r="J535" s="24"/>
      <c r="K535" s="29" t="str">
        <f aca="false">IF($A535="","",IF(OR($C535="Decision",$C535="Conflict"),IF(COUNTIFS($I$2:$I$1001,$A535,$C$2:$C$1001,"Resolved")=0,"Open","Closed"),IF(AND($H535="Unconfirmed",OR($C535="New",$C535="Know")),IF(COUNTIFS($I$2:$I$1001,$A535,$C$2:$C$1001,"Confirmed")=0,"Unconfirmed","Confirmed"),"Logged")))</f>
        <v/>
      </c>
      <c r="L535" s="29" t="str">
        <f aca="false">IF($A535="","",AsOf-$B535)</f>
        <v/>
      </c>
      <c r="M535" s="29" t="str">
        <f aca="false">IF($K535="Open",IF($C535="Conflict","Critical",IF($L535&gt;=DecisionCritical,"Critical",IF($L535&gt;=DecisionWarn,"Warning","On track"))),IF($K535="Unconfirmed",IF($L535&gt;=UnconfirmedWarn,"Warning","On track"),""))</f>
        <v/>
      </c>
      <c r="N535" s="29" t="str">
        <f aca="false">IF($M535="","",IF($M535="Critical",3000,IF($M535="Warning",2000,1000))+$L535+ROW()/100000)</f>
        <v/>
      </c>
      <c r="O535" s="29" t="str">
        <f aca="false">IF($K535="Open",IF($C535="Conflict","decide "&amp;$A535&amp;": &lt;which version stands&gt;","decide "&amp;$A535&amp;": &lt;outcome&gt;"),IF($K535="Unconfirmed","confirm "&amp;$A535,""))</f>
        <v/>
      </c>
    </row>
    <row r="536" customFormat="false" ht="15" hidden="false" customHeight="false" outlineLevel="0" collapsed="false">
      <c r="A536" s="24"/>
      <c r="B536" s="27"/>
      <c r="C536" s="28"/>
      <c r="D536" s="24"/>
      <c r="E536" s="24"/>
      <c r="F536" s="24"/>
      <c r="G536" s="28"/>
      <c r="H536" s="28"/>
      <c r="I536" s="24"/>
      <c r="J536" s="24"/>
      <c r="K536" s="29" t="str">
        <f aca="false">IF($A536="","",IF(OR($C536="Decision",$C536="Conflict"),IF(COUNTIFS($I$2:$I$1001,$A536,$C$2:$C$1001,"Resolved")=0,"Open","Closed"),IF(AND($H536="Unconfirmed",OR($C536="New",$C536="Know")),IF(COUNTIFS($I$2:$I$1001,$A536,$C$2:$C$1001,"Confirmed")=0,"Unconfirmed","Confirmed"),"Logged")))</f>
        <v/>
      </c>
      <c r="L536" s="29" t="str">
        <f aca="false">IF($A536="","",AsOf-$B536)</f>
        <v/>
      </c>
      <c r="M536" s="29" t="str">
        <f aca="false">IF($K536="Open",IF($C536="Conflict","Critical",IF($L536&gt;=DecisionCritical,"Critical",IF($L536&gt;=DecisionWarn,"Warning","On track"))),IF($K536="Unconfirmed",IF($L536&gt;=UnconfirmedWarn,"Warning","On track"),""))</f>
        <v/>
      </c>
      <c r="N536" s="29" t="str">
        <f aca="false">IF($M536="","",IF($M536="Critical",3000,IF($M536="Warning",2000,1000))+$L536+ROW()/100000)</f>
        <v/>
      </c>
      <c r="O536" s="29" t="str">
        <f aca="false">IF($K536="Open",IF($C536="Conflict","decide "&amp;$A536&amp;": &lt;which version stands&gt;","decide "&amp;$A536&amp;": &lt;outcome&gt;"),IF($K536="Unconfirmed","confirm "&amp;$A536,""))</f>
        <v/>
      </c>
    </row>
    <row r="537" customFormat="false" ht="15" hidden="false" customHeight="false" outlineLevel="0" collapsed="false">
      <c r="A537" s="24"/>
      <c r="B537" s="27"/>
      <c r="C537" s="28"/>
      <c r="D537" s="24"/>
      <c r="E537" s="24"/>
      <c r="F537" s="24"/>
      <c r="G537" s="28"/>
      <c r="H537" s="28"/>
      <c r="I537" s="24"/>
      <c r="J537" s="24"/>
      <c r="K537" s="29" t="str">
        <f aca="false">IF($A537="","",IF(OR($C537="Decision",$C537="Conflict"),IF(COUNTIFS($I$2:$I$1001,$A537,$C$2:$C$1001,"Resolved")=0,"Open","Closed"),IF(AND($H537="Unconfirmed",OR($C537="New",$C537="Know")),IF(COUNTIFS($I$2:$I$1001,$A537,$C$2:$C$1001,"Confirmed")=0,"Unconfirmed","Confirmed"),"Logged")))</f>
        <v/>
      </c>
      <c r="L537" s="29" t="str">
        <f aca="false">IF($A537="","",AsOf-$B537)</f>
        <v/>
      </c>
      <c r="M537" s="29" t="str">
        <f aca="false">IF($K537="Open",IF($C537="Conflict","Critical",IF($L537&gt;=DecisionCritical,"Critical",IF($L537&gt;=DecisionWarn,"Warning","On track"))),IF($K537="Unconfirmed",IF($L537&gt;=UnconfirmedWarn,"Warning","On track"),""))</f>
        <v/>
      </c>
      <c r="N537" s="29" t="str">
        <f aca="false">IF($M537="","",IF($M537="Critical",3000,IF($M537="Warning",2000,1000))+$L537+ROW()/100000)</f>
        <v/>
      </c>
      <c r="O537" s="29" t="str">
        <f aca="false">IF($K537="Open",IF($C537="Conflict","decide "&amp;$A537&amp;": &lt;which version stands&gt;","decide "&amp;$A537&amp;": &lt;outcome&gt;"),IF($K537="Unconfirmed","confirm "&amp;$A537,""))</f>
        <v/>
      </c>
    </row>
    <row r="538" customFormat="false" ht="15" hidden="false" customHeight="false" outlineLevel="0" collapsed="false">
      <c r="A538" s="24"/>
      <c r="B538" s="27"/>
      <c r="C538" s="28"/>
      <c r="D538" s="24"/>
      <c r="E538" s="24"/>
      <c r="F538" s="24"/>
      <c r="G538" s="28"/>
      <c r="H538" s="28"/>
      <c r="I538" s="24"/>
      <c r="J538" s="24"/>
      <c r="K538" s="29" t="str">
        <f aca="false">IF($A538="","",IF(OR($C538="Decision",$C538="Conflict"),IF(COUNTIFS($I$2:$I$1001,$A538,$C$2:$C$1001,"Resolved")=0,"Open","Closed"),IF(AND($H538="Unconfirmed",OR($C538="New",$C538="Know")),IF(COUNTIFS($I$2:$I$1001,$A538,$C$2:$C$1001,"Confirmed")=0,"Unconfirmed","Confirmed"),"Logged")))</f>
        <v/>
      </c>
      <c r="L538" s="29" t="str">
        <f aca="false">IF($A538="","",AsOf-$B538)</f>
        <v/>
      </c>
      <c r="M538" s="29" t="str">
        <f aca="false">IF($K538="Open",IF($C538="Conflict","Critical",IF($L538&gt;=DecisionCritical,"Critical",IF($L538&gt;=DecisionWarn,"Warning","On track"))),IF($K538="Unconfirmed",IF($L538&gt;=UnconfirmedWarn,"Warning","On track"),""))</f>
        <v/>
      </c>
      <c r="N538" s="29" t="str">
        <f aca="false">IF($M538="","",IF($M538="Critical",3000,IF($M538="Warning",2000,1000))+$L538+ROW()/100000)</f>
        <v/>
      </c>
      <c r="O538" s="29" t="str">
        <f aca="false">IF($K538="Open",IF($C538="Conflict","decide "&amp;$A538&amp;": &lt;which version stands&gt;","decide "&amp;$A538&amp;": &lt;outcome&gt;"),IF($K538="Unconfirmed","confirm "&amp;$A538,""))</f>
        <v/>
      </c>
    </row>
    <row r="539" customFormat="false" ht="15" hidden="false" customHeight="false" outlineLevel="0" collapsed="false">
      <c r="A539" s="24"/>
      <c r="B539" s="27"/>
      <c r="C539" s="28"/>
      <c r="D539" s="24"/>
      <c r="E539" s="24"/>
      <c r="F539" s="24"/>
      <c r="G539" s="28"/>
      <c r="H539" s="28"/>
      <c r="I539" s="24"/>
      <c r="J539" s="24"/>
      <c r="K539" s="29" t="str">
        <f aca="false">IF($A539="","",IF(OR($C539="Decision",$C539="Conflict"),IF(COUNTIFS($I$2:$I$1001,$A539,$C$2:$C$1001,"Resolved")=0,"Open","Closed"),IF(AND($H539="Unconfirmed",OR($C539="New",$C539="Know")),IF(COUNTIFS($I$2:$I$1001,$A539,$C$2:$C$1001,"Confirmed")=0,"Unconfirmed","Confirmed"),"Logged")))</f>
        <v/>
      </c>
      <c r="L539" s="29" t="str">
        <f aca="false">IF($A539="","",AsOf-$B539)</f>
        <v/>
      </c>
      <c r="M539" s="29" t="str">
        <f aca="false">IF($K539="Open",IF($C539="Conflict","Critical",IF($L539&gt;=DecisionCritical,"Critical",IF($L539&gt;=DecisionWarn,"Warning","On track"))),IF($K539="Unconfirmed",IF($L539&gt;=UnconfirmedWarn,"Warning","On track"),""))</f>
        <v/>
      </c>
      <c r="N539" s="29" t="str">
        <f aca="false">IF($M539="","",IF($M539="Critical",3000,IF($M539="Warning",2000,1000))+$L539+ROW()/100000)</f>
        <v/>
      </c>
      <c r="O539" s="29" t="str">
        <f aca="false">IF($K539="Open",IF($C539="Conflict","decide "&amp;$A539&amp;": &lt;which version stands&gt;","decide "&amp;$A539&amp;": &lt;outcome&gt;"),IF($K539="Unconfirmed","confirm "&amp;$A539,""))</f>
        <v/>
      </c>
    </row>
    <row r="540" customFormat="false" ht="15" hidden="false" customHeight="false" outlineLevel="0" collapsed="false">
      <c r="A540" s="24"/>
      <c r="B540" s="27"/>
      <c r="C540" s="28"/>
      <c r="D540" s="24"/>
      <c r="E540" s="24"/>
      <c r="F540" s="24"/>
      <c r="G540" s="28"/>
      <c r="H540" s="28"/>
      <c r="I540" s="24"/>
      <c r="J540" s="24"/>
      <c r="K540" s="29" t="str">
        <f aca="false">IF($A540="","",IF(OR($C540="Decision",$C540="Conflict"),IF(COUNTIFS($I$2:$I$1001,$A540,$C$2:$C$1001,"Resolved")=0,"Open","Closed"),IF(AND($H540="Unconfirmed",OR($C540="New",$C540="Know")),IF(COUNTIFS($I$2:$I$1001,$A540,$C$2:$C$1001,"Confirmed")=0,"Unconfirmed","Confirmed"),"Logged")))</f>
        <v/>
      </c>
      <c r="L540" s="29" t="str">
        <f aca="false">IF($A540="","",AsOf-$B540)</f>
        <v/>
      </c>
      <c r="M540" s="29" t="str">
        <f aca="false">IF($K540="Open",IF($C540="Conflict","Critical",IF($L540&gt;=DecisionCritical,"Critical",IF($L540&gt;=DecisionWarn,"Warning","On track"))),IF($K540="Unconfirmed",IF($L540&gt;=UnconfirmedWarn,"Warning","On track"),""))</f>
        <v/>
      </c>
      <c r="N540" s="29" t="str">
        <f aca="false">IF($M540="","",IF($M540="Critical",3000,IF($M540="Warning",2000,1000))+$L540+ROW()/100000)</f>
        <v/>
      </c>
      <c r="O540" s="29" t="str">
        <f aca="false">IF($K540="Open",IF($C540="Conflict","decide "&amp;$A540&amp;": &lt;which version stands&gt;","decide "&amp;$A540&amp;": &lt;outcome&gt;"),IF($K540="Unconfirmed","confirm "&amp;$A540,""))</f>
        <v/>
      </c>
    </row>
    <row r="541" customFormat="false" ht="15" hidden="false" customHeight="false" outlineLevel="0" collapsed="false">
      <c r="A541" s="24"/>
      <c r="B541" s="27"/>
      <c r="C541" s="28"/>
      <c r="D541" s="24"/>
      <c r="E541" s="24"/>
      <c r="F541" s="24"/>
      <c r="G541" s="28"/>
      <c r="H541" s="28"/>
      <c r="I541" s="24"/>
      <c r="J541" s="24"/>
      <c r="K541" s="29" t="str">
        <f aca="false">IF($A541="","",IF(OR($C541="Decision",$C541="Conflict"),IF(COUNTIFS($I$2:$I$1001,$A541,$C$2:$C$1001,"Resolved")=0,"Open","Closed"),IF(AND($H541="Unconfirmed",OR($C541="New",$C541="Know")),IF(COUNTIFS($I$2:$I$1001,$A541,$C$2:$C$1001,"Confirmed")=0,"Unconfirmed","Confirmed"),"Logged")))</f>
        <v/>
      </c>
      <c r="L541" s="29" t="str">
        <f aca="false">IF($A541="","",AsOf-$B541)</f>
        <v/>
      </c>
      <c r="M541" s="29" t="str">
        <f aca="false">IF($K541="Open",IF($C541="Conflict","Critical",IF($L541&gt;=DecisionCritical,"Critical",IF($L541&gt;=DecisionWarn,"Warning","On track"))),IF($K541="Unconfirmed",IF($L541&gt;=UnconfirmedWarn,"Warning","On track"),""))</f>
        <v/>
      </c>
      <c r="N541" s="29" t="str">
        <f aca="false">IF($M541="","",IF($M541="Critical",3000,IF($M541="Warning",2000,1000))+$L541+ROW()/100000)</f>
        <v/>
      </c>
      <c r="O541" s="29" t="str">
        <f aca="false">IF($K541="Open",IF($C541="Conflict","decide "&amp;$A541&amp;": &lt;which version stands&gt;","decide "&amp;$A541&amp;": &lt;outcome&gt;"),IF($K541="Unconfirmed","confirm "&amp;$A541,""))</f>
        <v/>
      </c>
    </row>
    <row r="542" customFormat="false" ht="15" hidden="false" customHeight="false" outlineLevel="0" collapsed="false">
      <c r="A542" s="24"/>
      <c r="B542" s="27"/>
      <c r="C542" s="28"/>
      <c r="D542" s="24"/>
      <c r="E542" s="24"/>
      <c r="F542" s="24"/>
      <c r="G542" s="28"/>
      <c r="H542" s="28"/>
      <c r="I542" s="24"/>
      <c r="J542" s="24"/>
      <c r="K542" s="29" t="str">
        <f aca="false">IF($A542="","",IF(OR($C542="Decision",$C542="Conflict"),IF(COUNTIFS($I$2:$I$1001,$A542,$C$2:$C$1001,"Resolved")=0,"Open","Closed"),IF(AND($H542="Unconfirmed",OR($C542="New",$C542="Know")),IF(COUNTIFS($I$2:$I$1001,$A542,$C$2:$C$1001,"Confirmed")=0,"Unconfirmed","Confirmed"),"Logged")))</f>
        <v/>
      </c>
      <c r="L542" s="29" t="str">
        <f aca="false">IF($A542="","",AsOf-$B542)</f>
        <v/>
      </c>
      <c r="M542" s="29" t="str">
        <f aca="false">IF($K542="Open",IF($C542="Conflict","Critical",IF($L542&gt;=DecisionCritical,"Critical",IF($L542&gt;=DecisionWarn,"Warning","On track"))),IF($K542="Unconfirmed",IF($L542&gt;=UnconfirmedWarn,"Warning","On track"),""))</f>
        <v/>
      </c>
      <c r="N542" s="29" t="str">
        <f aca="false">IF($M542="","",IF($M542="Critical",3000,IF($M542="Warning",2000,1000))+$L542+ROW()/100000)</f>
        <v/>
      </c>
      <c r="O542" s="29" t="str">
        <f aca="false">IF($K542="Open",IF($C542="Conflict","decide "&amp;$A542&amp;": &lt;which version stands&gt;","decide "&amp;$A542&amp;": &lt;outcome&gt;"),IF($K542="Unconfirmed","confirm "&amp;$A542,""))</f>
        <v/>
      </c>
    </row>
    <row r="543" customFormat="false" ht="15" hidden="false" customHeight="false" outlineLevel="0" collapsed="false">
      <c r="A543" s="24"/>
      <c r="B543" s="27"/>
      <c r="C543" s="28"/>
      <c r="D543" s="24"/>
      <c r="E543" s="24"/>
      <c r="F543" s="24"/>
      <c r="G543" s="28"/>
      <c r="H543" s="28"/>
      <c r="I543" s="24"/>
      <c r="J543" s="24"/>
      <c r="K543" s="29" t="str">
        <f aca="false">IF($A543="","",IF(OR($C543="Decision",$C543="Conflict"),IF(COUNTIFS($I$2:$I$1001,$A543,$C$2:$C$1001,"Resolved")=0,"Open","Closed"),IF(AND($H543="Unconfirmed",OR($C543="New",$C543="Know")),IF(COUNTIFS($I$2:$I$1001,$A543,$C$2:$C$1001,"Confirmed")=0,"Unconfirmed","Confirmed"),"Logged")))</f>
        <v/>
      </c>
      <c r="L543" s="29" t="str">
        <f aca="false">IF($A543="","",AsOf-$B543)</f>
        <v/>
      </c>
      <c r="M543" s="29" t="str">
        <f aca="false">IF($K543="Open",IF($C543="Conflict","Critical",IF($L543&gt;=DecisionCritical,"Critical",IF($L543&gt;=DecisionWarn,"Warning","On track"))),IF($K543="Unconfirmed",IF($L543&gt;=UnconfirmedWarn,"Warning","On track"),""))</f>
        <v/>
      </c>
      <c r="N543" s="29" t="str">
        <f aca="false">IF($M543="","",IF($M543="Critical",3000,IF($M543="Warning",2000,1000))+$L543+ROW()/100000)</f>
        <v/>
      </c>
      <c r="O543" s="29" t="str">
        <f aca="false">IF($K543="Open",IF($C543="Conflict","decide "&amp;$A543&amp;": &lt;which version stands&gt;","decide "&amp;$A543&amp;": &lt;outcome&gt;"),IF($K543="Unconfirmed","confirm "&amp;$A543,""))</f>
        <v/>
      </c>
    </row>
    <row r="544" customFormat="false" ht="15" hidden="false" customHeight="false" outlineLevel="0" collapsed="false">
      <c r="A544" s="24"/>
      <c r="B544" s="27"/>
      <c r="C544" s="28"/>
      <c r="D544" s="24"/>
      <c r="E544" s="24"/>
      <c r="F544" s="24"/>
      <c r="G544" s="28"/>
      <c r="H544" s="28"/>
      <c r="I544" s="24"/>
      <c r="J544" s="24"/>
      <c r="K544" s="29" t="str">
        <f aca="false">IF($A544="","",IF(OR($C544="Decision",$C544="Conflict"),IF(COUNTIFS($I$2:$I$1001,$A544,$C$2:$C$1001,"Resolved")=0,"Open","Closed"),IF(AND($H544="Unconfirmed",OR($C544="New",$C544="Know")),IF(COUNTIFS($I$2:$I$1001,$A544,$C$2:$C$1001,"Confirmed")=0,"Unconfirmed","Confirmed"),"Logged")))</f>
        <v/>
      </c>
      <c r="L544" s="29" t="str">
        <f aca="false">IF($A544="","",AsOf-$B544)</f>
        <v/>
      </c>
      <c r="M544" s="29" t="str">
        <f aca="false">IF($K544="Open",IF($C544="Conflict","Critical",IF($L544&gt;=DecisionCritical,"Critical",IF($L544&gt;=DecisionWarn,"Warning","On track"))),IF($K544="Unconfirmed",IF($L544&gt;=UnconfirmedWarn,"Warning","On track"),""))</f>
        <v/>
      </c>
      <c r="N544" s="29" t="str">
        <f aca="false">IF($M544="","",IF($M544="Critical",3000,IF($M544="Warning",2000,1000))+$L544+ROW()/100000)</f>
        <v/>
      </c>
      <c r="O544" s="29" t="str">
        <f aca="false">IF($K544="Open",IF($C544="Conflict","decide "&amp;$A544&amp;": &lt;which version stands&gt;","decide "&amp;$A544&amp;": &lt;outcome&gt;"),IF($K544="Unconfirmed","confirm "&amp;$A544,""))</f>
        <v/>
      </c>
    </row>
    <row r="545" customFormat="false" ht="15" hidden="false" customHeight="false" outlineLevel="0" collapsed="false">
      <c r="A545" s="24"/>
      <c r="B545" s="27"/>
      <c r="C545" s="28"/>
      <c r="D545" s="24"/>
      <c r="E545" s="24"/>
      <c r="F545" s="24"/>
      <c r="G545" s="28"/>
      <c r="H545" s="28"/>
      <c r="I545" s="24"/>
      <c r="J545" s="24"/>
      <c r="K545" s="29" t="str">
        <f aca="false">IF($A545="","",IF(OR($C545="Decision",$C545="Conflict"),IF(COUNTIFS($I$2:$I$1001,$A545,$C$2:$C$1001,"Resolved")=0,"Open","Closed"),IF(AND($H545="Unconfirmed",OR($C545="New",$C545="Know")),IF(COUNTIFS($I$2:$I$1001,$A545,$C$2:$C$1001,"Confirmed")=0,"Unconfirmed","Confirmed"),"Logged")))</f>
        <v/>
      </c>
      <c r="L545" s="29" t="str">
        <f aca="false">IF($A545="","",AsOf-$B545)</f>
        <v/>
      </c>
      <c r="M545" s="29" t="str">
        <f aca="false">IF($K545="Open",IF($C545="Conflict","Critical",IF($L545&gt;=DecisionCritical,"Critical",IF($L545&gt;=DecisionWarn,"Warning","On track"))),IF($K545="Unconfirmed",IF($L545&gt;=UnconfirmedWarn,"Warning","On track"),""))</f>
        <v/>
      </c>
      <c r="N545" s="29" t="str">
        <f aca="false">IF($M545="","",IF($M545="Critical",3000,IF($M545="Warning",2000,1000))+$L545+ROW()/100000)</f>
        <v/>
      </c>
      <c r="O545" s="29" t="str">
        <f aca="false">IF($K545="Open",IF($C545="Conflict","decide "&amp;$A545&amp;": &lt;which version stands&gt;","decide "&amp;$A545&amp;": &lt;outcome&gt;"),IF($K545="Unconfirmed","confirm "&amp;$A545,""))</f>
        <v/>
      </c>
    </row>
    <row r="546" customFormat="false" ht="15" hidden="false" customHeight="false" outlineLevel="0" collapsed="false">
      <c r="A546" s="24"/>
      <c r="B546" s="27"/>
      <c r="C546" s="28"/>
      <c r="D546" s="24"/>
      <c r="E546" s="24"/>
      <c r="F546" s="24"/>
      <c r="G546" s="28"/>
      <c r="H546" s="28"/>
      <c r="I546" s="24"/>
      <c r="J546" s="24"/>
      <c r="K546" s="29" t="str">
        <f aca="false">IF($A546="","",IF(OR($C546="Decision",$C546="Conflict"),IF(COUNTIFS($I$2:$I$1001,$A546,$C$2:$C$1001,"Resolved")=0,"Open","Closed"),IF(AND($H546="Unconfirmed",OR($C546="New",$C546="Know")),IF(COUNTIFS($I$2:$I$1001,$A546,$C$2:$C$1001,"Confirmed")=0,"Unconfirmed","Confirmed"),"Logged")))</f>
        <v/>
      </c>
      <c r="L546" s="29" t="str">
        <f aca="false">IF($A546="","",AsOf-$B546)</f>
        <v/>
      </c>
      <c r="M546" s="29" t="str">
        <f aca="false">IF($K546="Open",IF($C546="Conflict","Critical",IF($L546&gt;=DecisionCritical,"Critical",IF($L546&gt;=DecisionWarn,"Warning","On track"))),IF($K546="Unconfirmed",IF($L546&gt;=UnconfirmedWarn,"Warning","On track"),""))</f>
        <v/>
      </c>
      <c r="N546" s="29" t="str">
        <f aca="false">IF($M546="","",IF($M546="Critical",3000,IF($M546="Warning",2000,1000))+$L546+ROW()/100000)</f>
        <v/>
      </c>
      <c r="O546" s="29" t="str">
        <f aca="false">IF($K546="Open",IF($C546="Conflict","decide "&amp;$A546&amp;": &lt;which version stands&gt;","decide "&amp;$A546&amp;": &lt;outcome&gt;"),IF($K546="Unconfirmed","confirm "&amp;$A546,""))</f>
        <v/>
      </c>
    </row>
    <row r="547" customFormat="false" ht="15" hidden="false" customHeight="false" outlineLevel="0" collapsed="false">
      <c r="A547" s="24"/>
      <c r="B547" s="27"/>
      <c r="C547" s="28"/>
      <c r="D547" s="24"/>
      <c r="E547" s="24"/>
      <c r="F547" s="24"/>
      <c r="G547" s="28"/>
      <c r="H547" s="28"/>
      <c r="I547" s="24"/>
      <c r="J547" s="24"/>
      <c r="K547" s="29" t="str">
        <f aca="false">IF($A547="","",IF(OR($C547="Decision",$C547="Conflict"),IF(COUNTIFS($I$2:$I$1001,$A547,$C$2:$C$1001,"Resolved")=0,"Open","Closed"),IF(AND($H547="Unconfirmed",OR($C547="New",$C547="Know")),IF(COUNTIFS($I$2:$I$1001,$A547,$C$2:$C$1001,"Confirmed")=0,"Unconfirmed","Confirmed"),"Logged")))</f>
        <v/>
      </c>
      <c r="L547" s="29" t="str">
        <f aca="false">IF($A547="","",AsOf-$B547)</f>
        <v/>
      </c>
      <c r="M547" s="29" t="str">
        <f aca="false">IF($K547="Open",IF($C547="Conflict","Critical",IF($L547&gt;=DecisionCritical,"Critical",IF($L547&gt;=DecisionWarn,"Warning","On track"))),IF($K547="Unconfirmed",IF($L547&gt;=UnconfirmedWarn,"Warning","On track"),""))</f>
        <v/>
      </c>
      <c r="N547" s="29" t="str">
        <f aca="false">IF($M547="","",IF($M547="Critical",3000,IF($M547="Warning",2000,1000))+$L547+ROW()/100000)</f>
        <v/>
      </c>
      <c r="O547" s="29" t="str">
        <f aca="false">IF($K547="Open",IF($C547="Conflict","decide "&amp;$A547&amp;": &lt;which version stands&gt;","decide "&amp;$A547&amp;": &lt;outcome&gt;"),IF($K547="Unconfirmed","confirm "&amp;$A547,""))</f>
        <v/>
      </c>
    </row>
    <row r="548" customFormat="false" ht="15" hidden="false" customHeight="false" outlineLevel="0" collapsed="false">
      <c r="A548" s="24"/>
      <c r="B548" s="27"/>
      <c r="C548" s="28"/>
      <c r="D548" s="24"/>
      <c r="E548" s="24"/>
      <c r="F548" s="24"/>
      <c r="G548" s="28"/>
      <c r="H548" s="28"/>
      <c r="I548" s="24"/>
      <c r="J548" s="24"/>
      <c r="K548" s="29" t="str">
        <f aca="false">IF($A548="","",IF(OR($C548="Decision",$C548="Conflict"),IF(COUNTIFS($I$2:$I$1001,$A548,$C$2:$C$1001,"Resolved")=0,"Open","Closed"),IF(AND($H548="Unconfirmed",OR($C548="New",$C548="Know")),IF(COUNTIFS($I$2:$I$1001,$A548,$C$2:$C$1001,"Confirmed")=0,"Unconfirmed","Confirmed"),"Logged")))</f>
        <v/>
      </c>
      <c r="L548" s="29" t="str">
        <f aca="false">IF($A548="","",AsOf-$B548)</f>
        <v/>
      </c>
      <c r="M548" s="29" t="str">
        <f aca="false">IF($K548="Open",IF($C548="Conflict","Critical",IF($L548&gt;=DecisionCritical,"Critical",IF($L548&gt;=DecisionWarn,"Warning","On track"))),IF($K548="Unconfirmed",IF($L548&gt;=UnconfirmedWarn,"Warning","On track"),""))</f>
        <v/>
      </c>
      <c r="N548" s="29" t="str">
        <f aca="false">IF($M548="","",IF($M548="Critical",3000,IF($M548="Warning",2000,1000))+$L548+ROW()/100000)</f>
        <v/>
      </c>
      <c r="O548" s="29" t="str">
        <f aca="false">IF($K548="Open",IF($C548="Conflict","decide "&amp;$A548&amp;": &lt;which version stands&gt;","decide "&amp;$A548&amp;": &lt;outcome&gt;"),IF($K548="Unconfirmed","confirm "&amp;$A548,""))</f>
        <v/>
      </c>
    </row>
    <row r="549" customFormat="false" ht="15" hidden="false" customHeight="false" outlineLevel="0" collapsed="false">
      <c r="A549" s="24"/>
      <c r="B549" s="27"/>
      <c r="C549" s="28"/>
      <c r="D549" s="24"/>
      <c r="E549" s="24"/>
      <c r="F549" s="24"/>
      <c r="G549" s="28"/>
      <c r="H549" s="28"/>
      <c r="I549" s="24"/>
      <c r="J549" s="24"/>
      <c r="K549" s="29" t="str">
        <f aca="false">IF($A549="","",IF(OR($C549="Decision",$C549="Conflict"),IF(COUNTIFS($I$2:$I$1001,$A549,$C$2:$C$1001,"Resolved")=0,"Open","Closed"),IF(AND($H549="Unconfirmed",OR($C549="New",$C549="Know")),IF(COUNTIFS($I$2:$I$1001,$A549,$C$2:$C$1001,"Confirmed")=0,"Unconfirmed","Confirmed"),"Logged")))</f>
        <v/>
      </c>
      <c r="L549" s="29" t="str">
        <f aca="false">IF($A549="","",AsOf-$B549)</f>
        <v/>
      </c>
      <c r="M549" s="29" t="str">
        <f aca="false">IF($K549="Open",IF($C549="Conflict","Critical",IF($L549&gt;=DecisionCritical,"Critical",IF($L549&gt;=DecisionWarn,"Warning","On track"))),IF($K549="Unconfirmed",IF($L549&gt;=UnconfirmedWarn,"Warning","On track"),""))</f>
        <v/>
      </c>
      <c r="N549" s="29" t="str">
        <f aca="false">IF($M549="","",IF($M549="Critical",3000,IF($M549="Warning",2000,1000))+$L549+ROW()/100000)</f>
        <v/>
      </c>
      <c r="O549" s="29" t="str">
        <f aca="false">IF($K549="Open",IF($C549="Conflict","decide "&amp;$A549&amp;": &lt;which version stands&gt;","decide "&amp;$A549&amp;": &lt;outcome&gt;"),IF($K549="Unconfirmed","confirm "&amp;$A549,""))</f>
        <v/>
      </c>
    </row>
    <row r="550" customFormat="false" ht="15" hidden="false" customHeight="false" outlineLevel="0" collapsed="false">
      <c r="A550" s="24"/>
      <c r="B550" s="27"/>
      <c r="C550" s="28"/>
      <c r="D550" s="24"/>
      <c r="E550" s="24"/>
      <c r="F550" s="24"/>
      <c r="G550" s="28"/>
      <c r="H550" s="28"/>
      <c r="I550" s="24"/>
      <c r="J550" s="24"/>
      <c r="K550" s="29" t="str">
        <f aca="false">IF($A550="","",IF(OR($C550="Decision",$C550="Conflict"),IF(COUNTIFS($I$2:$I$1001,$A550,$C$2:$C$1001,"Resolved")=0,"Open","Closed"),IF(AND($H550="Unconfirmed",OR($C550="New",$C550="Know")),IF(COUNTIFS($I$2:$I$1001,$A550,$C$2:$C$1001,"Confirmed")=0,"Unconfirmed","Confirmed"),"Logged")))</f>
        <v/>
      </c>
      <c r="L550" s="29" t="str">
        <f aca="false">IF($A550="","",AsOf-$B550)</f>
        <v/>
      </c>
      <c r="M550" s="29" t="str">
        <f aca="false">IF($K550="Open",IF($C550="Conflict","Critical",IF($L550&gt;=DecisionCritical,"Critical",IF($L550&gt;=DecisionWarn,"Warning","On track"))),IF($K550="Unconfirmed",IF($L550&gt;=UnconfirmedWarn,"Warning","On track"),""))</f>
        <v/>
      </c>
      <c r="N550" s="29" t="str">
        <f aca="false">IF($M550="","",IF($M550="Critical",3000,IF($M550="Warning",2000,1000))+$L550+ROW()/100000)</f>
        <v/>
      </c>
      <c r="O550" s="29" t="str">
        <f aca="false">IF($K550="Open",IF($C550="Conflict","decide "&amp;$A550&amp;": &lt;which version stands&gt;","decide "&amp;$A550&amp;": &lt;outcome&gt;"),IF($K550="Unconfirmed","confirm "&amp;$A550,""))</f>
        <v/>
      </c>
    </row>
    <row r="551" customFormat="false" ht="15" hidden="false" customHeight="false" outlineLevel="0" collapsed="false">
      <c r="A551" s="24"/>
      <c r="B551" s="27"/>
      <c r="C551" s="28"/>
      <c r="D551" s="24"/>
      <c r="E551" s="24"/>
      <c r="F551" s="24"/>
      <c r="G551" s="28"/>
      <c r="H551" s="28"/>
      <c r="I551" s="24"/>
      <c r="J551" s="24"/>
      <c r="K551" s="29" t="str">
        <f aca="false">IF($A551="","",IF(OR($C551="Decision",$C551="Conflict"),IF(COUNTIFS($I$2:$I$1001,$A551,$C$2:$C$1001,"Resolved")=0,"Open","Closed"),IF(AND($H551="Unconfirmed",OR($C551="New",$C551="Know")),IF(COUNTIFS($I$2:$I$1001,$A551,$C$2:$C$1001,"Confirmed")=0,"Unconfirmed","Confirmed"),"Logged")))</f>
        <v/>
      </c>
      <c r="L551" s="29" t="str">
        <f aca="false">IF($A551="","",AsOf-$B551)</f>
        <v/>
      </c>
      <c r="M551" s="29" t="str">
        <f aca="false">IF($K551="Open",IF($C551="Conflict","Critical",IF($L551&gt;=DecisionCritical,"Critical",IF($L551&gt;=DecisionWarn,"Warning","On track"))),IF($K551="Unconfirmed",IF($L551&gt;=UnconfirmedWarn,"Warning","On track"),""))</f>
        <v/>
      </c>
      <c r="N551" s="29" t="str">
        <f aca="false">IF($M551="","",IF($M551="Critical",3000,IF($M551="Warning",2000,1000))+$L551+ROW()/100000)</f>
        <v/>
      </c>
      <c r="O551" s="29" t="str">
        <f aca="false">IF($K551="Open",IF($C551="Conflict","decide "&amp;$A551&amp;": &lt;which version stands&gt;","decide "&amp;$A551&amp;": &lt;outcome&gt;"),IF($K551="Unconfirmed","confirm "&amp;$A551,""))</f>
        <v/>
      </c>
    </row>
    <row r="552" customFormat="false" ht="15" hidden="false" customHeight="false" outlineLevel="0" collapsed="false">
      <c r="A552" s="24"/>
      <c r="B552" s="27"/>
      <c r="C552" s="28"/>
      <c r="D552" s="24"/>
      <c r="E552" s="24"/>
      <c r="F552" s="24"/>
      <c r="G552" s="28"/>
      <c r="H552" s="28"/>
      <c r="I552" s="24"/>
      <c r="J552" s="24"/>
      <c r="K552" s="29" t="str">
        <f aca="false">IF($A552="","",IF(OR($C552="Decision",$C552="Conflict"),IF(COUNTIFS($I$2:$I$1001,$A552,$C$2:$C$1001,"Resolved")=0,"Open","Closed"),IF(AND($H552="Unconfirmed",OR($C552="New",$C552="Know")),IF(COUNTIFS($I$2:$I$1001,$A552,$C$2:$C$1001,"Confirmed")=0,"Unconfirmed","Confirmed"),"Logged")))</f>
        <v/>
      </c>
      <c r="L552" s="29" t="str">
        <f aca="false">IF($A552="","",AsOf-$B552)</f>
        <v/>
      </c>
      <c r="M552" s="29" t="str">
        <f aca="false">IF($K552="Open",IF($C552="Conflict","Critical",IF($L552&gt;=DecisionCritical,"Critical",IF($L552&gt;=DecisionWarn,"Warning","On track"))),IF($K552="Unconfirmed",IF($L552&gt;=UnconfirmedWarn,"Warning","On track"),""))</f>
        <v/>
      </c>
      <c r="N552" s="29" t="str">
        <f aca="false">IF($M552="","",IF($M552="Critical",3000,IF($M552="Warning",2000,1000))+$L552+ROW()/100000)</f>
        <v/>
      </c>
      <c r="O552" s="29" t="str">
        <f aca="false">IF($K552="Open",IF($C552="Conflict","decide "&amp;$A552&amp;": &lt;which version stands&gt;","decide "&amp;$A552&amp;": &lt;outcome&gt;"),IF($K552="Unconfirmed","confirm "&amp;$A552,""))</f>
        <v/>
      </c>
    </row>
    <row r="553" customFormat="false" ht="15" hidden="false" customHeight="false" outlineLevel="0" collapsed="false">
      <c r="A553" s="24"/>
      <c r="B553" s="27"/>
      <c r="C553" s="28"/>
      <c r="D553" s="24"/>
      <c r="E553" s="24"/>
      <c r="F553" s="24"/>
      <c r="G553" s="28"/>
      <c r="H553" s="28"/>
      <c r="I553" s="24"/>
      <c r="J553" s="24"/>
      <c r="K553" s="29" t="str">
        <f aca="false">IF($A553="","",IF(OR($C553="Decision",$C553="Conflict"),IF(COUNTIFS($I$2:$I$1001,$A553,$C$2:$C$1001,"Resolved")=0,"Open","Closed"),IF(AND($H553="Unconfirmed",OR($C553="New",$C553="Know")),IF(COUNTIFS($I$2:$I$1001,$A553,$C$2:$C$1001,"Confirmed")=0,"Unconfirmed","Confirmed"),"Logged")))</f>
        <v/>
      </c>
      <c r="L553" s="29" t="str">
        <f aca="false">IF($A553="","",AsOf-$B553)</f>
        <v/>
      </c>
      <c r="M553" s="29" t="str">
        <f aca="false">IF($K553="Open",IF($C553="Conflict","Critical",IF($L553&gt;=DecisionCritical,"Critical",IF($L553&gt;=DecisionWarn,"Warning","On track"))),IF($K553="Unconfirmed",IF($L553&gt;=UnconfirmedWarn,"Warning","On track"),""))</f>
        <v/>
      </c>
      <c r="N553" s="29" t="str">
        <f aca="false">IF($M553="","",IF($M553="Critical",3000,IF($M553="Warning",2000,1000))+$L553+ROW()/100000)</f>
        <v/>
      </c>
      <c r="O553" s="29" t="str">
        <f aca="false">IF($K553="Open",IF($C553="Conflict","decide "&amp;$A553&amp;": &lt;which version stands&gt;","decide "&amp;$A553&amp;": &lt;outcome&gt;"),IF($K553="Unconfirmed","confirm "&amp;$A553,""))</f>
        <v/>
      </c>
    </row>
    <row r="554" customFormat="false" ht="15" hidden="false" customHeight="false" outlineLevel="0" collapsed="false">
      <c r="A554" s="24"/>
      <c r="B554" s="27"/>
      <c r="C554" s="28"/>
      <c r="D554" s="24"/>
      <c r="E554" s="24"/>
      <c r="F554" s="24"/>
      <c r="G554" s="28"/>
      <c r="H554" s="28"/>
      <c r="I554" s="24"/>
      <c r="J554" s="24"/>
      <c r="K554" s="29" t="str">
        <f aca="false">IF($A554="","",IF(OR($C554="Decision",$C554="Conflict"),IF(COUNTIFS($I$2:$I$1001,$A554,$C$2:$C$1001,"Resolved")=0,"Open","Closed"),IF(AND($H554="Unconfirmed",OR($C554="New",$C554="Know")),IF(COUNTIFS($I$2:$I$1001,$A554,$C$2:$C$1001,"Confirmed")=0,"Unconfirmed","Confirmed"),"Logged")))</f>
        <v/>
      </c>
      <c r="L554" s="29" t="str">
        <f aca="false">IF($A554="","",AsOf-$B554)</f>
        <v/>
      </c>
      <c r="M554" s="29" t="str">
        <f aca="false">IF($K554="Open",IF($C554="Conflict","Critical",IF($L554&gt;=DecisionCritical,"Critical",IF($L554&gt;=DecisionWarn,"Warning","On track"))),IF($K554="Unconfirmed",IF($L554&gt;=UnconfirmedWarn,"Warning","On track"),""))</f>
        <v/>
      </c>
      <c r="N554" s="29" t="str">
        <f aca="false">IF($M554="","",IF($M554="Critical",3000,IF($M554="Warning",2000,1000))+$L554+ROW()/100000)</f>
        <v/>
      </c>
      <c r="O554" s="29" t="str">
        <f aca="false">IF($K554="Open",IF($C554="Conflict","decide "&amp;$A554&amp;": &lt;which version stands&gt;","decide "&amp;$A554&amp;": &lt;outcome&gt;"),IF($K554="Unconfirmed","confirm "&amp;$A554,""))</f>
        <v/>
      </c>
    </row>
    <row r="555" customFormat="false" ht="15" hidden="false" customHeight="false" outlineLevel="0" collapsed="false">
      <c r="A555" s="24"/>
      <c r="B555" s="27"/>
      <c r="C555" s="28"/>
      <c r="D555" s="24"/>
      <c r="E555" s="24"/>
      <c r="F555" s="24"/>
      <c r="G555" s="28"/>
      <c r="H555" s="28"/>
      <c r="I555" s="24"/>
      <c r="J555" s="24"/>
      <c r="K555" s="29" t="str">
        <f aca="false">IF($A555="","",IF(OR($C555="Decision",$C555="Conflict"),IF(COUNTIFS($I$2:$I$1001,$A555,$C$2:$C$1001,"Resolved")=0,"Open","Closed"),IF(AND($H555="Unconfirmed",OR($C555="New",$C555="Know")),IF(COUNTIFS($I$2:$I$1001,$A555,$C$2:$C$1001,"Confirmed")=0,"Unconfirmed","Confirmed"),"Logged")))</f>
        <v/>
      </c>
      <c r="L555" s="29" t="str">
        <f aca="false">IF($A555="","",AsOf-$B555)</f>
        <v/>
      </c>
      <c r="M555" s="29" t="str">
        <f aca="false">IF($K555="Open",IF($C555="Conflict","Critical",IF($L555&gt;=DecisionCritical,"Critical",IF($L555&gt;=DecisionWarn,"Warning","On track"))),IF($K555="Unconfirmed",IF($L555&gt;=UnconfirmedWarn,"Warning","On track"),""))</f>
        <v/>
      </c>
      <c r="N555" s="29" t="str">
        <f aca="false">IF($M555="","",IF($M555="Critical",3000,IF($M555="Warning",2000,1000))+$L555+ROW()/100000)</f>
        <v/>
      </c>
      <c r="O555" s="29" t="str">
        <f aca="false">IF($K555="Open",IF($C555="Conflict","decide "&amp;$A555&amp;": &lt;which version stands&gt;","decide "&amp;$A555&amp;": &lt;outcome&gt;"),IF($K555="Unconfirmed","confirm "&amp;$A555,""))</f>
        <v/>
      </c>
    </row>
    <row r="556" customFormat="false" ht="15" hidden="false" customHeight="false" outlineLevel="0" collapsed="false">
      <c r="A556" s="24"/>
      <c r="B556" s="27"/>
      <c r="C556" s="28"/>
      <c r="D556" s="24"/>
      <c r="E556" s="24"/>
      <c r="F556" s="24"/>
      <c r="G556" s="28"/>
      <c r="H556" s="28"/>
      <c r="I556" s="24"/>
      <c r="J556" s="24"/>
      <c r="K556" s="29" t="str">
        <f aca="false">IF($A556="","",IF(OR($C556="Decision",$C556="Conflict"),IF(COUNTIFS($I$2:$I$1001,$A556,$C$2:$C$1001,"Resolved")=0,"Open","Closed"),IF(AND($H556="Unconfirmed",OR($C556="New",$C556="Know")),IF(COUNTIFS($I$2:$I$1001,$A556,$C$2:$C$1001,"Confirmed")=0,"Unconfirmed","Confirmed"),"Logged")))</f>
        <v/>
      </c>
      <c r="L556" s="29" t="str">
        <f aca="false">IF($A556="","",AsOf-$B556)</f>
        <v/>
      </c>
      <c r="M556" s="29" t="str">
        <f aca="false">IF($K556="Open",IF($C556="Conflict","Critical",IF($L556&gt;=DecisionCritical,"Critical",IF($L556&gt;=DecisionWarn,"Warning","On track"))),IF($K556="Unconfirmed",IF($L556&gt;=UnconfirmedWarn,"Warning","On track"),""))</f>
        <v/>
      </c>
      <c r="N556" s="29" t="str">
        <f aca="false">IF($M556="","",IF($M556="Critical",3000,IF($M556="Warning",2000,1000))+$L556+ROW()/100000)</f>
        <v/>
      </c>
      <c r="O556" s="29" t="str">
        <f aca="false">IF($K556="Open",IF($C556="Conflict","decide "&amp;$A556&amp;": &lt;which version stands&gt;","decide "&amp;$A556&amp;": &lt;outcome&gt;"),IF($K556="Unconfirmed","confirm "&amp;$A556,""))</f>
        <v/>
      </c>
    </row>
    <row r="557" customFormat="false" ht="15" hidden="false" customHeight="false" outlineLevel="0" collapsed="false">
      <c r="A557" s="24"/>
      <c r="B557" s="27"/>
      <c r="C557" s="28"/>
      <c r="D557" s="24"/>
      <c r="E557" s="24"/>
      <c r="F557" s="24"/>
      <c r="G557" s="28"/>
      <c r="H557" s="28"/>
      <c r="I557" s="24"/>
      <c r="J557" s="24"/>
      <c r="K557" s="29" t="str">
        <f aca="false">IF($A557="","",IF(OR($C557="Decision",$C557="Conflict"),IF(COUNTIFS($I$2:$I$1001,$A557,$C$2:$C$1001,"Resolved")=0,"Open","Closed"),IF(AND($H557="Unconfirmed",OR($C557="New",$C557="Know")),IF(COUNTIFS($I$2:$I$1001,$A557,$C$2:$C$1001,"Confirmed")=0,"Unconfirmed","Confirmed"),"Logged")))</f>
        <v/>
      </c>
      <c r="L557" s="29" t="str">
        <f aca="false">IF($A557="","",AsOf-$B557)</f>
        <v/>
      </c>
      <c r="M557" s="29" t="str">
        <f aca="false">IF($K557="Open",IF($C557="Conflict","Critical",IF($L557&gt;=DecisionCritical,"Critical",IF($L557&gt;=DecisionWarn,"Warning","On track"))),IF($K557="Unconfirmed",IF($L557&gt;=UnconfirmedWarn,"Warning","On track"),""))</f>
        <v/>
      </c>
      <c r="N557" s="29" t="str">
        <f aca="false">IF($M557="","",IF($M557="Critical",3000,IF($M557="Warning",2000,1000))+$L557+ROW()/100000)</f>
        <v/>
      </c>
      <c r="O557" s="29" t="str">
        <f aca="false">IF($K557="Open",IF($C557="Conflict","decide "&amp;$A557&amp;": &lt;which version stands&gt;","decide "&amp;$A557&amp;": &lt;outcome&gt;"),IF($K557="Unconfirmed","confirm "&amp;$A557,""))</f>
        <v/>
      </c>
    </row>
    <row r="558" customFormat="false" ht="15" hidden="false" customHeight="false" outlineLevel="0" collapsed="false">
      <c r="A558" s="24"/>
      <c r="B558" s="27"/>
      <c r="C558" s="28"/>
      <c r="D558" s="24"/>
      <c r="E558" s="24"/>
      <c r="F558" s="24"/>
      <c r="G558" s="28"/>
      <c r="H558" s="28"/>
      <c r="I558" s="24"/>
      <c r="J558" s="24"/>
      <c r="K558" s="29" t="str">
        <f aca="false">IF($A558="","",IF(OR($C558="Decision",$C558="Conflict"),IF(COUNTIFS($I$2:$I$1001,$A558,$C$2:$C$1001,"Resolved")=0,"Open","Closed"),IF(AND($H558="Unconfirmed",OR($C558="New",$C558="Know")),IF(COUNTIFS($I$2:$I$1001,$A558,$C$2:$C$1001,"Confirmed")=0,"Unconfirmed","Confirmed"),"Logged")))</f>
        <v/>
      </c>
      <c r="L558" s="29" t="str">
        <f aca="false">IF($A558="","",AsOf-$B558)</f>
        <v/>
      </c>
      <c r="M558" s="29" t="str">
        <f aca="false">IF($K558="Open",IF($C558="Conflict","Critical",IF($L558&gt;=DecisionCritical,"Critical",IF($L558&gt;=DecisionWarn,"Warning","On track"))),IF($K558="Unconfirmed",IF($L558&gt;=UnconfirmedWarn,"Warning","On track"),""))</f>
        <v/>
      </c>
      <c r="N558" s="29" t="str">
        <f aca="false">IF($M558="","",IF($M558="Critical",3000,IF($M558="Warning",2000,1000))+$L558+ROW()/100000)</f>
        <v/>
      </c>
      <c r="O558" s="29" t="str">
        <f aca="false">IF($K558="Open",IF($C558="Conflict","decide "&amp;$A558&amp;": &lt;which version stands&gt;","decide "&amp;$A558&amp;": &lt;outcome&gt;"),IF($K558="Unconfirmed","confirm "&amp;$A558,""))</f>
        <v/>
      </c>
    </row>
    <row r="559" customFormat="false" ht="15" hidden="false" customHeight="false" outlineLevel="0" collapsed="false">
      <c r="A559" s="24"/>
      <c r="B559" s="27"/>
      <c r="C559" s="28"/>
      <c r="D559" s="24"/>
      <c r="E559" s="24"/>
      <c r="F559" s="24"/>
      <c r="G559" s="28"/>
      <c r="H559" s="28"/>
      <c r="I559" s="24"/>
      <c r="J559" s="24"/>
      <c r="K559" s="29" t="str">
        <f aca="false">IF($A559="","",IF(OR($C559="Decision",$C559="Conflict"),IF(COUNTIFS($I$2:$I$1001,$A559,$C$2:$C$1001,"Resolved")=0,"Open","Closed"),IF(AND($H559="Unconfirmed",OR($C559="New",$C559="Know")),IF(COUNTIFS($I$2:$I$1001,$A559,$C$2:$C$1001,"Confirmed")=0,"Unconfirmed","Confirmed"),"Logged")))</f>
        <v/>
      </c>
      <c r="L559" s="29" t="str">
        <f aca="false">IF($A559="","",AsOf-$B559)</f>
        <v/>
      </c>
      <c r="M559" s="29" t="str">
        <f aca="false">IF($K559="Open",IF($C559="Conflict","Critical",IF($L559&gt;=DecisionCritical,"Critical",IF($L559&gt;=DecisionWarn,"Warning","On track"))),IF($K559="Unconfirmed",IF($L559&gt;=UnconfirmedWarn,"Warning","On track"),""))</f>
        <v/>
      </c>
      <c r="N559" s="29" t="str">
        <f aca="false">IF($M559="","",IF($M559="Critical",3000,IF($M559="Warning",2000,1000))+$L559+ROW()/100000)</f>
        <v/>
      </c>
      <c r="O559" s="29" t="str">
        <f aca="false">IF($K559="Open",IF($C559="Conflict","decide "&amp;$A559&amp;": &lt;which version stands&gt;","decide "&amp;$A559&amp;": &lt;outcome&gt;"),IF($K559="Unconfirmed","confirm "&amp;$A559,""))</f>
        <v/>
      </c>
    </row>
    <row r="560" customFormat="false" ht="15" hidden="false" customHeight="false" outlineLevel="0" collapsed="false">
      <c r="A560" s="24"/>
      <c r="B560" s="27"/>
      <c r="C560" s="28"/>
      <c r="D560" s="24"/>
      <c r="E560" s="24"/>
      <c r="F560" s="24"/>
      <c r="G560" s="28"/>
      <c r="H560" s="28"/>
      <c r="I560" s="24"/>
      <c r="J560" s="24"/>
      <c r="K560" s="29" t="str">
        <f aca="false">IF($A560="","",IF(OR($C560="Decision",$C560="Conflict"),IF(COUNTIFS($I$2:$I$1001,$A560,$C$2:$C$1001,"Resolved")=0,"Open","Closed"),IF(AND($H560="Unconfirmed",OR($C560="New",$C560="Know")),IF(COUNTIFS($I$2:$I$1001,$A560,$C$2:$C$1001,"Confirmed")=0,"Unconfirmed","Confirmed"),"Logged")))</f>
        <v/>
      </c>
      <c r="L560" s="29" t="str">
        <f aca="false">IF($A560="","",AsOf-$B560)</f>
        <v/>
      </c>
      <c r="M560" s="29" t="str">
        <f aca="false">IF($K560="Open",IF($C560="Conflict","Critical",IF($L560&gt;=DecisionCritical,"Critical",IF($L560&gt;=DecisionWarn,"Warning","On track"))),IF($K560="Unconfirmed",IF($L560&gt;=UnconfirmedWarn,"Warning","On track"),""))</f>
        <v/>
      </c>
      <c r="N560" s="29" t="str">
        <f aca="false">IF($M560="","",IF($M560="Critical",3000,IF($M560="Warning",2000,1000))+$L560+ROW()/100000)</f>
        <v/>
      </c>
      <c r="O560" s="29" t="str">
        <f aca="false">IF($K560="Open",IF($C560="Conflict","decide "&amp;$A560&amp;": &lt;which version stands&gt;","decide "&amp;$A560&amp;": &lt;outcome&gt;"),IF($K560="Unconfirmed","confirm "&amp;$A560,""))</f>
        <v/>
      </c>
    </row>
    <row r="561" customFormat="false" ht="15" hidden="false" customHeight="false" outlineLevel="0" collapsed="false">
      <c r="A561" s="24"/>
      <c r="B561" s="27"/>
      <c r="C561" s="28"/>
      <c r="D561" s="24"/>
      <c r="E561" s="24"/>
      <c r="F561" s="24"/>
      <c r="G561" s="28"/>
      <c r="H561" s="28"/>
      <c r="I561" s="24"/>
      <c r="J561" s="24"/>
      <c r="K561" s="29" t="str">
        <f aca="false">IF($A561="","",IF(OR($C561="Decision",$C561="Conflict"),IF(COUNTIFS($I$2:$I$1001,$A561,$C$2:$C$1001,"Resolved")=0,"Open","Closed"),IF(AND($H561="Unconfirmed",OR($C561="New",$C561="Know")),IF(COUNTIFS($I$2:$I$1001,$A561,$C$2:$C$1001,"Confirmed")=0,"Unconfirmed","Confirmed"),"Logged")))</f>
        <v/>
      </c>
      <c r="L561" s="29" t="str">
        <f aca="false">IF($A561="","",AsOf-$B561)</f>
        <v/>
      </c>
      <c r="M561" s="29" t="str">
        <f aca="false">IF($K561="Open",IF($C561="Conflict","Critical",IF($L561&gt;=DecisionCritical,"Critical",IF($L561&gt;=DecisionWarn,"Warning","On track"))),IF($K561="Unconfirmed",IF($L561&gt;=UnconfirmedWarn,"Warning","On track"),""))</f>
        <v/>
      </c>
      <c r="N561" s="29" t="str">
        <f aca="false">IF($M561="","",IF($M561="Critical",3000,IF($M561="Warning",2000,1000))+$L561+ROW()/100000)</f>
        <v/>
      </c>
      <c r="O561" s="29" t="str">
        <f aca="false">IF($K561="Open",IF($C561="Conflict","decide "&amp;$A561&amp;": &lt;which version stands&gt;","decide "&amp;$A561&amp;": &lt;outcome&gt;"),IF($K561="Unconfirmed","confirm "&amp;$A561,""))</f>
        <v/>
      </c>
    </row>
    <row r="562" customFormat="false" ht="15" hidden="false" customHeight="false" outlineLevel="0" collapsed="false">
      <c r="A562" s="24"/>
      <c r="B562" s="27"/>
      <c r="C562" s="28"/>
      <c r="D562" s="24"/>
      <c r="E562" s="24"/>
      <c r="F562" s="24"/>
      <c r="G562" s="28"/>
      <c r="H562" s="28"/>
      <c r="I562" s="24"/>
      <c r="J562" s="24"/>
      <c r="K562" s="29" t="str">
        <f aca="false">IF($A562="","",IF(OR($C562="Decision",$C562="Conflict"),IF(COUNTIFS($I$2:$I$1001,$A562,$C$2:$C$1001,"Resolved")=0,"Open","Closed"),IF(AND($H562="Unconfirmed",OR($C562="New",$C562="Know")),IF(COUNTIFS($I$2:$I$1001,$A562,$C$2:$C$1001,"Confirmed")=0,"Unconfirmed","Confirmed"),"Logged")))</f>
        <v/>
      </c>
      <c r="L562" s="29" t="str">
        <f aca="false">IF($A562="","",AsOf-$B562)</f>
        <v/>
      </c>
      <c r="M562" s="29" t="str">
        <f aca="false">IF($K562="Open",IF($C562="Conflict","Critical",IF($L562&gt;=DecisionCritical,"Critical",IF($L562&gt;=DecisionWarn,"Warning","On track"))),IF($K562="Unconfirmed",IF($L562&gt;=UnconfirmedWarn,"Warning","On track"),""))</f>
        <v/>
      </c>
      <c r="N562" s="29" t="str">
        <f aca="false">IF($M562="","",IF($M562="Critical",3000,IF($M562="Warning",2000,1000))+$L562+ROW()/100000)</f>
        <v/>
      </c>
      <c r="O562" s="29" t="str">
        <f aca="false">IF($K562="Open",IF($C562="Conflict","decide "&amp;$A562&amp;": &lt;which version stands&gt;","decide "&amp;$A562&amp;": &lt;outcome&gt;"),IF($K562="Unconfirmed","confirm "&amp;$A562,""))</f>
        <v/>
      </c>
    </row>
    <row r="563" customFormat="false" ht="15" hidden="false" customHeight="false" outlineLevel="0" collapsed="false">
      <c r="A563" s="24"/>
      <c r="B563" s="27"/>
      <c r="C563" s="28"/>
      <c r="D563" s="24"/>
      <c r="E563" s="24"/>
      <c r="F563" s="24"/>
      <c r="G563" s="28"/>
      <c r="H563" s="28"/>
      <c r="I563" s="24"/>
      <c r="J563" s="24"/>
      <c r="K563" s="29" t="str">
        <f aca="false">IF($A563="","",IF(OR($C563="Decision",$C563="Conflict"),IF(COUNTIFS($I$2:$I$1001,$A563,$C$2:$C$1001,"Resolved")=0,"Open","Closed"),IF(AND($H563="Unconfirmed",OR($C563="New",$C563="Know")),IF(COUNTIFS($I$2:$I$1001,$A563,$C$2:$C$1001,"Confirmed")=0,"Unconfirmed","Confirmed"),"Logged")))</f>
        <v/>
      </c>
      <c r="L563" s="29" t="str">
        <f aca="false">IF($A563="","",AsOf-$B563)</f>
        <v/>
      </c>
      <c r="M563" s="29" t="str">
        <f aca="false">IF($K563="Open",IF($C563="Conflict","Critical",IF($L563&gt;=DecisionCritical,"Critical",IF($L563&gt;=DecisionWarn,"Warning","On track"))),IF($K563="Unconfirmed",IF($L563&gt;=UnconfirmedWarn,"Warning","On track"),""))</f>
        <v/>
      </c>
      <c r="N563" s="29" t="str">
        <f aca="false">IF($M563="","",IF($M563="Critical",3000,IF($M563="Warning",2000,1000))+$L563+ROW()/100000)</f>
        <v/>
      </c>
      <c r="O563" s="29" t="str">
        <f aca="false">IF($K563="Open",IF($C563="Conflict","decide "&amp;$A563&amp;": &lt;which version stands&gt;","decide "&amp;$A563&amp;": &lt;outcome&gt;"),IF($K563="Unconfirmed","confirm "&amp;$A563,""))</f>
        <v/>
      </c>
    </row>
    <row r="564" customFormat="false" ht="15" hidden="false" customHeight="false" outlineLevel="0" collapsed="false">
      <c r="A564" s="24"/>
      <c r="B564" s="27"/>
      <c r="C564" s="28"/>
      <c r="D564" s="24"/>
      <c r="E564" s="24"/>
      <c r="F564" s="24"/>
      <c r="G564" s="28"/>
      <c r="H564" s="28"/>
      <c r="I564" s="24"/>
      <c r="J564" s="24"/>
      <c r="K564" s="29" t="str">
        <f aca="false">IF($A564="","",IF(OR($C564="Decision",$C564="Conflict"),IF(COUNTIFS($I$2:$I$1001,$A564,$C$2:$C$1001,"Resolved")=0,"Open","Closed"),IF(AND($H564="Unconfirmed",OR($C564="New",$C564="Know")),IF(COUNTIFS($I$2:$I$1001,$A564,$C$2:$C$1001,"Confirmed")=0,"Unconfirmed","Confirmed"),"Logged")))</f>
        <v/>
      </c>
      <c r="L564" s="29" t="str">
        <f aca="false">IF($A564="","",AsOf-$B564)</f>
        <v/>
      </c>
      <c r="M564" s="29" t="str">
        <f aca="false">IF($K564="Open",IF($C564="Conflict","Critical",IF($L564&gt;=DecisionCritical,"Critical",IF($L564&gt;=DecisionWarn,"Warning","On track"))),IF($K564="Unconfirmed",IF($L564&gt;=UnconfirmedWarn,"Warning","On track"),""))</f>
        <v/>
      </c>
      <c r="N564" s="29" t="str">
        <f aca="false">IF($M564="","",IF($M564="Critical",3000,IF($M564="Warning",2000,1000))+$L564+ROW()/100000)</f>
        <v/>
      </c>
      <c r="O564" s="29" t="str">
        <f aca="false">IF($K564="Open",IF($C564="Conflict","decide "&amp;$A564&amp;": &lt;which version stands&gt;","decide "&amp;$A564&amp;": &lt;outcome&gt;"),IF($K564="Unconfirmed","confirm "&amp;$A564,""))</f>
        <v/>
      </c>
    </row>
    <row r="565" customFormat="false" ht="15" hidden="false" customHeight="false" outlineLevel="0" collapsed="false">
      <c r="A565" s="24"/>
      <c r="B565" s="27"/>
      <c r="C565" s="28"/>
      <c r="D565" s="24"/>
      <c r="E565" s="24"/>
      <c r="F565" s="24"/>
      <c r="G565" s="28"/>
      <c r="H565" s="28"/>
      <c r="I565" s="24"/>
      <c r="J565" s="24"/>
      <c r="K565" s="29" t="str">
        <f aca="false">IF($A565="","",IF(OR($C565="Decision",$C565="Conflict"),IF(COUNTIFS($I$2:$I$1001,$A565,$C$2:$C$1001,"Resolved")=0,"Open","Closed"),IF(AND($H565="Unconfirmed",OR($C565="New",$C565="Know")),IF(COUNTIFS($I$2:$I$1001,$A565,$C$2:$C$1001,"Confirmed")=0,"Unconfirmed","Confirmed"),"Logged")))</f>
        <v/>
      </c>
      <c r="L565" s="29" t="str">
        <f aca="false">IF($A565="","",AsOf-$B565)</f>
        <v/>
      </c>
      <c r="M565" s="29" t="str">
        <f aca="false">IF($K565="Open",IF($C565="Conflict","Critical",IF($L565&gt;=DecisionCritical,"Critical",IF($L565&gt;=DecisionWarn,"Warning","On track"))),IF($K565="Unconfirmed",IF($L565&gt;=UnconfirmedWarn,"Warning","On track"),""))</f>
        <v/>
      </c>
      <c r="N565" s="29" t="str">
        <f aca="false">IF($M565="","",IF($M565="Critical",3000,IF($M565="Warning",2000,1000))+$L565+ROW()/100000)</f>
        <v/>
      </c>
      <c r="O565" s="29" t="str">
        <f aca="false">IF($K565="Open",IF($C565="Conflict","decide "&amp;$A565&amp;": &lt;which version stands&gt;","decide "&amp;$A565&amp;": &lt;outcome&gt;"),IF($K565="Unconfirmed","confirm "&amp;$A565,""))</f>
        <v/>
      </c>
    </row>
    <row r="566" customFormat="false" ht="15" hidden="false" customHeight="false" outlineLevel="0" collapsed="false">
      <c r="A566" s="24"/>
      <c r="B566" s="27"/>
      <c r="C566" s="28"/>
      <c r="D566" s="24"/>
      <c r="E566" s="24"/>
      <c r="F566" s="24"/>
      <c r="G566" s="28"/>
      <c r="H566" s="28"/>
      <c r="I566" s="24"/>
      <c r="J566" s="24"/>
      <c r="K566" s="29" t="str">
        <f aca="false">IF($A566="","",IF(OR($C566="Decision",$C566="Conflict"),IF(COUNTIFS($I$2:$I$1001,$A566,$C$2:$C$1001,"Resolved")=0,"Open","Closed"),IF(AND($H566="Unconfirmed",OR($C566="New",$C566="Know")),IF(COUNTIFS($I$2:$I$1001,$A566,$C$2:$C$1001,"Confirmed")=0,"Unconfirmed","Confirmed"),"Logged")))</f>
        <v/>
      </c>
      <c r="L566" s="29" t="str">
        <f aca="false">IF($A566="","",AsOf-$B566)</f>
        <v/>
      </c>
      <c r="M566" s="29" t="str">
        <f aca="false">IF($K566="Open",IF($C566="Conflict","Critical",IF($L566&gt;=DecisionCritical,"Critical",IF($L566&gt;=DecisionWarn,"Warning","On track"))),IF($K566="Unconfirmed",IF($L566&gt;=UnconfirmedWarn,"Warning","On track"),""))</f>
        <v/>
      </c>
      <c r="N566" s="29" t="str">
        <f aca="false">IF($M566="","",IF($M566="Critical",3000,IF($M566="Warning",2000,1000))+$L566+ROW()/100000)</f>
        <v/>
      </c>
      <c r="O566" s="29" t="str">
        <f aca="false">IF($K566="Open",IF($C566="Conflict","decide "&amp;$A566&amp;": &lt;which version stands&gt;","decide "&amp;$A566&amp;": &lt;outcome&gt;"),IF($K566="Unconfirmed","confirm "&amp;$A566,""))</f>
        <v/>
      </c>
    </row>
    <row r="567" customFormat="false" ht="15" hidden="false" customHeight="false" outlineLevel="0" collapsed="false">
      <c r="A567" s="24"/>
      <c r="B567" s="27"/>
      <c r="C567" s="28"/>
      <c r="D567" s="24"/>
      <c r="E567" s="24"/>
      <c r="F567" s="24"/>
      <c r="G567" s="28"/>
      <c r="H567" s="28"/>
      <c r="I567" s="24"/>
      <c r="J567" s="24"/>
      <c r="K567" s="29" t="str">
        <f aca="false">IF($A567="","",IF(OR($C567="Decision",$C567="Conflict"),IF(COUNTIFS($I$2:$I$1001,$A567,$C$2:$C$1001,"Resolved")=0,"Open","Closed"),IF(AND($H567="Unconfirmed",OR($C567="New",$C567="Know")),IF(COUNTIFS($I$2:$I$1001,$A567,$C$2:$C$1001,"Confirmed")=0,"Unconfirmed","Confirmed"),"Logged")))</f>
        <v/>
      </c>
      <c r="L567" s="29" t="str">
        <f aca="false">IF($A567="","",AsOf-$B567)</f>
        <v/>
      </c>
      <c r="M567" s="29" t="str">
        <f aca="false">IF($K567="Open",IF($C567="Conflict","Critical",IF($L567&gt;=DecisionCritical,"Critical",IF($L567&gt;=DecisionWarn,"Warning","On track"))),IF($K567="Unconfirmed",IF($L567&gt;=UnconfirmedWarn,"Warning","On track"),""))</f>
        <v/>
      </c>
      <c r="N567" s="29" t="str">
        <f aca="false">IF($M567="","",IF($M567="Critical",3000,IF($M567="Warning",2000,1000))+$L567+ROW()/100000)</f>
        <v/>
      </c>
      <c r="O567" s="29" t="str">
        <f aca="false">IF($K567="Open",IF($C567="Conflict","decide "&amp;$A567&amp;": &lt;which version stands&gt;","decide "&amp;$A567&amp;": &lt;outcome&gt;"),IF($K567="Unconfirmed","confirm "&amp;$A567,""))</f>
        <v/>
      </c>
    </row>
    <row r="568" customFormat="false" ht="15" hidden="false" customHeight="false" outlineLevel="0" collapsed="false">
      <c r="A568" s="24"/>
      <c r="B568" s="27"/>
      <c r="C568" s="28"/>
      <c r="D568" s="24"/>
      <c r="E568" s="24"/>
      <c r="F568" s="24"/>
      <c r="G568" s="28"/>
      <c r="H568" s="28"/>
      <c r="I568" s="24"/>
      <c r="J568" s="24"/>
      <c r="K568" s="29" t="str">
        <f aca="false">IF($A568="","",IF(OR($C568="Decision",$C568="Conflict"),IF(COUNTIFS($I$2:$I$1001,$A568,$C$2:$C$1001,"Resolved")=0,"Open","Closed"),IF(AND($H568="Unconfirmed",OR($C568="New",$C568="Know")),IF(COUNTIFS($I$2:$I$1001,$A568,$C$2:$C$1001,"Confirmed")=0,"Unconfirmed","Confirmed"),"Logged")))</f>
        <v/>
      </c>
      <c r="L568" s="29" t="str">
        <f aca="false">IF($A568="","",AsOf-$B568)</f>
        <v/>
      </c>
      <c r="M568" s="29" t="str">
        <f aca="false">IF($K568="Open",IF($C568="Conflict","Critical",IF($L568&gt;=DecisionCritical,"Critical",IF($L568&gt;=DecisionWarn,"Warning","On track"))),IF($K568="Unconfirmed",IF($L568&gt;=UnconfirmedWarn,"Warning","On track"),""))</f>
        <v/>
      </c>
      <c r="N568" s="29" t="str">
        <f aca="false">IF($M568="","",IF($M568="Critical",3000,IF($M568="Warning",2000,1000))+$L568+ROW()/100000)</f>
        <v/>
      </c>
      <c r="O568" s="29" t="str">
        <f aca="false">IF($K568="Open",IF($C568="Conflict","decide "&amp;$A568&amp;": &lt;which version stands&gt;","decide "&amp;$A568&amp;": &lt;outcome&gt;"),IF($K568="Unconfirmed","confirm "&amp;$A568,""))</f>
        <v/>
      </c>
    </row>
    <row r="569" customFormat="false" ht="15" hidden="false" customHeight="false" outlineLevel="0" collapsed="false">
      <c r="A569" s="24"/>
      <c r="B569" s="27"/>
      <c r="C569" s="28"/>
      <c r="D569" s="24"/>
      <c r="E569" s="24"/>
      <c r="F569" s="24"/>
      <c r="G569" s="28"/>
      <c r="H569" s="28"/>
      <c r="I569" s="24"/>
      <c r="J569" s="24"/>
      <c r="K569" s="29" t="str">
        <f aca="false">IF($A569="","",IF(OR($C569="Decision",$C569="Conflict"),IF(COUNTIFS($I$2:$I$1001,$A569,$C$2:$C$1001,"Resolved")=0,"Open","Closed"),IF(AND($H569="Unconfirmed",OR($C569="New",$C569="Know")),IF(COUNTIFS($I$2:$I$1001,$A569,$C$2:$C$1001,"Confirmed")=0,"Unconfirmed","Confirmed"),"Logged")))</f>
        <v/>
      </c>
      <c r="L569" s="29" t="str">
        <f aca="false">IF($A569="","",AsOf-$B569)</f>
        <v/>
      </c>
      <c r="M569" s="29" t="str">
        <f aca="false">IF($K569="Open",IF($C569="Conflict","Critical",IF($L569&gt;=DecisionCritical,"Critical",IF($L569&gt;=DecisionWarn,"Warning","On track"))),IF($K569="Unconfirmed",IF($L569&gt;=UnconfirmedWarn,"Warning","On track"),""))</f>
        <v/>
      </c>
      <c r="N569" s="29" t="str">
        <f aca="false">IF($M569="","",IF($M569="Critical",3000,IF($M569="Warning",2000,1000))+$L569+ROW()/100000)</f>
        <v/>
      </c>
      <c r="O569" s="29" t="str">
        <f aca="false">IF($K569="Open",IF($C569="Conflict","decide "&amp;$A569&amp;": &lt;which version stands&gt;","decide "&amp;$A569&amp;": &lt;outcome&gt;"),IF($K569="Unconfirmed","confirm "&amp;$A569,""))</f>
        <v/>
      </c>
    </row>
    <row r="570" customFormat="false" ht="15" hidden="false" customHeight="false" outlineLevel="0" collapsed="false">
      <c r="A570" s="24"/>
      <c r="B570" s="27"/>
      <c r="C570" s="28"/>
      <c r="D570" s="24"/>
      <c r="E570" s="24"/>
      <c r="F570" s="24"/>
      <c r="G570" s="28"/>
      <c r="H570" s="28"/>
      <c r="I570" s="24"/>
      <c r="J570" s="24"/>
      <c r="K570" s="29" t="str">
        <f aca="false">IF($A570="","",IF(OR($C570="Decision",$C570="Conflict"),IF(COUNTIFS($I$2:$I$1001,$A570,$C$2:$C$1001,"Resolved")=0,"Open","Closed"),IF(AND($H570="Unconfirmed",OR($C570="New",$C570="Know")),IF(COUNTIFS($I$2:$I$1001,$A570,$C$2:$C$1001,"Confirmed")=0,"Unconfirmed","Confirmed"),"Logged")))</f>
        <v/>
      </c>
      <c r="L570" s="29" t="str">
        <f aca="false">IF($A570="","",AsOf-$B570)</f>
        <v/>
      </c>
      <c r="M570" s="29" t="str">
        <f aca="false">IF($K570="Open",IF($C570="Conflict","Critical",IF($L570&gt;=DecisionCritical,"Critical",IF($L570&gt;=DecisionWarn,"Warning","On track"))),IF($K570="Unconfirmed",IF($L570&gt;=UnconfirmedWarn,"Warning","On track"),""))</f>
        <v/>
      </c>
      <c r="N570" s="29" t="str">
        <f aca="false">IF($M570="","",IF($M570="Critical",3000,IF($M570="Warning",2000,1000))+$L570+ROW()/100000)</f>
        <v/>
      </c>
      <c r="O570" s="29" t="str">
        <f aca="false">IF($K570="Open",IF($C570="Conflict","decide "&amp;$A570&amp;": &lt;which version stands&gt;","decide "&amp;$A570&amp;": &lt;outcome&gt;"),IF($K570="Unconfirmed","confirm "&amp;$A570,""))</f>
        <v/>
      </c>
    </row>
    <row r="571" customFormat="false" ht="15" hidden="false" customHeight="false" outlineLevel="0" collapsed="false">
      <c r="A571" s="24"/>
      <c r="B571" s="27"/>
      <c r="C571" s="28"/>
      <c r="D571" s="24"/>
      <c r="E571" s="24"/>
      <c r="F571" s="24"/>
      <c r="G571" s="28"/>
      <c r="H571" s="28"/>
      <c r="I571" s="24"/>
      <c r="J571" s="24"/>
      <c r="K571" s="29" t="str">
        <f aca="false">IF($A571="","",IF(OR($C571="Decision",$C571="Conflict"),IF(COUNTIFS($I$2:$I$1001,$A571,$C$2:$C$1001,"Resolved")=0,"Open","Closed"),IF(AND($H571="Unconfirmed",OR($C571="New",$C571="Know")),IF(COUNTIFS($I$2:$I$1001,$A571,$C$2:$C$1001,"Confirmed")=0,"Unconfirmed","Confirmed"),"Logged")))</f>
        <v/>
      </c>
      <c r="L571" s="29" t="str">
        <f aca="false">IF($A571="","",AsOf-$B571)</f>
        <v/>
      </c>
      <c r="M571" s="29" t="str">
        <f aca="false">IF($K571="Open",IF($C571="Conflict","Critical",IF($L571&gt;=DecisionCritical,"Critical",IF($L571&gt;=DecisionWarn,"Warning","On track"))),IF($K571="Unconfirmed",IF($L571&gt;=UnconfirmedWarn,"Warning","On track"),""))</f>
        <v/>
      </c>
      <c r="N571" s="29" t="str">
        <f aca="false">IF($M571="","",IF($M571="Critical",3000,IF($M571="Warning",2000,1000))+$L571+ROW()/100000)</f>
        <v/>
      </c>
      <c r="O571" s="29" t="str">
        <f aca="false">IF($K571="Open",IF($C571="Conflict","decide "&amp;$A571&amp;": &lt;which version stands&gt;","decide "&amp;$A571&amp;": &lt;outcome&gt;"),IF($K571="Unconfirmed","confirm "&amp;$A571,""))</f>
        <v/>
      </c>
    </row>
    <row r="572" customFormat="false" ht="15" hidden="false" customHeight="false" outlineLevel="0" collapsed="false">
      <c r="A572" s="24"/>
      <c r="B572" s="27"/>
      <c r="C572" s="28"/>
      <c r="D572" s="24"/>
      <c r="E572" s="24"/>
      <c r="F572" s="24"/>
      <c r="G572" s="28"/>
      <c r="H572" s="28"/>
      <c r="I572" s="24"/>
      <c r="J572" s="24"/>
      <c r="K572" s="29" t="str">
        <f aca="false">IF($A572="","",IF(OR($C572="Decision",$C572="Conflict"),IF(COUNTIFS($I$2:$I$1001,$A572,$C$2:$C$1001,"Resolved")=0,"Open","Closed"),IF(AND($H572="Unconfirmed",OR($C572="New",$C572="Know")),IF(COUNTIFS($I$2:$I$1001,$A572,$C$2:$C$1001,"Confirmed")=0,"Unconfirmed","Confirmed"),"Logged")))</f>
        <v/>
      </c>
      <c r="L572" s="29" t="str">
        <f aca="false">IF($A572="","",AsOf-$B572)</f>
        <v/>
      </c>
      <c r="M572" s="29" t="str">
        <f aca="false">IF($K572="Open",IF($C572="Conflict","Critical",IF($L572&gt;=DecisionCritical,"Critical",IF($L572&gt;=DecisionWarn,"Warning","On track"))),IF($K572="Unconfirmed",IF($L572&gt;=UnconfirmedWarn,"Warning","On track"),""))</f>
        <v/>
      </c>
      <c r="N572" s="29" t="str">
        <f aca="false">IF($M572="","",IF($M572="Critical",3000,IF($M572="Warning",2000,1000))+$L572+ROW()/100000)</f>
        <v/>
      </c>
      <c r="O572" s="29" t="str">
        <f aca="false">IF($K572="Open",IF($C572="Conflict","decide "&amp;$A572&amp;": &lt;which version stands&gt;","decide "&amp;$A572&amp;": &lt;outcome&gt;"),IF($K572="Unconfirmed","confirm "&amp;$A572,""))</f>
        <v/>
      </c>
    </row>
    <row r="573" customFormat="false" ht="15" hidden="false" customHeight="false" outlineLevel="0" collapsed="false">
      <c r="A573" s="24"/>
      <c r="B573" s="27"/>
      <c r="C573" s="28"/>
      <c r="D573" s="24"/>
      <c r="E573" s="24"/>
      <c r="F573" s="24"/>
      <c r="G573" s="28"/>
      <c r="H573" s="28"/>
      <c r="I573" s="24"/>
      <c r="J573" s="24"/>
      <c r="K573" s="29" t="str">
        <f aca="false">IF($A573="","",IF(OR($C573="Decision",$C573="Conflict"),IF(COUNTIFS($I$2:$I$1001,$A573,$C$2:$C$1001,"Resolved")=0,"Open","Closed"),IF(AND($H573="Unconfirmed",OR($C573="New",$C573="Know")),IF(COUNTIFS($I$2:$I$1001,$A573,$C$2:$C$1001,"Confirmed")=0,"Unconfirmed","Confirmed"),"Logged")))</f>
        <v/>
      </c>
      <c r="L573" s="29" t="str">
        <f aca="false">IF($A573="","",AsOf-$B573)</f>
        <v/>
      </c>
      <c r="M573" s="29" t="str">
        <f aca="false">IF($K573="Open",IF($C573="Conflict","Critical",IF($L573&gt;=DecisionCritical,"Critical",IF($L573&gt;=DecisionWarn,"Warning","On track"))),IF($K573="Unconfirmed",IF($L573&gt;=UnconfirmedWarn,"Warning","On track"),""))</f>
        <v/>
      </c>
      <c r="N573" s="29" t="str">
        <f aca="false">IF($M573="","",IF($M573="Critical",3000,IF($M573="Warning",2000,1000))+$L573+ROW()/100000)</f>
        <v/>
      </c>
      <c r="O573" s="29" t="str">
        <f aca="false">IF($K573="Open",IF($C573="Conflict","decide "&amp;$A573&amp;": &lt;which version stands&gt;","decide "&amp;$A573&amp;": &lt;outcome&gt;"),IF($K573="Unconfirmed","confirm "&amp;$A573,""))</f>
        <v/>
      </c>
    </row>
    <row r="574" customFormat="false" ht="15" hidden="false" customHeight="false" outlineLevel="0" collapsed="false">
      <c r="A574" s="24"/>
      <c r="B574" s="27"/>
      <c r="C574" s="28"/>
      <c r="D574" s="24"/>
      <c r="E574" s="24"/>
      <c r="F574" s="24"/>
      <c r="G574" s="28"/>
      <c r="H574" s="28"/>
      <c r="I574" s="24"/>
      <c r="J574" s="24"/>
      <c r="K574" s="29" t="str">
        <f aca="false">IF($A574="","",IF(OR($C574="Decision",$C574="Conflict"),IF(COUNTIFS($I$2:$I$1001,$A574,$C$2:$C$1001,"Resolved")=0,"Open","Closed"),IF(AND($H574="Unconfirmed",OR($C574="New",$C574="Know")),IF(COUNTIFS($I$2:$I$1001,$A574,$C$2:$C$1001,"Confirmed")=0,"Unconfirmed","Confirmed"),"Logged")))</f>
        <v/>
      </c>
      <c r="L574" s="29" t="str">
        <f aca="false">IF($A574="","",AsOf-$B574)</f>
        <v/>
      </c>
      <c r="M574" s="29" t="str">
        <f aca="false">IF($K574="Open",IF($C574="Conflict","Critical",IF($L574&gt;=DecisionCritical,"Critical",IF($L574&gt;=DecisionWarn,"Warning","On track"))),IF($K574="Unconfirmed",IF($L574&gt;=UnconfirmedWarn,"Warning","On track"),""))</f>
        <v/>
      </c>
      <c r="N574" s="29" t="str">
        <f aca="false">IF($M574="","",IF($M574="Critical",3000,IF($M574="Warning",2000,1000))+$L574+ROW()/100000)</f>
        <v/>
      </c>
      <c r="O574" s="29" t="str">
        <f aca="false">IF($K574="Open",IF($C574="Conflict","decide "&amp;$A574&amp;": &lt;which version stands&gt;","decide "&amp;$A574&amp;": &lt;outcome&gt;"),IF($K574="Unconfirmed","confirm "&amp;$A574,""))</f>
        <v/>
      </c>
    </row>
    <row r="575" customFormat="false" ht="15" hidden="false" customHeight="false" outlineLevel="0" collapsed="false">
      <c r="A575" s="24"/>
      <c r="B575" s="27"/>
      <c r="C575" s="28"/>
      <c r="D575" s="24"/>
      <c r="E575" s="24"/>
      <c r="F575" s="24"/>
      <c r="G575" s="28"/>
      <c r="H575" s="28"/>
      <c r="I575" s="24"/>
      <c r="J575" s="24"/>
      <c r="K575" s="29" t="str">
        <f aca="false">IF($A575="","",IF(OR($C575="Decision",$C575="Conflict"),IF(COUNTIFS($I$2:$I$1001,$A575,$C$2:$C$1001,"Resolved")=0,"Open","Closed"),IF(AND($H575="Unconfirmed",OR($C575="New",$C575="Know")),IF(COUNTIFS($I$2:$I$1001,$A575,$C$2:$C$1001,"Confirmed")=0,"Unconfirmed","Confirmed"),"Logged")))</f>
        <v/>
      </c>
      <c r="L575" s="29" t="str">
        <f aca="false">IF($A575="","",AsOf-$B575)</f>
        <v/>
      </c>
      <c r="M575" s="29" t="str">
        <f aca="false">IF($K575="Open",IF($C575="Conflict","Critical",IF($L575&gt;=DecisionCritical,"Critical",IF($L575&gt;=DecisionWarn,"Warning","On track"))),IF($K575="Unconfirmed",IF($L575&gt;=UnconfirmedWarn,"Warning","On track"),""))</f>
        <v/>
      </c>
      <c r="N575" s="29" t="str">
        <f aca="false">IF($M575="","",IF($M575="Critical",3000,IF($M575="Warning",2000,1000))+$L575+ROW()/100000)</f>
        <v/>
      </c>
      <c r="O575" s="29" t="str">
        <f aca="false">IF($K575="Open",IF($C575="Conflict","decide "&amp;$A575&amp;": &lt;which version stands&gt;","decide "&amp;$A575&amp;": &lt;outcome&gt;"),IF($K575="Unconfirmed","confirm "&amp;$A575,""))</f>
        <v/>
      </c>
    </row>
    <row r="576" customFormat="false" ht="15" hidden="false" customHeight="false" outlineLevel="0" collapsed="false">
      <c r="A576" s="24"/>
      <c r="B576" s="27"/>
      <c r="C576" s="28"/>
      <c r="D576" s="24"/>
      <c r="E576" s="24"/>
      <c r="F576" s="24"/>
      <c r="G576" s="28"/>
      <c r="H576" s="28"/>
      <c r="I576" s="24"/>
      <c r="J576" s="24"/>
      <c r="K576" s="29" t="str">
        <f aca="false">IF($A576="","",IF(OR($C576="Decision",$C576="Conflict"),IF(COUNTIFS($I$2:$I$1001,$A576,$C$2:$C$1001,"Resolved")=0,"Open","Closed"),IF(AND($H576="Unconfirmed",OR($C576="New",$C576="Know")),IF(COUNTIFS($I$2:$I$1001,$A576,$C$2:$C$1001,"Confirmed")=0,"Unconfirmed","Confirmed"),"Logged")))</f>
        <v/>
      </c>
      <c r="L576" s="29" t="str">
        <f aca="false">IF($A576="","",AsOf-$B576)</f>
        <v/>
      </c>
      <c r="M576" s="29" t="str">
        <f aca="false">IF($K576="Open",IF($C576="Conflict","Critical",IF($L576&gt;=DecisionCritical,"Critical",IF($L576&gt;=DecisionWarn,"Warning","On track"))),IF($K576="Unconfirmed",IF($L576&gt;=UnconfirmedWarn,"Warning","On track"),""))</f>
        <v/>
      </c>
      <c r="N576" s="29" t="str">
        <f aca="false">IF($M576="","",IF($M576="Critical",3000,IF($M576="Warning",2000,1000))+$L576+ROW()/100000)</f>
        <v/>
      </c>
      <c r="O576" s="29" t="str">
        <f aca="false">IF($K576="Open",IF($C576="Conflict","decide "&amp;$A576&amp;": &lt;which version stands&gt;","decide "&amp;$A576&amp;": &lt;outcome&gt;"),IF($K576="Unconfirmed","confirm "&amp;$A576,""))</f>
        <v/>
      </c>
    </row>
    <row r="577" customFormat="false" ht="15" hidden="false" customHeight="false" outlineLevel="0" collapsed="false">
      <c r="A577" s="24"/>
      <c r="B577" s="27"/>
      <c r="C577" s="28"/>
      <c r="D577" s="24"/>
      <c r="E577" s="24"/>
      <c r="F577" s="24"/>
      <c r="G577" s="28"/>
      <c r="H577" s="28"/>
      <c r="I577" s="24"/>
      <c r="J577" s="24"/>
      <c r="K577" s="29" t="str">
        <f aca="false">IF($A577="","",IF(OR($C577="Decision",$C577="Conflict"),IF(COUNTIFS($I$2:$I$1001,$A577,$C$2:$C$1001,"Resolved")=0,"Open","Closed"),IF(AND($H577="Unconfirmed",OR($C577="New",$C577="Know")),IF(COUNTIFS($I$2:$I$1001,$A577,$C$2:$C$1001,"Confirmed")=0,"Unconfirmed","Confirmed"),"Logged")))</f>
        <v/>
      </c>
      <c r="L577" s="29" t="str">
        <f aca="false">IF($A577="","",AsOf-$B577)</f>
        <v/>
      </c>
      <c r="M577" s="29" t="str">
        <f aca="false">IF($K577="Open",IF($C577="Conflict","Critical",IF($L577&gt;=DecisionCritical,"Critical",IF($L577&gt;=DecisionWarn,"Warning","On track"))),IF($K577="Unconfirmed",IF($L577&gt;=UnconfirmedWarn,"Warning","On track"),""))</f>
        <v/>
      </c>
      <c r="N577" s="29" t="str">
        <f aca="false">IF($M577="","",IF($M577="Critical",3000,IF($M577="Warning",2000,1000))+$L577+ROW()/100000)</f>
        <v/>
      </c>
      <c r="O577" s="29" t="str">
        <f aca="false">IF($K577="Open",IF($C577="Conflict","decide "&amp;$A577&amp;": &lt;which version stands&gt;","decide "&amp;$A577&amp;": &lt;outcome&gt;"),IF($K577="Unconfirmed","confirm "&amp;$A577,""))</f>
        <v/>
      </c>
    </row>
    <row r="578" customFormat="false" ht="15" hidden="false" customHeight="false" outlineLevel="0" collapsed="false">
      <c r="A578" s="24"/>
      <c r="B578" s="27"/>
      <c r="C578" s="28"/>
      <c r="D578" s="24"/>
      <c r="E578" s="24"/>
      <c r="F578" s="24"/>
      <c r="G578" s="28"/>
      <c r="H578" s="28"/>
      <c r="I578" s="24"/>
      <c r="J578" s="24"/>
      <c r="K578" s="29" t="str">
        <f aca="false">IF($A578="","",IF(OR($C578="Decision",$C578="Conflict"),IF(COUNTIFS($I$2:$I$1001,$A578,$C$2:$C$1001,"Resolved")=0,"Open","Closed"),IF(AND($H578="Unconfirmed",OR($C578="New",$C578="Know")),IF(COUNTIFS($I$2:$I$1001,$A578,$C$2:$C$1001,"Confirmed")=0,"Unconfirmed","Confirmed"),"Logged")))</f>
        <v/>
      </c>
      <c r="L578" s="29" t="str">
        <f aca="false">IF($A578="","",AsOf-$B578)</f>
        <v/>
      </c>
      <c r="M578" s="29" t="str">
        <f aca="false">IF($K578="Open",IF($C578="Conflict","Critical",IF($L578&gt;=DecisionCritical,"Critical",IF($L578&gt;=DecisionWarn,"Warning","On track"))),IF($K578="Unconfirmed",IF($L578&gt;=UnconfirmedWarn,"Warning","On track"),""))</f>
        <v/>
      </c>
      <c r="N578" s="29" t="str">
        <f aca="false">IF($M578="","",IF($M578="Critical",3000,IF($M578="Warning",2000,1000))+$L578+ROW()/100000)</f>
        <v/>
      </c>
      <c r="O578" s="29" t="str">
        <f aca="false">IF($K578="Open",IF($C578="Conflict","decide "&amp;$A578&amp;": &lt;which version stands&gt;","decide "&amp;$A578&amp;": &lt;outcome&gt;"),IF($K578="Unconfirmed","confirm "&amp;$A578,""))</f>
        <v/>
      </c>
    </row>
    <row r="579" customFormat="false" ht="15" hidden="false" customHeight="false" outlineLevel="0" collapsed="false">
      <c r="A579" s="24"/>
      <c r="B579" s="27"/>
      <c r="C579" s="28"/>
      <c r="D579" s="24"/>
      <c r="E579" s="24"/>
      <c r="F579" s="24"/>
      <c r="G579" s="28"/>
      <c r="H579" s="28"/>
      <c r="I579" s="24"/>
      <c r="J579" s="24"/>
      <c r="K579" s="29" t="str">
        <f aca="false">IF($A579="","",IF(OR($C579="Decision",$C579="Conflict"),IF(COUNTIFS($I$2:$I$1001,$A579,$C$2:$C$1001,"Resolved")=0,"Open","Closed"),IF(AND($H579="Unconfirmed",OR($C579="New",$C579="Know")),IF(COUNTIFS($I$2:$I$1001,$A579,$C$2:$C$1001,"Confirmed")=0,"Unconfirmed","Confirmed"),"Logged")))</f>
        <v/>
      </c>
      <c r="L579" s="29" t="str">
        <f aca="false">IF($A579="","",AsOf-$B579)</f>
        <v/>
      </c>
      <c r="M579" s="29" t="str">
        <f aca="false">IF($K579="Open",IF($C579="Conflict","Critical",IF($L579&gt;=DecisionCritical,"Critical",IF($L579&gt;=DecisionWarn,"Warning","On track"))),IF($K579="Unconfirmed",IF($L579&gt;=UnconfirmedWarn,"Warning","On track"),""))</f>
        <v/>
      </c>
      <c r="N579" s="29" t="str">
        <f aca="false">IF($M579="","",IF($M579="Critical",3000,IF($M579="Warning",2000,1000))+$L579+ROW()/100000)</f>
        <v/>
      </c>
      <c r="O579" s="29" t="str">
        <f aca="false">IF($K579="Open",IF($C579="Conflict","decide "&amp;$A579&amp;": &lt;which version stands&gt;","decide "&amp;$A579&amp;": &lt;outcome&gt;"),IF($K579="Unconfirmed","confirm "&amp;$A579,""))</f>
        <v/>
      </c>
    </row>
    <row r="580" customFormat="false" ht="15" hidden="false" customHeight="false" outlineLevel="0" collapsed="false">
      <c r="A580" s="24"/>
      <c r="B580" s="27"/>
      <c r="C580" s="28"/>
      <c r="D580" s="24"/>
      <c r="E580" s="24"/>
      <c r="F580" s="24"/>
      <c r="G580" s="28"/>
      <c r="H580" s="28"/>
      <c r="I580" s="24"/>
      <c r="J580" s="24"/>
      <c r="K580" s="29" t="str">
        <f aca="false">IF($A580="","",IF(OR($C580="Decision",$C580="Conflict"),IF(COUNTIFS($I$2:$I$1001,$A580,$C$2:$C$1001,"Resolved")=0,"Open","Closed"),IF(AND($H580="Unconfirmed",OR($C580="New",$C580="Know")),IF(COUNTIFS($I$2:$I$1001,$A580,$C$2:$C$1001,"Confirmed")=0,"Unconfirmed","Confirmed"),"Logged")))</f>
        <v/>
      </c>
      <c r="L580" s="29" t="str">
        <f aca="false">IF($A580="","",AsOf-$B580)</f>
        <v/>
      </c>
      <c r="M580" s="29" t="str">
        <f aca="false">IF($K580="Open",IF($C580="Conflict","Critical",IF($L580&gt;=DecisionCritical,"Critical",IF($L580&gt;=DecisionWarn,"Warning","On track"))),IF($K580="Unconfirmed",IF($L580&gt;=UnconfirmedWarn,"Warning","On track"),""))</f>
        <v/>
      </c>
      <c r="N580" s="29" t="str">
        <f aca="false">IF($M580="","",IF($M580="Critical",3000,IF($M580="Warning",2000,1000))+$L580+ROW()/100000)</f>
        <v/>
      </c>
      <c r="O580" s="29" t="str">
        <f aca="false">IF($K580="Open",IF($C580="Conflict","decide "&amp;$A580&amp;": &lt;which version stands&gt;","decide "&amp;$A580&amp;": &lt;outcome&gt;"),IF($K580="Unconfirmed","confirm "&amp;$A580,""))</f>
        <v/>
      </c>
    </row>
    <row r="581" customFormat="false" ht="15" hidden="false" customHeight="false" outlineLevel="0" collapsed="false">
      <c r="A581" s="24"/>
      <c r="B581" s="27"/>
      <c r="C581" s="28"/>
      <c r="D581" s="24"/>
      <c r="E581" s="24"/>
      <c r="F581" s="24"/>
      <c r="G581" s="28"/>
      <c r="H581" s="28"/>
      <c r="I581" s="24"/>
      <c r="J581" s="24"/>
      <c r="K581" s="29" t="str">
        <f aca="false">IF($A581="","",IF(OR($C581="Decision",$C581="Conflict"),IF(COUNTIFS($I$2:$I$1001,$A581,$C$2:$C$1001,"Resolved")=0,"Open","Closed"),IF(AND($H581="Unconfirmed",OR($C581="New",$C581="Know")),IF(COUNTIFS($I$2:$I$1001,$A581,$C$2:$C$1001,"Confirmed")=0,"Unconfirmed","Confirmed"),"Logged")))</f>
        <v/>
      </c>
      <c r="L581" s="29" t="str">
        <f aca="false">IF($A581="","",AsOf-$B581)</f>
        <v/>
      </c>
      <c r="M581" s="29" t="str">
        <f aca="false">IF($K581="Open",IF($C581="Conflict","Critical",IF($L581&gt;=DecisionCritical,"Critical",IF($L581&gt;=DecisionWarn,"Warning","On track"))),IF($K581="Unconfirmed",IF($L581&gt;=UnconfirmedWarn,"Warning","On track"),""))</f>
        <v/>
      </c>
      <c r="N581" s="29" t="str">
        <f aca="false">IF($M581="","",IF($M581="Critical",3000,IF($M581="Warning",2000,1000))+$L581+ROW()/100000)</f>
        <v/>
      </c>
      <c r="O581" s="29" t="str">
        <f aca="false">IF($K581="Open",IF($C581="Conflict","decide "&amp;$A581&amp;": &lt;which version stands&gt;","decide "&amp;$A581&amp;": &lt;outcome&gt;"),IF($K581="Unconfirmed","confirm "&amp;$A581,""))</f>
        <v/>
      </c>
    </row>
    <row r="582" customFormat="false" ht="15" hidden="false" customHeight="false" outlineLevel="0" collapsed="false">
      <c r="A582" s="24"/>
      <c r="B582" s="27"/>
      <c r="C582" s="28"/>
      <c r="D582" s="24"/>
      <c r="E582" s="24"/>
      <c r="F582" s="24"/>
      <c r="G582" s="28"/>
      <c r="H582" s="28"/>
      <c r="I582" s="24"/>
      <c r="J582" s="24"/>
      <c r="K582" s="29" t="str">
        <f aca="false">IF($A582="","",IF(OR($C582="Decision",$C582="Conflict"),IF(COUNTIFS($I$2:$I$1001,$A582,$C$2:$C$1001,"Resolved")=0,"Open","Closed"),IF(AND($H582="Unconfirmed",OR($C582="New",$C582="Know")),IF(COUNTIFS($I$2:$I$1001,$A582,$C$2:$C$1001,"Confirmed")=0,"Unconfirmed","Confirmed"),"Logged")))</f>
        <v/>
      </c>
      <c r="L582" s="29" t="str">
        <f aca="false">IF($A582="","",AsOf-$B582)</f>
        <v/>
      </c>
      <c r="M582" s="29" t="str">
        <f aca="false">IF($K582="Open",IF($C582="Conflict","Critical",IF($L582&gt;=DecisionCritical,"Critical",IF($L582&gt;=DecisionWarn,"Warning","On track"))),IF($K582="Unconfirmed",IF($L582&gt;=UnconfirmedWarn,"Warning","On track"),""))</f>
        <v/>
      </c>
      <c r="N582" s="29" t="str">
        <f aca="false">IF($M582="","",IF($M582="Critical",3000,IF($M582="Warning",2000,1000))+$L582+ROW()/100000)</f>
        <v/>
      </c>
      <c r="O582" s="29" t="str">
        <f aca="false">IF($K582="Open",IF($C582="Conflict","decide "&amp;$A582&amp;": &lt;which version stands&gt;","decide "&amp;$A582&amp;": &lt;outcome&gt;"),IF($K582="Unconfirmed","confirm "&amp;$A582,""))</f>
        <v/>
      </c>
    </row>
    <row r="583" customFormat="false" ht="15" hidden="false" customHeight="false" outlineLevel="0" collapsed="false">
      <c r="A583" s="24"/>
      <c r="B583" s="27"/>
      <c r="C583" s="28"/>
      <c r="D583" s="24"/>
      <c r="E583" s="24"/>
      <c r="F583" s="24"/>
      <c r="G583" s="28"/>
      <c r="H583" s="28"/>
      <c r="I583" s="24"/>
      <c r="J583" s="24"/>
      <c r="K583" s="29" t="str">
        <f aca="false">IF($A583="","",IF(OR($C583="Decision",$C583="Conflict"),IF(COUNTIFS($I$2:$I$1001,$A583,$C$2:$C$1001,"Resolved")=0,"Open","Closed"),IF(AND($H583="Unconfirmed",OR($C583="New",$C583="Know")),IF(COUNTIFS($I$2:$I$1001,$A583,$C$2:$C$1001,"Confirmed")=0,"Unconfirmed","Confirmed"),"Logged")))</f>
        <v/>
      </c>
      <c r="L583" s="29" t="str">
        <f aca="false">IF($A583="","",AsOf-$B583)</f>
        <v/>
      </c>
      <c r="M583" s="29" t="str">
        <f aca="false">IF($K583="Open",IF($C583="Conflict","Critical",IF($L583&gt;=DecisionCritical,"Critical",IF($L583&gt;=DecisionWarn,"Warning","On track"))),IF($K583="Unconfirmed",IF($L583&gt;=UnconfirmedWarn,"Warning","On track"),""))</f>
        <v/>
      </c>
      <c r="N583" s="29" t="str">
        <f aca="false">IF($M583="","",IF($M583="Critical",3000,IF($M583="Warning",2000,1000))+$L583+ROW()/100000)</f>
        <v/>
      </c>
      <c r="O583" s="29" t="str">
        <f aca="false">IF($K583="Open",IF($C583="Conflict","decide "&amp;$A583&amp;": &lt;which version stands&gt;","decide "&amp;$A583&amp;": &lt;outcome&gt;"),IF($K583="Unconfirmed","confirm "&amp;$A583,""))</f>
        <v/>
      </c>
    </row>
    <row r="584" customFormat="false" ht="15" hidden="false" customHeight="false" outlineLevel="0" collapsed="false">
      <c r="A584" s="24"/>
      <c r="B584" s="27"/>
      <c r="C584" s="28"/>
      <c r="D584" s="24"/>
      <c r="E584" s="24"/>
      <c r="F584" s="24"/>
      <c r="G584" s="28"/>
      <c r="H584" s="28"/>
      <c r="I584" s="24"/>
      <c r="J584" s="24"/>
      <c r="K584" s="29" t="str">
        <f aca="false">IF($A584="","",IF(OR($C584="Decision",$C584="Conflict"),IF(COUNTIFS($I$2:$I$1001,$A584,$C$2:$C$1001,"Resolved")=0,"Open","Closed"),IF(AND($H584="Unconfirmed",OR($C584="New",$C584="Know")),IF(COUNTIFS($I$2:$I$1001,$A584,$C$2:$C$1001,"Confirmed")=0,"Unconfirmed","Confirmed"),"Logged")))</f>
        <v/>
      </c>
      <c r="L584" s="29" t="str">
        <f aca="false">IF($A584="","",AsOf-$B584)</f>
        <v/>
      </c>
      <c r="M584" s="29" t="str">
        <f aca="false">IF($K584="Open",IF($C584="Conflict","Critical",IF($L584&gt;=DecisionCritical,"Critical",IF($L584&gt;=DecisionWarn,"Warning","On track"))),IF($K584="Unconfirmed",IF($L584&gt;=UnconfirmedWarn,"Warning","On track"),""))</f>
        <v/>
      </c>
      <c r="N584" s="29" t="str">
        <f aca="false">IF($M584="","",IF($M584="Critical",3000,IF($M584="Warning",2000,1000))+$L584+ROW()/100000)</f>
        <v/>
      </c>
      <c r="O584" s="29" t="str">
        <f aca="false">IF($K584="Open",IF($C584="Conflict","decide "&amp;$A584&amp;": &lt;which version stands&gt;","decide "&amp;$A584&amp;": &lt;outcome&gt;"),IF($K584="Unconfirmed","confirm "&amp;$A584,""))</f>
        <v/>
      </c>
    </row>
    <row r="585" customFormat="false" ht="15" hidden="false" customHeight="false" outlineLevel="0" collapsed="false">
      <c r="A585" s="24"/>
      <c r="B585" s="27"/>
      <c r="C585" s="28"/>
      <c r="D585" s="24"/>
      <c r="E585" s="24"/>
      <c r="F585" s="24"/>
      <c r="G585" s="28"/>
      <c r="H585" s="28"/>
      <c r="I585" s="24"/>
      <c r="J585" s="24"/>
      <c r="K585" s="29" t="str">
        <f aca="false">IF($A585="","",IF(OR($C585="Decision",$C585="Conflict"),IF(COUNTIFS($I$2:$I$1001,$A585,$C$2:$C$1001,"Resolved")=0,"Open","Closed"),IF(AND($H585="Unconfirmed",OR($C585="New",$C585="Know")),IF(COUNTIFS($I$2:$I$1001,$A585,$C$2:$C$1001,"Confirmed")=0,"Unconfirmed","Confirmed"),"Logged")))</f>
        <v/>
      </c>
      <c r="L585" s="29" t="str">
        <f aca="false">IF($A585="","",AsOf-$B585)</f>
        <v/>
      </c>
      <c r="M585" s="29" t="str">
        <f aca="false">IF($K585="Open",IF($C585="Conflict","Critical",IF($L585&gt;=DecisionCritical,"Critical",IF($L585&gt;=DecisionWarn,"Warning","On track"))),IF($K585="Unconfirmed",IF($L585&gt;=UnconfirmedWarn,"Warning","On track"),""))</f>
        <v/>
      </c>
      <c r="N585" s="29" t="str">
        <f aca="false">IF($M585="","",IF($M585="Critical",3000,IF($M585="Warning",2000,1000))+$L585+ROW()/100000)</f>
        <v/>
      </c>
      <c r="O585" s="29" t="str">
        <f aca="false">IF($K585="Open",IF($C585="Conflict","decide "&amp;$A585&amp;": &lt;which version stands&gt;","decide "&amp;$A585&amp;": &lt;outcome&gt;"),IF($K585="Unconfirmed","confirm "&amp;$A585,""))</f>
        <v/>
      </c>
    </row>
    <row r="586" customFormat="false" ht="15" hidden="false" customHeight="false" outlineLevel="0" collapsed="false">
      <c r="A586" s="24"/>
      <c r="B586" s="27"/>
      <c r="C586" s="28"/>
      <c r="D586" s="24"/>
      <c r="E586" s="24"/>
      <c r="F586" s="24"/>
      <c r="G586" s="28"/>
      <c r="H586" s="28"/>
      <c r="I586" s="24"/>
      <c r="J586" s="24"/>
      <c r="K586" s="29" t="str">
        <f aca="false">IF($A586="","",IF(OR($C586="Decision",$C586="Conflict"),IF(COUNTIFS($I$2:$I$1001,$A586,$C$2:$C$1001,"Resolved")=0,"Open","Closed"),IF(AND($H586="Unconfirmed",OR($C586="New",$C586="Know")),IF(COUNTIFS($I$2:$I$1001,$A586,$C$2:$C$1001,"Confirmed")=0,"Unconfirmed","Confirmed"),"Logged")))</f>
        <v/>
      </c>
      <c r="L586" s="29" t="str">
        <f aca="false">IF($A586="","",AsOf-$B586)</f>
        <v/>
      </c>
      <c r="M586" s="29" t="str">
        <f aca="false">IF($K586="Open",IF($C586="Conflict","Critical",IF($L586&gt;=DecisionCritical,"Critical",IF($L586&gt;=DecisionWarn,"Warning","On track"))),IF($K586="Unconfirmed",IF($L586&gt;=UnconfirmedWarn,"Warning","On track"),""))</f>
        <v/>
      </c>
      <c r="N586" s="29" t="str">
        <f aca="false">IF($M586="","",IF($M586="Critical",3000,IF($M586="Warning",2000,1000))+$L586+ROW()/100000)</f>
        <v/>
      </c>
      <c r="O586" s="29" t="str">
        <f aca="false">IF($K586="Open",IF($C586="Conflict","decide "&amp;$A586&amp;": &lt;which version stands&gt;","decide "&amp;$A586&amp;": &lt;outcome&gt;"),IF($K586="Unconfirmed","confirm "&amp;$A586,""))</f>
        <v/>
      </c>
    </row>
    <row r="587" customFormat="false" ht="15" hidden="false" customHeight="false" outlineLevel="0" collapsed="false">
      <c r="A587" s="24"/>
      <c r="B587" s="27"/>
      <c r="C587" s="28"/>
      <c r="D587" s="24"/>
      <c r="E587" s="24"/>
      <c r="F587" s="24"/>
      <c r="G587" s="28"/>
      <c r="H587" s="28"/>
      <c r="I587" s="24"/>
      <c r="J587" s="24"/>
      <c r="K587" s="29" t="str">
        <f aca="false">IF($A587="","",IF(OR($C587="Decision",$C587="Conflict"),IF(COUNTIFS($I$2:$I$1001,$A587,$C$2:$C$1001,"Resolved")=0,"Open","Closed"),IF(AND($H587="Unconfirmed",OR($C587="New",$C587="Know")),IF(COUNTIFS($I$2:$I$1001,$A587,$C$2:$C$1001,"Confirmed")=0,"Unconfirmed","Confirmed"),"Logged")))</f>
        <v/>
      </c>
      <c r="L587" s="29" t="str">
        <f aca="false">IF($A587="","",AsOf-$B587)</f>
        <v/>
      </c>
      <c r="M587" s="29" t="str">
        <f aca="false">IF($K587="Open",IF($C587="Conflict","Critical",IF($L587&gt;=DecisionCritical,"Critical",IF($L587&gt;=DecisionWarn,"Warning","On track"))),IF($K587="Unconfirmed",IF($L587&gt;=UnconfirmedWarn,"Warning","On track"),""))</f>
        <v/>
      </c>
      <c r="N587" s="29" t="str">
        <f aca="false">IF($M587="","",IF($M587="Critical",3000,IF($M587="Warning",2000,1000))+$L587+ROW()/100000)</f>
        <v/>
      </c>
      <c r="O587" s="29" t="str">
        <f aca="false">IF($K587="Open",IF($C587="Conflict","decide "&amp;$A587&amp;": &lt;which version stands&gt;","decide "&amp;$A587&amp;": &lt;outcome&gt;"),IF($K587="Unconfirmed","confirm "&amp;$A587,""))</f>
        <v/>
      </c>
    </row>
    <row r="588" customFormat="false" ht="15" hidden="false" customHeight="false" outlineLevel="0" collapsed="false">
      <c r="A588" s="24"/>
      <c r="B588" s="27"/>
      <c r="C588" s="28"/>
      <c r="D588" s="24"/>
      <c r="E588" s="24"/>
      <c r="F588" s="24"/>
      <c r="G588" s="28"/>
      <c r="H588" s="28"/>
      <c r="I588" s="24"/>
      <c r="J588" s="24"/>
      <c r="K588" s="29" t="str">
        <f aca="false">IF($A588="","",IF(OR($C588="Decision",$C588="Conflict"),IF(COUNTIFS($I$2:$I$1001,$A588,$C$2:$C$1001,"Resolved")=0,"Open","Closed"),IF(AND($H588="Unconfirmed",OR($C588="New",$C588="Know")),IF(COUNTIFS($I$2:$I$1001,$A588,$C$2:$C$1001,"Confirmed")=0,"Unconfirmed","Confirmed"),"Logged")))</f>
        <v/>
      </c>
      <c r="L588" s="29" t="str">
        <f aca="false">IF($A588="","",AsOf-$B588)</f>
        <v/>
      </c>
      <c r="M588" s="29" t="str">
        <f aca="false">IF($K588="Open",IF($C588="Conflict","Critical",IF($L588&gt;=DecisionCritical,"Critical",IF($L588&gt;=DecisionWarn,"Warning","On track"))),IF($K588="Unconfirmed",IF($L588&gt;=UnconfirmedWarn,"Warning","On track"),""))</f>
        <v/>
      </c>
      <c r="N588" s="29" t="str">
        <f aca="false">IF($M588="","",IF($M588="Critical",3000,IF($M588="Warning",2000,1000))+$L588+ROW()/100000)</f>
        <v/>
      </c>
      <c r="O588" s="29" t="str">
        <f aca="false">IF($K588="Open",IF($C588="Conflict","decide "&amp;$A588&amp;": &lt;which version stands&gt;","decide "&amp;$A588&amp;": &lt;outcome&gt;"),IF($K588="Unconfirmed","confirm "&amp;$A588,""))</f>
        <v/>
      </c>
    </row>
    <row r="589" customFormat="false" ht="15" hidden="false" customHeight="false" outlineLevel="0" collapsed="false">
      <c r="A589" s="24"/>
      <c r="B589" s="27"/>
      <c r="C589" s="28"/>
      <c r="D589" s="24"/>
      <c r="E589" s="24"/>
      <c r="F589" s="24"/>
      <c r="G589" s="28"/>
      <c r="H589" s="28"/>
      <c r="I589" s="24"/>
      <c r="J589" s="24"/>
      <c r="K589" s="29" t="str">
        <f aca="false">IF($A589="","",IF(OR($C589="Decision",$C589="Conflict"),IF(COUNTIFS($I$2:$I$1001,$A589,$C$2:$C$1001,"Resolved")=0,"Open","Closed"),IF(AND($H589="Unconfirmed",OR($C589="New",$C589="Know")),IF(COUNTIFS($I$2:$I$1001,$A589,$C$2:$C$1001,"Confirmed")=0,"Unconfirmed","Confirmed"),"Logged")))</f>
        <v/>
      </c>
      <c r="L589" s="29" t="str">
        <f aca="false">IF($A589="","",AsOf-$B589)</f>
        <v/>
      </c>
      <c r="M589" s="29" t="str">
        <f aca="false">IF($K589="Open",IF($C589="Conflict","Critical",IF($L589&gt;=DecisionCritical,"Critical",IF($L589&gt;=DecisionWarn,"Warning","On track"))),IF($K589="Unconfirmed",IF($L589&gt;=UnconfirmedWarn,"Warning","On track"),""))</f>
        <v/>
      </c>
      <c r="N589" s="29" t="str">
        <f aca="false">IF($M589="","",IF($M589="Critical",3000,IF($M589="Warning",2000,1000))+$L589+ROW()/100000)</f>
        <v/>
      </c>
      <c r="O589" s="29" t="str">
        <f aca="false">IF($K589="Open",IF($C589="Conflict","decide "&amp;$A589&amp;": &lt;which version stands&gt;","decide "&amp;$A589&amp;": &lt;outcome&gt;"),IF($K589="Unconfirmed","confirm "&amp;$A589,""))</f>
        <v/>
      </c>
    </row>
    <row r="590" customFormat="false" ht="15" hidden="false" customHeight="false" outlineLevel="0" collapsed="false">
      <c r="A590" s="24"/>
      <c r="B590" s="27"/>
      <c r="C590" s="28"/>
      <c r="D590" s="24"/>
      <c r="E590" s="24"/>
      <c r="F590" s="24"/>
      <c r="G590" s="28"/>
      <c r="H590" s="28"/>
      <c r="I590" s="24"/>
      <c r="J590" s="24"/>
      <c r="K590" s="29" t="str">
        <f aca="false">IF($A590="","",IF(OR($C590="Decision",$C590="Conflict"),IF(COUNTIFS($I$2:$I$1001,$A590,$C$2:$C$1001,"Resolved")=0,"Open","Closed"),IF(AND($H590="Unconfirmed",OR($C590="New",$C590="Know")),IF(COUNTIFS($I$2:$I$1001,$A590,$C$2:$C$1001,"Confirmed")=0,"Unconfirmed","Confirmed"),"Logged")))</f>
        <v/>
      </c>
      <c r="L590" s="29" t="str">
        <f aca="false">IF($A590="","",AsOf-$B590)</f>
        <v/>
      </c>
      <c r="M590" s="29" t="str">
        <f aca="false">IF($K590="Open",IF($C590="Conflict","Critical",IF($L590&gt;=DecisionCritical,"Critical",IF($L590&gt;=DecisionWarn,"Warning","On track"))),IF($K590="Unconfirmed",IF($L590&gt;=UnconfirmedWarn,"Warning","On track"),""))</f>
        <v/>
      </c>
      <c r="N590" s="29" t="str">
        <f aca="false">IF($M590="","",IF($M590="Critical",3000,IF($M590="Warning",2000,1000))+$L590+ROW()/100000)</f>
        <v/>
      </c>
      <c r="O590" s="29" t="str">
        <f aca="false">IF($K590="Open",IF($C590="Conflict","decide "&amp;$A590&amp;": &lt;which version stands&gt;","decide "&amp;$A590&amp;": &lt;outcome&gt;"),IF($K590="Unconfirmed","confirm "&amp;$A590,""))</f>
        <v/>
      </c>
    </row>
    <row r="591" customFormat="false" ht="15" hidden="false" customHeight="false" outlineLevel="0" collapsed="false">
      <c r="A591" s="24"/>
      <c r="B591" s="27"/>
      <c r="C591" s="28"/>
      <c r="D591" s="24"/>
      <c r="E591" s="24"/>
      <c r="F591" s="24"/>
      <c r="G591" s="28"/>
      <c r="H591" s="28"/>
      <c r="I591" s="24"/>
      <c r="J591" s="24"/>
      <c r="K591" s="29" t="str">
        <f aca="false">IF($A591="","",IF(OR($C591="Decision",$C591="Conflict"),IF(COUNTIFS($I$2:$I$1001,$A591,$C$2:$C$1001,"Resolved")=0,"Open","Closed"),IF(AND($H591="Unconfirmed",OR($C591="New",$C591="Know")),IF(COUNTIFS($I$2:$I$1001,$A591,$C$2:$C$1001,"Confirmed")=0,"Unconfirmed","Confirmed"),"Logged")))</f>
        <v/>
      </c>
      <c r="L591" s="29" t="str">
        <f aca="false">IF($A591="","",AsOf-$B591)</f>
        <v/>
      </c>
      <c r="M591" s="29" t="str">
        <f aca="false">IF($K591="Open",IF($C591="Conflict","Critical",IF($L591&gt;=DecisionCritical,"Critical",IF($L591&gt;=DecisionWarn,"Warning","On track"))),IF($K591="Unconfirmed",IF($L591&gt;=UnconfirmedWarn,"Warning","On track"),""))</f>
        <v/>
      </c>
      <c r="N591" s="29" t="str">
        <f aca="false">IF($M591="","",IF($M591="Critical",3000,IF($M591="Warning",2000,1000))+$L591+ROW()/100000)</f>
        <v/>
      </c>
      <c r="O591" s="29" t="str">
        <f aca="false">IF($K591="Open",IF($C591="Conflict","decide "&amp;$A591&amp;": &lt;which version stands&gt;","decide "&amp;$A591&amp;": &lt;outcome&gt;"),IF($K591="Unconfirmed","confirm "&amp;$A591,""))</f>
        <v/>
      </c>
    </row>
    <row r="592" customFormat="false" ht="15" hidden="false" customHeight="false" outlineLevel="0" collapsed="false">
      <c r="A592" s="24"/>
      <c r="B592" s="27"/>
      <c r="C592" s="28"/>
      <c r="D592" s="24"/>
      <c r="E592" s="24"/>
      <c r="F592" s="24"/>
      <c r="G592" s="28"/>
      <c r="H592" s="28"/>
      <c r="I592" s="24"/>
      <c r="J592" s="24"/>
      <c r="K592" s="29" t="str">
        <f aca="false">IF($A592="","",IF(OR($C592="Decision",$C592="Conflict"),IF(COUNTIFS($I$2:$I$1001,$A592,$C$2:$C$1001,"Resolved")=0,"Open","Closed"),IF(AND($H592="Unconfirmed",OR($C592="New",$C592="Know")),IF(COUNTIFS($I$2:$I$1001,$A592,$C$2:$C$1001,"Confirmed")=0,"Unconfirmed","Confirmed"),"Logged")))</f>
        <v/>
      </c>
      <c r="L592" s="29" t="str">
        <f aca="false">IF($A592="","",AsOf-$B592)</f>
        <v/>
      </c>
      <c r="M592" s="29" t="str">
        <f aca="false">IF($K592="Open",IF($C592="Conflict","Critical",IF($L592&gt;=DecisionCritical,"Critical",IF($L592&gt;=DecisionWarn,"Warning","On track"))),IF($K592="Unconfirmed",IF($L592&gt;=UnconfirmedWarn,"Warning","On track"),""))</f>
        <v/>
      </c>
      <c r="N592" s="29" t="str">
        <f aca="false">IF($M592="","",IF($M592="Critical",3000,IF($M592="Warning",2000,1000))+$L592+ROW()/100000)</f>
        <v/>
      </c>
      <c r="O592" s="29" t="str">
        <f aca="false">IF($K592="Open",IF($C592="Conflict","decide "&amp;$A592&amp;": &lt;which version stands&gt;","decide "&amp;$A592&amp;": &lt;outcome&gt;"),IF($K592="Unconfirmed","confirm "&amp;$A592,""))</f>
        <v/>
      </c>
    </row>
    <row r="593" customFormat="false" ht="15" hidden="false" customHeight="false" outlineLevel="0" collapsed="false">
      <c r="A593" s="24"/>
      <c r="B593" s="27"/>
      <c r="C593" s="28"/>
      <c r="D593" s="24"/>
      <c r="E593" s="24"/>
      <c r="F593" s="24"/>
      <c r="G593" s="28"/>
      <c r="H593" s="28"/>
      <c r="I593" s="24"/>
      <c r="J593" s="24"/>
      <c r="K593" s="29" t="str">
        <f aca="false">IF($A593="","",IF(OR($C593="Decision",$C593="Conflict"),IF(COUNTIFS($I$2:$I$1001,$A593,$C$2:$C$1001,"Resolved")=0,"Open","Closed"),IF(AND($H593="Unconfirmed",OR($C593="New",$C593="Know")),IF(COUNTIFS($I$2:$I$1001,$A593,$C$2:$C$1001,"Confirmed")=0,"Unconfirmed","Confirmed"),"Logged")))</f>
        <v/>
      </c>
      <c r="L593" s="29" t="str">
        <f aca="false">IF($A593="","",AsOf-$B593)</f>
        <v/>
      </c>
      <c r="M593" s="29" t="str">
        <f aca="false">IF($K593="Open",IF($C593="Conflict","Critical",IF($L593&gt;=DecisionCritical,"Critical",IF($L593&gt;=DecisionWarn,"Warning","On track"))),IF($K593="Unconfirmed",IF($L593&gt;=UnconfirmedWarn,"Warning","On track"),""))</f>
        <v/>
      </c>
      <c r="N593" s="29" t="str">
        <f aca="false">IF($M593="","",IF($M593="Critical",3000,IF($M593="Warning",2000,1000))+$L593+ROW()/100000)</f>
        <v/>
      </c>
      <c r="O593" s="29" t="str">
        <f aca="false">IF($K593="Open",IF($C593="Conflict","decide "&amp;$A593&amp;": &lt;which version stands&gt;","decide "&amp;$A593&amp;": &lt;outcome&gt;"),IF($K593="Unconfirmed","confirm "&amp;$A593,""))</f>
        <v/>
      </c>
    </row>
    <row r="594" customFormat="false" ht="15" hidden="false" customHeight="false" outlineLevel="0" collapsed="false">
      <c r="A594" s="24"/>
      <c r="B594" s="27"/>
      <c r="C594" s="28"/>
      <c r="D594" s="24"/>
      <c r="E594" s="24"/>
      <c r="F594" s="24"/>
      <c r="G594" s="28"/>
      <c r="H594" s="28"/>
      <c r="I594" s="24"/>
      <c r="J594" s="24"/>
      <c r="K594" s="29" t="str">
        <f aca="false">IF($A594="","",IF(OR($C594="Decision",$C594="Conflict"),IF(COUNTIFS($I$2:$I$1001,$A594,$C$2:$C$1001,"Resolved")=0,"Open","Closed"),IF(AND($H594="Unconfirmed",OR($C594="New",$C594="Know")),IF(COUNTIFS($I$2:$I$1001,$A594,$C$2:$C$1001,"Confirmed")=0,"Unconfirmed","Confirmed"),"Logged")))</f>
        <v/>
      </c>
      <c r="L594" s="29" t="str">
        <f aca="false">IF($A594="","",AsOf-$B594)</f>
        <v/>
      </c>
      <c r="M594" s="29" t="str">
        <f aca="false">IF($K594="Open",IF($C594="Conflict","Critical",IF($L594&gt;=DecisionCritical,"Critical",IF($L594&gt;=DecisionWarn,"Warning","On track"))),IF($K594="Unconfirmed",IF($L594&gt;=UnconfirmedWarn,"Warning","On track"),""))</f>
        <v/>
      </c>
      <c r="N594" s="29" t="str">
        <f aca="false">IF($M594="","",IF($M594="Critical",3000,IF($M594="Warning",2000,1000))+$L594+ROW()/100000)</f>
        <v/>
      </c>
      <c r="O594" s="29" t="str">
        <f aca="false">IF($K594="Open",IF($C594="Conflict","decide "&amp;$A594&amp;": &lt;which version stands&gt;","decide "&amp;$A594&amp;": &lt;outcome&gt;"),IF($K594="Unconfirmed","confirm "&amp;$A594,""))</f>
        <v/>
      </c>
    </row>
    <row r="595" customFormat="false" ht="15" hidden="false" customHeight="false" outlineLevel="0" collapsed="false">
      <c r="A595" s="24"/>
      <c r="B595" s="27"/>
      <c r="C595" s="28"/>
      <c r="D595" s="24"/>
      <c r="E595" s="24"/>
      <c r="F595" s="24"/>
      <c r="G595" s="28"/>
      <c r="H595" s="28"/>
      <c r="I595" s="24"/>
      <c r="J595" s="24"/>
      <c r="K595" s="29" t="str">
        <f aca="false">IF($A595="","",IF(OR($C595="Decision",$C595="Conflict"),IF(COUNTIFS($I$2:$I$1001,$A595,$C$2:$C$1001,"Resolved")=0,"Open","Closed"),IF(AND($H595="Unconfirmed",OR($C595="New",$C595="Know")),IF(COUNTIFS($I$2:$I$1001,$A595,$C$2:$C$1001,"Confirmed")=0,"Unconfirmed","Confirmed"),"Logged")))</f>
        <v/>
      </c>
      <c r="L595" s="29" t="str">
        <f aca="false">IF($A595="","",AsOf-$B595)</f>
        <v/>
      </c>
      <c r="M595" s="29" t="str">
        <f aca="false">IF($K595="Open",IF($C595="Conflict","Critical",IF($L595&gt;=DecisionCritical,"Critical",IF($L595&gt;=DecisionWarn,"Warning","On track"))),IF($K595="Unconfirmed",IF($L595&gt;=UnconfirmedWarn,"Warning","On track"),""))</f>
        <v/>
      </c>
      <c r="N595" s="29" t="str">
        <f aca="false">IF($M595="","",IF($M595="Critical",3000,IF($M595="Warning",2000,1000))+$L595+ROW()/100000)</f>
        <v/>
      </c>
      <c r="O595" s="29" t="str">
        <f aca="false">IF($K595="Open",IF($C595="Conflict","decide "&amp;$A595&amp;": &lt;which version stands&gt;","decide "&amp;$A595&amp;": &lt;outcome&gt;"),IF($K595="Unconfirmed","confirm "&amp;$A595,""))</f>
        <v/>
      </c>
    </row>
    <row r="596" customFormat="false" ht="15" hidden="false" customHeight="false" outlineLevel="0" collapsed="false">
      <c r="A596" s="24"/>
      <c r="B596" s="27"/>
      <c r="C596" s="28"/>
      <c r="D596" s="24"/>
      <c r="E596" s="24"/>
      <c r="F596" s="24"/>
      <c r="G596" s="28"/>
      <c r="H596" s="28"/>
      <c r="I596" s="24"/>
      <c r="J596" s="24"/>
      <c r="K596" s="29" t="str">
        <f aca="false">IF($A596="","",IF(OR($C596="Decision",$C596="Conflict"),IF(COUNTIFS($I$2:$I$1001,$A596,$C$2:$C$1001,"Resolved")=0,"Open","Closed"),IF(AND($H596="Unconfirmed",OR($C596="New",$C596="Know")),IF(COUNTIFS($I$2:$I$1001,$A596,$C$2:$C$1001,"Confirmed")=0,"Unconfirmed","Confirmed"),"Logged")))</f>
        <v/>
      </c>
      <c r="L596" s="29" t="str">
        <f aca="false">IF($A596="","",AsOf-$B596)</f>
        <v/>
      </c>
      <c r="M596" s="29" t="str">
        <f aca="false">IF($K596="Open",IF($C596="Conflict","Critical",IF($L596&gt;=DecisionCritical,"Critical",IF($L596&gt;=DecisionWarn,"Warning","On track"))),IF($K596="Unconfirmed",IF($L596&gt;=UnconfirmedWarn,"Warning","On track"),""))</f>
        <v/>
      </c>
      <c r="N596" s="29" t="str">
        <f aca="false">IF($M596="","",IF($M596="Critical",3000,IF($M596="Warning",2000,1000))+$L596+ROW()/100000)</f>
        <v/>
      </c>
      <c r="O596" s="29" t="str">
        <f aca="false">IF($K596="Open",IF($C596="Conflict","decide "&amp;$A596&amp;": &lt;which version stands&gt;","decide "&amp;$A596&amp;": &lt;outcome&gt;"),IF($K596="Unconfirmed","confirm "&amp;$A596,""))</f>
        <v/>
      </c>
    </row>
    <row r="597" customFormat="false" ht="15" hidden="false" customHeight="false" outlineLevel="0" collapsed="false">
      <c r="A597" s="24"/>
      <c r="B597" s="27"/>
      <c r="C597" s="28"/>
      <c r="D597" s="24"/>
      <c r="E597" s="24"/>
      <c r="F597" s="24"/>
      <c r="G597" s="28"/>
      <c r="H597" s="28"/>
      <c r="I597" s="24"/>
      <c r="J597" s="24"/>
      <c r="K597" s="29" t="str">
        <f aca="false">IF($A597="","",IF(OR($C597="Decision",$C597="Conflict"),IF(COUNTIFS($I$2:$I$1001,$A597,$C$2:$C$1001,"Resolved")=0,"Open","Closed"),IF(AND($H597="Unconfirmed",OR($C597="New",$C597="Know")),IF(COUNTIFS($I$2:$I$1001,$A597,$C$2:$C$1001,"Confirmed")=0,"Unconfirmed","Confirmed"),"Logged")))</f>
        <v/>
      </c>
      <c r="L597" s="29" t="str">
        <f aca="false">IF($A597="","",AsOf-$B597)</f>
        <v/>
      </c>
      <c r="M597" s="29" t="str">
        <f aca="false">IF($K597="Open",IF($C597="Conflict","Critical",IF($L597&gt;=DecisionCritical,"Critical",IF($L597&gt;=DecisionWarn,"Warning","On track"))),IF($K597="Unconfirmed",IF($L597&gt;=UnconfirmedWarn,"Warning","On track"),""))</f>
        <v/>
      </c>
      <c r="N597" s="29" t="str">
        <f aca="false">IF($M597="","",IF($M597="Critical",3000,IF($M597="Warning",2000,1000))+$L597+ROW()/100000)</f>
        <v/>
      </c>
      <c r="O597" s="29" t="str">
        <f aca="false">IF($K597="Open",IF($C597="Conflict","decide "&amp;$A597&amp;": &lt;which version stands&gt;","decide "&amp;$A597&amp;": &lt;outcome&gt;"),IF($K597="Unconfirmed","confirm "&amp;$A597,""))</f>
        <v/>
      </c>
    </row>
    <row r="598" customFormat="false" ht="15" hidden="false" customHeight="false" outlineLevel="0" collapsed="false">
      <c r="A598" s="24"/>
      <c r="B598" s="27"/>
      <c r="C598" s="28"/>
      <c r="D598" s="24"/>
      <c r="E598" s="24"/>
      <c r="F598" s="24"/>
      <c r="G598" s="28"/>
      <c r="H598" s="28"/>
      <c r="I598" s="24"/>
      <c r="J598" s="24"/>
      <c r="K598" s="29" t="str">
        <f aca="false">IF($A598="","",IF(OR($C598="Decision",$C598="Conflict"),IF(COUNTIFS($I$2:$I$1001,$A598,$C$2:$C$1001,"Resolved")=0,"Open","Closed"),IF(AND($H598="Unconfirmed",OR($C598="New",$C598="Know")),IF(COUNTIFS($I$2:$I$1001,$A598,$C$2:$C$1001,"Confirmed")=0,"Unconfirmed","Confirmed"),"Logged")))</f>
        <v/>
      </c>
      <c r="L598" s="29" t="str">
        <f aca="false">IF($A598="","",AsOf-$B598)</f>
        <v/>
      </c>
      <c r="M598" s="29" t="str">
        <f aca="false">IF($K598="Open",IF($C598="Conflict","Critical",IF($L598&gt;=DecisionCritical,"Critical",IF($L598&gt;=DecisionWarn,"Warning","On track"))),IF($K598="Unconfirmed",IF($L598&gt;=UnconfirmedWarn,"Warning","On track"),""))</f>
        <v/>
      </c>
      <c r="N598" s="29" t="str">
        <f aca="false">IF($M598="","",IF($M598="Critical",3000,IF($M598="Warning",2000,1000))+$L598+ROW()/100000)</f>
        <v/>
      </c>
      <c r="O598" s="29" t="str">
        <f aca="false">IF($K598="Open",IF($C598="Conflict","decide "&amp;$A598&amp;": &lt;which version stands&gt;","decide "&amp;$A598&amp;": &lt;outcome&gt;"),IF($K598="Unconfirmed","confirm "&amp;$A598,""))</f>
        <v/>
      </c>
    </row>
    <row r="599" customFormat="false" ht="15" hidden="false" customHeight="false" outlineLevel="0" collapsed="false">
      <c r="A599" s="24"/>
      <c r="B599" s="27"/>
      <c r="C599" s="28"/>
      <c r="D599" s="24"/>
      <c r="E599" s="24"/>
      <c r="F599" s="24"/>
      <c r="G599" s="28"/>
      <c r="H599" s="28"/>
      <c r="I599" s="24"/>
      <c r="J599" s="24"/>
      <c r="K599" s="29" t="str">
        <f aca="false">IF($A599="","",IF(OR($C599="Decision",$C599="Conflict"),IF(COUNTIFS($I$2:$I$1001,$A599,$C$2:$C$1001,"Resolved")=0,"Open","Closed"),IF(AND($H599="Unconfirmed",OR($C599="New",$C599="Know")),IF(COUNTIFS($I$2:$I$1001,$A599,$C$2:$C$1001,"Confirmed")=0,"Unconfirmed","Confirmed"),"Logged")))</f>
        <v/>
      </c>
      <c r="L599" s="29" t="str">
        <f aca="false">IF($A599="","",AsOf-$B599)</f>
        <v/>
      </c>
      <c r="M599" s="29" t="str">
        <f aca="false">IF($K599="Open",IF($C599="Conflict","Critical",IF($L599&gt;=DecisionCritical,"Critical",IF($L599&gt;=DecisionWarn,"Warning","On track"))),IF($K599="Unconfirmed",IF($L599&gt;=UnconfirmedWarn,"Warning","On track"),""))</f>
        <v/>
      </c>
      <c r="N599" s="29" t="str">
        <f aca="false">IF($M599="","",IF($M599="Critical",3000,IF($M599="Warning",2000,1000))+$L599+ROW()/100000)</f>
        <v/>
      </c>
      <c r="O599" s="29" t="str">
        <f aca="false">IF($K599="Open",IF($C599="Conflict","decide "&amp;$A599&amp;": &lt;which version stands&gt;","decide "&amp;$A599&amp;": &lt;outcome&gt;"),IF($K599="Unconfirmed","confirm "&amp;$A599,""))</f>
        <v/>
      </c>
    </row>
    <row r="600" customFormat="false" ht="15" hidden="false" customHeight="false" outlineLevel="0" collapsed="false">
      <c r="A600" s="24"/>
      <c r="B600" s="27"/>
      <c r="C600" s="28"/>
      <c r="D600" s="24"/>
      <c r="E600" s="24"/>
      <c r="F600" s="24"/>
      <c r="G600" s="28"/>
      <c r="H600" s="28"/>
      <c r="I600" s="24"/>
      <c r="J600" s="24"/>
      <c r="K600" s="29" t="str">
        <f aca="false">IF($A600="","",IF(OR($C600="Decision",$C600="Conflict"),IF(COUNTIFS($I$2:$I$1001,$A600,$C$2:$C$1001,"Resolved")=0,"Open","Closed"),IF(AND($H600="Unconfirmed",OR($C600="New",$C600="Know")),IF(COUNTIFS($I$2:$I$1001,$A600,$C$2:$C$1001,"Confirmed")=0,"Unconfirmed","Confirmed"),"Logged")))</f>
        <v/>
      </c>
      <c r="L600" s="29" t="str">
        <f aca="false">IF($A600="","",AsOf-$B600)</f>
        <v/>
      </c>
      <c r="M600" s="29" t="str">
        <f aca="false">IF($K600="Open",IF($C600="Conflict","Critical",IF($L600&gt;=DecisionCritical,"Critical",IF($L600&gt;=DecisionWarn,"Warning","On track"))),IF($K600="Unconfirmed",IF($L600&gt;=UnconfirmedWarn,"Warning","On track"),""))</f>
        <v/>
      </c>
      <c r="N600" s="29" t="str">
        <f aca="false">IF($M600="","",IF($M600="Critical",3000,IF($M600="Warning",2000,1000))+$L600+ROW()/100000)</f>
        <v/>
      </c>
      <c r="O600" s="29" t="str">
        <f aca="false">IF($K600="Open",IF($C600="Conflict","decide "&amp;$A600&amp;": &lt;which version stands&gt;","decide "&amp;$A600&amp;": &lt;outcome&gt;"),IF($K600="Unconfirmed","confirm "&amp;$A600,""))</f>
        <v/>
      </c>
    </row>
    <row r="601" customFormat="false" ht="15" hidden="false" customHeight="false" outlineLevel="0" collapsed="false">
      <c r="A601" s="24"/>
      <c r="B601" s="27"/>
      <c r="C601" s="28"/>
      <c r="D601" s="24"/>
      <c r="E601" s="24"/>
      <c r="F601" s="24"/>
      <c r="G601" s="28"/>
      <c r="H601" s="28"/>
      <c r="I601" s="24"/>
      <c r="J601" s="24"/>
      <c r="K601" s="29" t="str">
        <f aca="false">IF($A601="","",IF(OR($C601="Decision",$C601="Conflict"),IF(COUNTIFS($I$2:$I$1001,$A601,$C$2:$C$1001,"Resolved")=0,"Open","Closed"),IF(AND($H601="Unconfirmed",OR($C601="New",$C601="Know")),IF(COUNTIFS($I$2:$I$1001,$A601,$C$2:$C$1001,"Confirmed")=0,"Unconfirmed","Confirmed"),"Logged")))</f>
        <v/>
      </c>
      <c r="L601" s="29" t="str">
        <f aca="false">IF($A601="","",AsOf-$B601)</f>
        <v/>
      </c>
      <c r="M601" s="29" t="str">
        <f aca="false">IF($K601="Open",IF($C601="Conflict","Critical",IF($L601&gt;=DecisionCritical,"Critical",IF($L601&gt;=DecisionWarn,"Warning","On track"))),IF($K601="Unconfirmed",IF($L601&gt;=UnconfirmedWarn,"Warning","On track"),""))</f>
        <v/>
      </c>
      <c r="N601" s="29" t="str">
        <f aca="false">IF($M601="","",IF($M601="Critical",3000,IF($M601="Warning",2000,1000))+$L601+ROW()/100000)</f>
        <v/>
      </c>
      <c r="O601" s="29" t="str">
        <f aca="false">IF($K601="Open",IF($C601="Conflict","decide "&amp;$A601&amp;": &lt;which version stands&gt;","decide "&amp;$A601&amp;": &lt;outcome&gt;"),IF($K601="Unconfirmed","confirm "&amp;$A601,""))</f>
        <v/>
      </c>
    </row>
    <row r="602" customFormat="false" ht="15" hidden="false" customHeight="false" outlineLevel="0" collapsed="false">
      <c r="A602" s="24"/>
      <c r="B602" s="27"/>
      <c r="C602" s="28"/>
      <c r="D602" s="24"/>
      <c r="E602" s="24"/>
      <c r="F602" s="24"/>
      <c r="G602" s="28"/>
      <c r="H602" s="28"/>
      <c r="I602" s="24"/>
      <c r="J602" s="24"/>
      <c r="K602" s="29" t="str">
        <f aca="false">IF($A602="","",IF(OR($C602="Decision",$C602="Conflict"),IF(COUNTIFS($I$2:$I$1001,$A602,$C$2:$C$1001,"Resolved")=0,"Open","Closed"),IF(AND($H602="Unconfirmed",OR($C602="New",$C602="Know")),IF(COUNTIFS($I$2:$I$1001,$A602,$C$2:$C$1001,"Confirmed")=0,"Unconfirmed","Confirmed"),"Logged")))</f>
        <v/>
      </c>
      <c r="L602" s="29" t="str">
        <f aca="false">IF($A602="","",AsOf-$B602)</f>
        <v/>
      </c>
      <c r="M602" s="29" t="str">
        <f aca="false">IF($K602="Open",IF($C602="Conflict","Critical",IF($L602&gt;=DecisionCritical,"Critical",IF($L602&gt;=DecisionWarn,"Warning","On track"))),IF($K602="Unconfirmed",IF($L602&gt;=UnconfirmedWarn,"Warning","On track"),""))</f>
        <v/>
      </c>
      <c r="N602" s="29" t="str">
        <f aca="false">IF($M602="","",IF($M602="Critical",3000,IF($M602="Warning",2000,1000))+$L602+ROW()/100000)</f>
        <v/>
      </c>
      <c r="O602" s="29" t="str">
        <f aca="false">IF($K602="Open",IF($C602="Conflict","decide "&amp;$A602&amp;": &lt;which version stands&gt;","decide "&amp;$A602&amp;": &lt;outcome&gt;"),IF($K602="Unconfirmed","confirm "&amp;$A602,""))</f>
        <v/>
      </c>
    </row>
    <row r="603" customFormat="false" ht="15" hidden="false" customHeight="false" outlineLevel="0" collapsed="false">
      <c r="A603" s="24"/>
      <c r="B603" s="27"/>
      <c r="C603" s="28"/>
      <c r="D603" s="24"/>
      <c r="E603" s="24"/>
      <c r="F603" s="24"/>
      <c r="G603" s="28"/>
      <c r="H603" s="28"/>
      <c r="I603" s="24"/>
      <c r="J603" s="24"/>
      <c r="K603" s="29" t="str">
        <f aca="false">IF($A603="","",IF(OR($C603="Decision",$C603="Conflict"),IF(COUNTIFS($I$2:$I$1001,$A603,$C$2:$C$1001,"Resolved")=0,"Open","Closed"),IF(AND($H603="Unconfirmed",OR($C603="New",$C603="Know")),IF(COUNTIFS($I$2:$I$1001,$A603,$C$2:$C$1001,"Confirmed")=0,"Unconfirmed","Confirmed"),"Logged")))</f>
        <v/>
      </c>
      <c r="L603" s="29" t="str">
        <f aca="false">IF($A603="","",AsOf-$B603)</f>
        <v/>
      </c>
      <c r="M603" s="29" t="str">
        <f aca="false">IF($K603="Open",IF($C603="Conflict","Critical",IF($L603&gt;=DecisionCritical,"Critical",IF($L603&gt;=DecisionWarn,"Warning","On track"))),IF($K603="Unconfirmed",IF($L603&gt;=UnconfirmedWarn,"Warning","On track"),""))</f>
        <v/>
      </c>
      <c r="N603" s="29" t="str">
        <f aca="false">IF($M603="","",IF($M603="Critical",3000,IF($M603="Warning",2000,1000))+$L603+ROW()/100000)</f>
        <v/>
      </c>
      <c r="O603" s="29" t="str">
        <f aca="false">IF($K603="Open",IF($C603="Conflict","decide "&amp;$A603&amp;": &lt;which version stands&gt;","decide "&amp;$A603&amp;": &lt;outcome&gt;"),IF($K603="Unconfirmed","confirm "&amp;$A603,""))</f>
        <v/>
      </c>
    </row>
    <row r="604" customFormat="false" ht="15" hidden="false" customHeight="false" outlineLevel="0" collapsed="false">
      <c r="A604" s="24"/>
      <c r="B604" s="27"/>
      <c r="C604" s="28"/>
      <c r="D604" s="24"/>
      <c r="E604" s="24"/>
      <c r="F604" s="24"/>
      <c r="G604" s="28"/>
      <c r="H604" s="28"/>
      <c r="I604" s="24"/>
      <c r="J604" s="24"/>
      <c r="K604" s="29" t="str">
        <f aca="false">IF($A604="","",IF(OR($C604="Decision",$C604="Conflict"),IF(COUNTIFS($I$2:$I$1001,$A604,$C$2:$C$1001,"Resolved")=0,"Open","Closed"),IF(AND($H604="Unconfirmed",OR($C604="New",$C604="Know")),IF(COUNTIFS($I$2:$I$1001,$A604,$C$2:$C$1001,"Confirmed")=0,"Unconfirmed","Confirmed"),"Logged")))</f>
        <v/>
      </c>
      <c r="L604" s="29" t="str">
        <f aca="false">IF($A604="","",AsOf-$B604)</f>
        <v/>
      </c>
      <c r="M604" s="29" t="str">
        <f aca="false">IF($K604="Open",IF($C604="Conflict","Critical",IF($L604&gt;=DecisionCritical,"Critical",IF($L604&gt;=DecisionWarn,"Warning","On track"))),IF($K604="Unconfirmed",IF($L604&gt;=UnconfirmedWarn,"Warning","On track"),""))</f>
        <v/>
      </c>
      <c r="N604" s="29" t="str">
        <f aca="false">IF($M604="","",IF($M604="Critical",3000,IF($M604="Warning",2000,1000))+$L604+ROW()/100000)</f>
        <v/>
      </c>
      <c r="O604" s="29" t="str">
        <f aca="false">IF($K604="Open",IF($C604="Conflict","decide "&amp;$A604&amp;": &lt;which version stands&gt;","decide "&amp;$A604&amp;": &lt;outcome&gt;"),IF($K604="Unconfirmed","confirm "&amp;$A604,""))</f>
        <v/>
      </c>
    </row>
    <row r="605" customFormat="false" ht="15" hidden="false" customHeight="false" outlineLevel="0" collapsed="false">
      <c r="A605" s="24"/>
      <c r="B605" s="27"/>
      <c r="C605" s="28"/>
      <c r="D605" s="24"/>
      <c r="E605" s="24"/>
      <c r="F605" s="24"/>
      <c r="G605" s="28"/>
      <c r="H605" s="28"/>
      <c r="I605" s="24"/>
      <c r="J605" s="24"/>
      <c r="K605" s="29" t="str">
        <f aca="false">IF($A605="","",IF(OR($C605="Decision",$C605="Conflict"),IF(COUNTIFS($I$2:$I$1001,$A605,$C$2:$C$1001,"Resolved")=0,"Open","Closed"),IF(AND($H605="Unconfirmed",OR($C605="New",$C605="Know")),IF(COUNTIFS($I$2:$I$1001,$A605,$C$2:$C$1001,"Confirmed")=0,"Unconfirmed","Confirmed"),"Logged")))</f>
        <v/>
      </c>
      <c r="L605" s="29" t="str">
        <f aca="false">IF($A605="","",AsOf-$B605)</f>
        <v/>
      </c>
      <c r="M605" s="29" t="str">
        <f aca="false">IF($K605="Open",IF($C605="Conflict","Critical",IF($L605&gt;=DecisionCritical,"Critical",IF($L605&gt;=DecisionWarn,"Warning","On track"))),IF($K605="Unconfirmed",IF($L605&gt;=UnconfirmedWarn,"Warning","On track"),""))</f>
        <v/>
      </c>
      <c r="N605" s="29" t="str">
        <f aca="false">IF($M605="","",IF($M605="Critical",3000,IF($M605="Warning",2000,1000))+$L605+ROW()/100000)</f>
        <v/>
      </c>
      <c r="O605" s="29" t="str">
        <f aca="false">IF($K605="Open",IF($C605="Conflict","decide "&amp;$A605&amp;": &lt;which version stands&gt;","decide "&amp;$A605&amp;": &lt;outcome&gt;"),IF($K605="Unconfirmed","confirm "&amp;$A605,""))</f>
        <v/>
      </c>
    </row>
    <row r="606" customFormat="false" ht="15" hidden="false" customHeight="false" outlineLevel="0" collapsed="false">
      <c r="A606" s="24"/>
      <c r="B606" s="27"/>
      <c r="C606" s="28"/>
      <c r="D606" s="24"/>
      <c r="E606" s="24"/>
      <c r="F606" s="24"/>
      <c r="G606" s="28"/>
      <c r="H606" s="28"/>
      <c r="I606" s="24"/>
      <c r="J606" s="24"/>
      <c r="K606" s="29" t="str">
        <f aca="false">IF($A606="","",IF(OR($C606="Decision",$C606="Conflict"),IF(COUNTIFS($I$2:$I$1001,$A606,$C$2:$C$1001,"Resolved")=0,"Open","Closed"),IF(AND($H606="Unconfirmed",OR($C606="New",$C606="Know")),IF(COUNTIFS($I$2:$I$1001,$A606,$C$2:$C$1001,"Confirmed")=0,"Unconfirmed","Confirmed"),"Logged")))</f>
        <v/>
      </c>
      <c r="L606" s="29" t="str">
        <f aca="false">IF($A606="","",AsOf-$B606)</f>
        <v/>
      </c>
      <c r="M606" s="29" t="str">
        <f aca="false">IF($K606="Open",IF($C606="Conflict","Critical",IF($L606&gt;=DecisionCritical,"Critical",IF($L606&gt;=DecisionWarn,"Warning","On track"))),IF($K606="Unconfirmed",IF($L606&gt;=UnconfirmedWarn,"Warning","On track"),""))</f>
        <v/>
      </c>
      <c r="N606" s="29" t="str">
        <f aca="false">IF($M606="","",IF($M606="Critical",3000,IF($M606="Warning",2000,1000))+$L606+ROW()/100000)</f>
        <v/>
      </c>
      <c r="O606" s="29" t="str">
        <f aca="false">IF($K606="Open",IF($C606="Conflict","decide "&amp;$A606&amp;": &lt;which version stands&gt;","decide "&amp;$A606&amp;": &lt;outcome&gt;"),IF($K606="Unconfirmed","confirm "&amp;$A606,""))</f>
        <v/>
      </c>
    </row>
    <row r="607" customFormat="false" ht="15" hidden="false" customHeight="false" outlineLevel="0" collapsed="false">
      <c r="A607" s="24"/>
      <c r="B607" s="27"/>
      <c r="C607" s="28"/>
      <c r="D607" s="24"/>
      <c r="E607" s="24"/>
      <c r="F607" s="24"/>
      <c r="G607" s="28"/>
      <c r="H607" s="28"/>
      <c r="I607" s="24"/>
      <c r="J607" s="24"/>
      <c r="K607" s="29" t="str">
        <f aca="false">IF($A607="","",IF(OR($C607="Decision",$C607="Conflict"),IF(COUNTIFS($I$2:$I$1001,$A607,$C$2:$C$1001,"Resolved")=0,"Open","Closed"),IF(AND($H607="Unconfirmed",OR($C607="New",$C607="Know")),IF(COUNTIFS($I$2:$I$1001,$A607,$C$2:$C$1001,"Confirmed")=0,"Unconfirmed","Confirmed"),"Logged")))</f>
        <v/>
      </c>
      <c r="L607" s="29" t="str">
        <f aca="false">IF($A607="","",AsOf-$B607)</f>
        <v/>
      </c>
      <c r="M607" s="29" t="str">
        <f aca="false">IF($K607="Open",IF($C607="Conflict","Critical",IF($L607&gt;=DecisionCritical,"Critical",IF($L607&gt;=DecisionWarn,"Warning","On track"))),IF($K607="Unconfirmed",IF($L607&gt;=UnconfirmedWarn,"Warning","On track"),""))</f>
        <v/>
      </c>
      <c r="N607" s="29" t="str">
        <f aca="false">IF($M607="","",IF($M607="Critical",3000,IF($M607="Warning",2000,1000))+$L607+ROW()/100000)</f>
        <v/>
      </c>
      <c r="O607" s="29" t="str">
        <f aca="false">IF($K607="Open",IF($C607="Conflict","decide "&amp;$A607&amp;": &lt;which version stands&gt;","decide "&amp;$A607&amp;": &lt;outcome&gt;"),IF($K607="Unconfirmed","confirm "&amp;$A607,""))</f>
        <v/>
      </c>
    </row>
    <row r="608" customFormat="false" ht="15" hidden="false" customHeight="false" outlineLevel="0" collapsed="false">
      <c r="A608" s="24"/>
      <c r="B608" s="27"/>
      <c r="C608" s="28"/>
      <c r="D608" s="24"/>
      <c r="E608" s="24"/>
      <c r="F608" s="24"/>
      <c r="G608" s="28"/>
      <c r="H608" s="28"/>
      <c r="I608" s="24"/>
      <c r="J608" s="24"/>
      <c r="K608" s="29" t="str">
        <f aca="false">IF($A608="","",IF(OR($C608="Decision",$C608="Conflict"),IF(COUNTIFS($I$2:$I$1001,$A608,$C$2:$C$1001,"Resolved")=0,"Open","Closed"),IF(AND($H608="Unconfirmed",OR($C608="New",$C608="Know")),IF(COUNTIFS($I$2:$I$1001,$A608,$C$2:$C$1001,"Confirmed")=0,"Unconfirmed","Confirmed"),"Logged")))</f>
        <v/>
      </c>
      <c r="L608" s="29" t="str">
        <f aca="false">IF($A608="","",AsOf-$B608)</f>
        <v/>
      </c>
      <c r="M608" s="29" t="str">
        <f aca="false">IF($K608="Open",IF($C608="Conflict","Critical",IF($L608&gt;=DecisionCritical,"Critical",IF($L608&gt;=DecisionWarn,"Warning","On track"))),IF($K608="Unconfirmed",IF($L608&gt;=UnconfirmedWarn,"Warning","On track"),""))</f>
        <v/>
      </c>
      <c r="N608" s="29" t="str">
        <f aca="false">IF($M608="","",IF($M608="Critical",3000,IF($M608="Warning",2000,1000))+$L608+ROW()/100000)</f>
        <v/>
      </c>
      <c r="O608" s="29" t="str">
        <f aca="false">IF($K608="Open",IF($C608="Conflict","decide "&amp;$A608&amp;": &lt;which version stands&gt;","decide "&amp;$A608&amp;": &lt;outcome&gt;"),IF($K608="Unconfirmed","confirm "&amp;$A608,""))</f>
        <v/>
      </c>
    </row>
    <row r="609" customFormat="false" ht="15" hidden="false" customHeight="false" outlineLevel="0" collapsed="false">
      <c r="A609" s="24"/>
      <c r="B609" s="27"/>
      <c r="C609" s="28"/>
      <c r="D609" s="24"/>
      <c r="E609" s="24"/>
      <c r="F609" s="24"/>
      <c r="G609" s="28"/>
      <c r="H609" s="28"/>
      <c r="I609" s="24"/>
      <c r="J609" s="24"/>
      <c r="K609" s="29" t="str">
        <f aca="false">IF($A609="","",IF(OR($C609="Decision",$C609="Conflict"),IF(COUNTIFS($I$2:$I$1001,$A609,$C$2:$C$1001,"Resolved")=0,"Open","Closed"),IF(AND($H609="Unconfirmed",OR($C609="New",$C609="Know")),IF(COUNTIFS($I$2:$I$1001,$A609,$C$2:$C$1001,"Confirmed")=0,"Unconfirmed","Confirmed"),"Logged")))</f>
        <v/>
      </c>
      <c r="L609" s="29" t="str">
        <f aca="false">IF($A609="","",AsOf-$B609)</f>
        <v/>
      </c>
      <c r="M609" s="29" t="str">
        <f aca="false">IF($K609="Open",IF($C609="Conflict","Critical",IF($L609&gt;=DecisionCritical,"Critical",IF($L609&gt;=DecisionWarn,"Warning","On track"))),IF($K609="Unconfirmed",IF($L609&gt;=UnconfirmedWarn,"Warning","On track"),""))</f>
        <v/>
      </c>
      <c r="N609" s="29" t="str">
        <f aca="false">IF($M609="","",IF($M609="Critical",3000,IF($M609="Warning",2000,1000))+$L609+ROW()/100000)</f>
        <v/>
      </c>
      <c r="O609" s="29" t="str">
        <f aca="false">IF($K609="Open",IF($C609="Conflict","decide "&amp;$A609&amp;": &lt;which version stands&gt;","decide "&amp;$A609&amp;": &lt;outcome&gt;"),IF($K609="Unconfirmed","confirm "&amp;$A609,""))</f>
        <v/>
      </c>
    </row>
    <row r="610" customFormat="false" ht="15" hidden="false" customHeight="false" outlineLevel="0" collapsed="false">
      <c r="A610" s="24"/>
      <c r="B610" s="27"/>
      <c r="C610" s="28"/>
      <c r="D610" s="24"/>
      <c r="E610" s="24"/>
      <c r="F610" s="24"/>
      <c r="G610" s="28"/>
      <c r="H610" s="28"/>
      <c r="I610" s="24"/>
      <c r="J610" s="24"/>
      <c r="K610" s="29" t="str">
        <f aca="false">IF($A610="","",IF(OR($C610="Decision",$C610="Conflict"),IF(COUNTIFS($I$2:$I$1001,$A610,$C$2:$C$1001,"Resolved")=0,"Open","Closed"),IF(AND($H610="Unconfirmed",OR($C610="New",$C610="Know")),IF(COUNTIFS($I$2:$I$1001,$A610,$C$2:$C$1001,"Confirmed")=0,"Unconfirmed","Confirmed"),"Logged")))</f>
        <v/>
      </c>
      <c r="L610" s="29" t="str">
        <f aca="false">IF($A610="","",AsOf-$B610)</f>
        <v/>
      </c>
      <c r="M610" s="29" t="str">
        <f aca="false">IF($K610="Open",IF($C610="Conflict","Critical",IF($L610&gt;=DecisionCritical,"Critical",IF($L610&gt;=DecisionWarn,"Warning","On track"))),IF($K610="Unconfirmed",IF($L610&gt;=UnconfirmedWarn,"Warning","On track"),""))</f>
        <v/>
      </c>
      <c r="N610" s="29" t="str">
        <f aca="false">IF($M610="","",IF($M610="Critical",3000,IF($M610="Warning",2000,1000))+$L610+ROW()/100000)</f>
        <v/>
      </c>
      <c r="O610" s="29" t="str">
        <f aca="false">IF($K610="Open",IF($C610="Conflict","decide "&amp;$A610&amp;": &lt;which version stands&gt;","decide "&amp;$A610&amp;": &lt;outcome&gt;"),IF($K610="Unconfirmed","confirm "&amp;$A610,""))</f>
        <v/>
      </c>
    </row>
    <row r="611" customFormat="false" ht="15" hidden="false" customHeight="false" outlineLevel="0" collapsed="false">
      <c r="A611" s="24"/>
      <c r="B611" s="27"/>
      <c r="C611" s="28"/>
      <c r="D611" s="24"/>
      <c r="E611" s="24"/>
      <c r="F611" s="24"/>
      <c r="G611" s="28"/>
      <c r="H611" s="28"/>
      <c r="I611" s="24"/>
      <c r="J611" s="24"/>
      <c r="K611" s="29" t="str">
        <f aca="false">IF($A611="","",IF(OR($C611="Decision",$C611="Conflict"),IF(COUNTIFS($I$2:$I$1001,$A611,$C$2:$C$1001,"Resolved")=0,"Open","Closed"),IF(AND($H611="Unconfirmed",OR($C611="New",$C611="Know")),IF(COUNTIFS($I$2:$I$1001,$A611,$C$2:$C$1001,"Confirmed")=0,"Unconfirmed","Confirmed"),"Logged")))</f>
        <v/>
      </c>
      <c r="L611" s="29" t="str">
        <f aca="false">IF($A611="","",AsOf-$B611)</f>
        <v/>
      </c>
      <c r="M611" s="29" t="str">
        <f aca="false">IF($K611="Open",IF($C611="Conflict","Critical",IF($L611&gt;=DecisionCritical,"Critical",IF($L611&gt;=DecisionWarn,"Warning","On track"))),IF($K611="Unconfirmed",IF($L611&gt;=UnconfirmedWarn,"Warning","On track"),""))</f>
        <v/>
      </c>
      <c r="N611" s="29" t="str">
        <f aca="false">IF($M611="","",IF($M611="Critical",3000,IF($M611="Warning",2000,1000))+$L611+ROW()/100000)</f>
        <v/>
      </c>
      <c r="O611" s="29" t="str">
        <f aca="false">IF($K611="Open",IF($C611="Conflict","decide "&amp;$A611&amp;": &lt;which version stands&gt;","decide "&amp;$A611&amp;": &lt;outcome&gt;"),IF($K611="Unconfirmed","confirm "&amp;$A611,""))</f>
        <v/>
      </c>
    </row>
    <row r="612" customFormat="false" ht="15" hidden="false" customHeight="false" outlineLevel="0" collapsed="false">
      <c r="A612" s="24"/>
      <c r="B612" s="27"/>
      <c r="C612" s="28"/>
      <c r="D612" s="24"/>
      <c r="E612" s="24"/>
      <c r="F612" s="24"/>
      <c r="G612" s="28"/>
      <c r="H612" s="28"/>
      <c r="I612" s="24"/>
      <c r="J612" s="24"/>
      <c r="K612" s="29" t="str">
        <f aca="false">IF($A612="","",IF(OR($C612="Decision",$C612="Conflict"),IF(COUNTIFS($I$2:$I$1001,$A612,$C$2:$C$1001,"Resolved")=0,"Open","Closed"),IF(AND($H612="Unconfirmed",OR($C612="New",$C612="Know")),IF(COUNTIFS($I$2:$I$1001,$A612,$C$2:$C$1001,"Confirmed")=0,"Unconfirmed","Confirmed"),"Logged")))</f>
        <v/>
      </c>
      <c r="L612" s="29" t="str">
        <f aca="false">IF($A612="","",AsOf-$B612)</f>
        <v/>
      </c>
      <c r="M612" s="29" t="str">
        <f aca="false">IF($K612="Open",IF($C612="Conflict","Critical",IF($L612&gt;=DecisionCritical,"Critical",IF($L612&gt;=DecisionWarn,"Warning","On track"))),IF($K612="Unconfirmed",IF($L612&gt;=UnconfirmedWarn,"Warning","On track"),""))</f>
        <v/>
      </c>
      <c r="N612" s="29" t="str">
        <f aca="false">IF($M612="","",IF($M612="Critical",3000,IF($M612="Warning",2000,1000))+$L612+ROW()/100000)</f>
        <v/>
      </c>
      <c r="O612" s="29" t="str">
        <f aca="false">IF($K612="Open",IF($C612="Conflict","decide "&amp;$A612&amp;": &lt;which version stands&gt;","decide "&amp;$A612&amp;": &lt;outcome&gt;"),IF($K612="Unconfirmed","confirm "&amp;$A612,""))</f>
        <v/>
      </c>
    </row>
    <row r="613" customFormat="false" ht="15" hidden="false" customHeight="false" outlineLevel="0" collapsed="false">
      <c r="A613" s="24"/>
      <c r="B613" s="27"/>
      <c r="C613" s="28"/>
      <c r="D613" s="24"/>
      <c r="E613" s="24"/>
      <c r="F613" s="24"/>
      <c r="G613" s="28"/>
      <c r="H613" s="28"/>
      <c r="I613" s="24"/>
      <c r="J613" s="24"/>
      <c r="K613" s="29" t="str">
        <f aca="false">IF($A613="","",IF(OR($C613="Decision",$C613="Conflict"),IF(COUNTIFS($I$2:$I$1001,$A613,$C$2:$C$1001,"Resolved")=0,"Open","Closed"),IF(AND($H613="Unconfirmed",OR($C613="New",$C613="Know")),IF(COUNTIFS($I$2:$I$1001,$A613,$C$2:$C$1001,"Confirmed")=0,"Unconfirmed","Confirmed"),"Logged")))</f>
        <v/>
      </c>
      <c r="L613" s="29" t="str">
        <f aca="false">IF($A613="","",AsOf-$B613)</f>
        <v/>
      </c>
      <c r="M613" s="29" t="str">
        <f aca="false">IF($K613="Open",IF($C613="Conflict","Critical",IF($L613&gt;=DecisionCritical,"Critical",IF($L613&gt;=DecisionWarn,"Warning","On track"))),IF($K613="Unconfirmed",IF($L613&gt;=UnconfirmedWarn,"Warning","On track"),""))</f>
        <v/>
      </c>
      <c r="N613" s="29" t="str">
        <f aca="false">IF($M613="","",IF($M613="Critical",3000,IF($M613="Warning",2000,1000))+$L613+ROW()/100000)</f>
        <v/>
      </c>
      <c r="O613" s="29" t="str">
        <f aca="false">IF($K613="Open",IF($C613="Conflict","decide "&amp;$A613&amp;": &lt;which version stands&gt;","decide "&amp;$A613&amp;": &lt;outcome&gt;"),IF($K613="Unconfirmed","confirm "&amp;$A613,""))</f>
        <v/>
      </c>
    </row>
    <row r="614" customFormat="false" ht="15" hidden="false" customHeight="false" outlineLevel="0" collapsed="false">
      <c r="A614" s="24"/>
      <c r="B614" s="27"/>
      <c r="C614" s="28"/>
      <c r="D614" s="24"/>
      <c r="E614" s="24"/>
      <c r="F614" s="24"/>
      <c r="G614" s="28"/>
      <c r="H614" s="28"/>
      <c r="I614" s="24"/>
      <c r="J614" s="24"/>
      <c r="K614" s="29" t="str">
        <f aca="false">IF($A614="","",IF(OR($C614="Decision",$C614="Conflict"),IF(COUNTIFS($I$2:$I$1001,$A614,$C$2:$C$1001,"Resolved")=0,"Open","Closed"),IF(AND($H614="Unconfirmed",OR($C614="New",$C614="Know")),IF(COUNTIFS($I$2:$I$1001,$A614,$C$2:$C$1001,"Confirmed")=0,"Unconfirmed","Confirmed"),"Logged")))</f>
        <v/>
      </c>
      <c r="L614" s="29" t="str">
        <f aca="false">IF($A614="","",AsOf-$B614)</f>
        <v/>
      </c>
      <c r="M614" s="29" t="str">
        <f aca="false">IF($K614="Open",IF($C614="Conflict","Critical",IF($L614&gt;=DecisionCritical,"Critical",IF($L614&gt;=DecisionWarn,"Warning","On track"))),IF($K614="Unconfirmed",IF($L614&gt;=UnconfirmedWarn,"Warning","On track"),""))</f>
        <v/>
      </c>
      <c r="N614" s="29" t="str">
        <f aca="false">IF($M614="","",IF($M614="Critical",3000,IF($M614="Warning",2000,1000))+$L614+ROW()/100000)</f>
        <v/>
      </c>
      <c r="O614" s="29" t="str">
        <f aca="false">IF($K614="Open",IF($C614="Conflict","decide "&amp;$A614&amp;": &lt;which version stands&gt;","decide "&amp;$A614&amp;": &lt;outcome&gt;"),IF($K614="Unconfirmed","confirm "&amp;$A614,""))</f>
        <v/>
      </c>
    </row>
    <row r="615" customFormat="false" ht="15" hidden="false" customHeight="false" outlineLevel="0" collapsed="false">
      <c r="A615" s="24"/>
      <c r="B615" s="27"/>
      <c r="C615" s="28"/>
      <c r="D615" s="24"/>
      <c r="E615" s="24"/>
      <c r="F615" s="24"/>
      <c r="G615" s="28"/>
      <c r="H615" s="28"/>
      <c r="I615" s="24"/>
      <c r="J615" s="24"/>
      <c r="K615" s="29" t="str">
        <f aca="false">IF($A615="","",IF(OR($C615="Decision",$C615="Conflict"),IF(COUNTIFS($I$2:$I$1001,$A615,$C$2:$C$1001,"Resolved")=0,"Open","Closed"),IF(AND($H615="Unconfirmed",OR($C615="New",$C615="Know")),IF(COUNTIFS($I$2:$I$1001,$A615,$C$2:$C$1001,"Confirmed")=0,"Unconfirmed","Confirmed"),"Logged")))</f>
        <v/>
      </c>
      <c r="L615" s="29" t="str">
        <f aca="false">IF($A615="","",AsOf-$B615)</f>
        <v/>
      </c>
      <c r="M615" s="29" t="str">
        <f aca="false">IF($K615="Open",IF($C615="Conflict","Critical",IF($L615&gt;=DecisionCritical,"Critical",IF($L615&gt;=DecisionWarn,"Warning","On track"))),IF($K615="Unconfirmed",IF($L615&gt;=UnconfirmedWarn,"Warning","On track"),""))</f>
        <v/>
      </c>
      <c r="N615" s="29" t="str">
        <f aca="false">IF($M615="","",IF($M615="Critical",3000,IF($M615="Warning",2000,1000))+$L615+ROW()/100000)</f>
        <v/>
      </c>
      <c r="O615" s="29" t="str">
        <f aca="false">IF($K615="Open",IF($C615="Conflict","decide "&amp;$A615&amp;": &lt;which version stands&gt;","decide "&amp;$A615&amp;": &lt;outcome&gt;"),IF($K615="Unconfirmed","confirm "&amp;$A615,""))</f>
        <v/>
      </c>
    </row>
    <row r="616" customFormat="false" ht="15" hidden="false" customHeight="false" outlineLevel="0" collapsed="false">
      <c r="A616" s="24"/>
      <c r="B616" s="27"/>
      <c r="C616" s="28"/>
      <c r="D616" s="24"/>
      <c r="E616" s="24"/>
      <c r="F616" s="24"/>
      <c r="G616" s="28"/>
      <c r="H616" s="28"/>
      <c r="I616" s="24"/>
      <c r="J616" s="24"/>
      <c r="K616" s="29" t="str">
        <f aca="false">IF($A616="","",IF(OR($C616="Decision",$C616="Conflict"),IF(COUNTIFS($I$2:$I$1001,$A616,$C$2:$C$1001,"Resolved")=0,"Open","Closed"),IF(AND($H616="Unconfirmed",OR($C616="New",$C616="Know")),IF(COUNTIFS($I$2:$I$1001,$A616,$C$2:$C$1001,"Confirmed")=0,"Unconfirmed","Confirmed"),"Logged")))</f>
        <v/>
      </c>
      <c r="L616" s="29" t="str">
        <f aca="false">IF($A616="","",AsOf-$B616)</f>
        <v/>
      </c>
      <c r="M616" s="29" t="str">
        <f aca="false">IF($K616="Open",IF($C616="Conflict","Critical",IF($L616&gt;=DecisionCritical,"Critical",IF($L616&gt;=DecisionWarn,"Warning","On track"))),IF($K616="Unconfirmed",IF($L616&gt;=UnconfirmedWarn,"Warning","On track"),""))</f>
        <v/>
      </c>
      <c r="N616" s="29" t="str">
        <f aca="false">IF($M616="","",IF($M616="Critical",3000,IF($M616="Warning",2000,1000))+$L616+ROW()/100000)</f>
        <v/>
      </c>
      <c r="O616" s="29" t="str">
        <f aca="false">IF($K616="Open",IF($C616="Conflict","decide "&amp;$A616&amp;": &lt;which version stands&gt;","decide "&amp;$A616&amp;": &lt;outcome&gt;"),IF($K616="Unconfirmed","confirm "&amp;$A616,""))</f>
        <v/>
      </c>
    </row>
    <row r="617" customFormat="false" ht="15" hidden="false" customHeight="false" outlineLevel="0" collapsed="false">
      <c r="A617" s="24"/>
      <c r="B617" s="27"/>
      <c r="C617" s="28"/>
      <c r="D617" s="24"/>
      <c r="E617" s="24"/>
      <c r="F617" s="24"/>
      <c r="G617" s="28"/>
      <c r="H617" s="28"/>
      <c r="I617" s="24"/>
      <c r="J617" s="24"/>
      <c r="K617" s="29" t="str">
        <f aca="false">IF($A617="","",IF(OR($C617="Decision",$C617="Conflict"),IF(COUNTIFS($I$2:$I$1001,$A617,$C$2:$C$1001,"Resolved")=0,"Open","Closed"),IF(AND($H617="Unconfirmed",OR($C617="New",$C617="Know")),IF(COUNTIFS($I$2:$I$1001,$A617,$C$2:$C$1001,"Confirmed")=0,"Unconfirmed","Confirmed"),"Logged")))</f>
        <v/>
      </c>
      <c r="L617" s="29" t="str">
        <f aca="false">IF($A617="","",AsOf-$B617)</f>
        <v/>
      </c>
      <c r="M617" s="29" t="str">
        <f aca="false">IF($K617="Open",IF($C617="Conflict","Critical",IF($L617&gt;=DecisionCritical,"Critical",IF($L617&gt;=DecisionWarn,"Warning","On track"))),IF($K617="Unconfirmed",IF($L617&gt;=UnconfirmedWarn,"Warning","On track"),""))</f>
        <v/>
      </c>
      <c r="N617" s="29" t="str">
        <f aca="false">IF($M617="","",IF($M617="Critical",3000,IF($M617="Warning",2000,1000))+$L617+ROW()/100000)</f>
        <v/>
      </c>
      <c r="O617" s="29" t="str">
        <f aca="false">IF($K617="Open",IF($C617="Conflict","decide "&amp;$A617&amp;": &lt;which version stands&gt;","decide "&amp;$A617&amp;": &lt;outcome&gt;"),IF($K617="Unconfirmed","confirm "&amp;$A617,""))</f>
        <v/>
      </c>
    </row>
    <row r="618" customFormat="false" ht="15" hidden="false" customHeight="false" outlineLevel="0" collapsed="false">
      <c r="A618" s="24"/>
      <c r="B618" s="27"/>
      <c r="C618" s="28"/>
      <c r="D618" s="24"/>
      <c r="E618" s="24"/>
      <c r="F618" s="24"/>
      <c r="G618" s="28"/>
      <c r="H618" s="28"/>
      <c r="I618" s="24"/>
      <c r="J618" s="24"/>
      <c r="K618" s="29" t="str">
        <f aca="false">IF($A618="","",IF(OR($C618="Decision",$C618="Conflict"),IF(COUNTIFS($I$2:$I$1001,$A618,$C$2:$C$1001,"Resolved")=0,"Open","Closed"),IF(AND($H618="Unconfirmed",OR($C618="New",$C618="Know")),IF(COUNTIFS($I$2:$I$1001,$A618,$C$2:$C$1001,"Confirmed")=0,"Unconfirmed","Confirmed"),"Logged")))</f>
        <v/>
      </c>
      <c r="L618" s="29" t="str">
        <f aca="false">IF($A618="","",AsOf-$B618)</f>
        <v/>
      </c>
      <c r="M618" s="29" t="str">
        <f aca="false">IF($K618="Open",IF($C618="Conflict","Critical",IF($L618&gt;=DecisionCritical,"Critical",IF($L618&gt;=DecisionWarn,"Warning","On track"))),IF($K618="Unconfirmed",IF($L618&gt;=UnconfirmedWarn,"Warning","On track"),""))</f>
        <v/>
      </c>
      <c r="N618" s="29" t="str">
        <f aca="false">IF($M618="","",IF($M618="Critical",3000,IF($M618="Warning",2000,1000))+$L618+ROW()/100000)</f>
        <v/>
      </c>
      <c r="O618" s="29" t="str">
        <f aca="false">IF($K618="Open",IF($C618="Conflict","decide "&amp;$A618&amp;": &lt;which version stands&gt;","decide "&amp;$A618&amp;": &lt;outcome&gt;"),IF($K618="Unconfirmed","confirm "&amp;$A618,""))</f>
        <v/>
      </c>
    </row>
    <row r="619" customFormat="false" ht="15" hidden="false" customHeight="false" outlineLevel="0" collapsed="false">
      <c r="A619" s="24"/>
      <c r="B619" s="27"/>
      <c r="C619" s="28"/>
      <c r="D619" s="24"/>
      <c r="E619" s="24"/>
      <c r="F619" s="24"/>
      <c r="G619" s="28"/>
      <c r="H619" s="28"/>
      <c r="I619" s="24"/>
      <c r="J619" s="24"/>
      <c r="K619" s="29" t="str">
        <f aca="false">IF($A619="","",IF(OR($C619="Decision",$C619="Conflict"),IF(COUNTIFS($I$2:$I$1001,$A619,$C$2:$C$1001,"Resolved")=0,"Open","Closed"),IF(AND($H619="Unconfirmed",OR($C619="New",$C619="Know")),IF(COUNTIFS($I$2:$I$1001,$A619,$C$2:$C$1001,"Confirmed")=0,"Unconfirmed","Confirmed"),"Logged")))</f>
        <v/>
      </c>
      <c r="L619" s="29" t="str">
        <f aca="false">IF($A619="","",AsOf-$B619)</f>
        <v/>
      </c>
      <c r="M619" s="29" t="str">
        <f aca="false">IF($K619="Open",IF($C619="Conflict","Critical",IF($L619&gt;=DecisionCritical,"Critical",IF($L619&gt;=DecisionWarn,"Warning","On track"))),IF($K619="Unconfirmed",IF($L619&gt;=UnconfirmedWarn,"Warning","On track"),""))</f>
        <v/>
      </c>
      <c r="N619" s="29" t="str">
        <f aca="false">IF($M619="","",IF($M619="Critical",3000,IF($M619="Warning",2000,1000))+$L619+ROW()/100000)</f>
        <v/>
      </c>
      <c r="O619" s="29" t="str">
        <f aca="false">IF($K619="Open",IF($C619="Conflict","decide "&amp;$A619&amp;": &lt;which version stands&gt;","decide "&amp;$A619&amp;": &lt;outcome&gt;"),IF($K619="Unconfirmed","confirm "&amp;$A619,""))</f>
        <v/>
      </c>
    </row>
    <row r="620" customFormat="false" ht="15" hidden="false" customHeight="false" outlineLevel="0" collapsed="false">
      <c r="A620" s="24"/>
      <c r="B620" s="27"/>
      <c r="C620" s="28"/>
      <c r="D620" s="24"/>
      <c r="E620" s="24"/>
      <c r="F620" s="24"/>
      <c r="G620" s="28"/>
      <c r="H620" s="28"/>
      <c r="I620" s="24"/>
      <c r="J620" s="24"/>
      <c r="K620" s="29" t="str">
        <f aca="false">IF($A620="","",IF(OR($C620="Decision",$C620="Conflict"),IF(COUNTIFS($I$2:$I$1001,$A620,$C$2:$C$1001,"Resolved")=0,"Open","Closed"),IF(AND($H620="Unconfirmed",OR($C620="New",$C620="Know")),IF(COUNTIFS($I$2:$I$1001,$A620,$C$2:$C$1001,"Confirmed")=0,"Unconfirmed","Confirmed"),"Logged")))</f>
        <v/>
      </c>
      <c r="L620" s="29" t="str">
        <f aca="false">IF($A620="","",AsOf-$B620)</f>
        <v/>
      </c>
      <c r="M620" s="29" t="str">
        <f aca="false">IF($K620="Open",IF($C620="Conflict","Critical",IF($L620&gt;=DecisionCritical,"Critical",IF($L620&gt;=DecisionWarn,"Warning","On track"))),IF($K620="Unconfirmed",IF($L620&gt;=UnconfirmedWarn,"Warning","On track"),""))</f>
        <v/>
      </c>
      <c r="N620" s="29" t="str">
        <f aca="false">IF($M620="","",IF($M620="Critical",3000,IF($M620="Warning",2000,1000))+$L620+ROW()/100000)</f>
        <v/>
      </c>
      <c r="O620" s="29" t="str">
        <f aca="false">IF($K620="Open",IF($C620="Conflict","decide "&amp;$A620&amp;": &lt;which version stands&gt;","decide "&amp;$A620&amp;": &lt;outcome&gt;"),IF($K620="Unconfirmed","confirm "&amp;$A620,""))</f>
        <v/>
      </c>
    </row>
    <row r="621" customFormat="false" ht="15" hidden="false" customHeight="false" outlineLevel="0" collapsed="false">
      <c r="A621" s="24"/>
      <c r="B621" s="27"/>
      <c r="C621" s="28"/>
      <c r="D621" s="24"/>
      <c r="E621" s="24"/>
      <c r="F621" s="24"/>
      <c r="G621" s="28"/>
      <c r="H621" s="28"/>
      <c r="I621" s="24"/>
      <c r="J621" s="24"/>
      <c r="K621" s="29" t="str">
        <f aca="false">IF($A621="","",IF(OR($C621="Decision",$C621="Conflict"),IF(COUNTIFS($I$2:$I$1001,$A621,$C$2:$C$1001,"Resolved")=0,"Open","Closed"),IF(AND($H621="Unconfirmed",OR($C621="New",$C621="Know")),IF(COUNTIFS($I$2:$I$1001,$A621,$C$2:$C$1001,"Confirmed")=0,"Unconfirmed","Confirmed"),"Logged")))</f>
        <v/>
      </c>
      <c r="L621" s="29" t="str">
        <f aca="false">IF($A621="","",AsOf-$B621)</f>
        <v/>
      </c>
      <c r="M621" s="29" t="str">
        <f aca="false">IF($K621="Open",IF($C621="Conflict","Critical",IF($L621&gt;=DecisionCritical,"Critical",IF($L621&gt;=DecisionWarn,"Warning","On track"))),IF($K621="Unconfirmed",IF($L621&gt;=UnconfirmedWarn,"Warning","On track"),""))</f>
        <v/>
      </c>
      <c r="N621" s="29" t="str">
        <f aca="false">IF($M621="","",IF($M621="Critical",3000,IF($M621="Warning",2000,1000))+$L621+ROW()/100000)</f>
        <v/>
      </c>
      <c r="O621" s="29" t="str">
        <f aca="false">IF($K621="Open",IF($C621="Conflict","decide "&amp;$A621&amp;": &lt;which version stands&gt;","decide "&amp;$A621&amp;": &lt;outcome&gt;"),IF($K621="Unconfirmed","confirm "&amp;$A621,""))</f>
        <v/>
      </c>
    </row>
    <row r="622" customFormat="false" ht="15" hidden="false" customHeight="false" outlineLevel="0" collapsed="false">
      <c r="A622" s="24"/>
      <c r="B622" s="27"/>
      <c r="C622" s="28"/>
      <c r="D622" s="24"/>
      <c r="E622" s="24"/>
      <c r="F622" s="24"/>
      <c r="G622" s="28"/>
      <c r="H622" s="28"/>
      <c r="I622" s="24"/>
      <c r="J622" s="24"/>
      <c r="K622" s="29" t="str">
        <f aca="false">IF($A622="","",IF(OR($C622="Decision",$C622="Conflict"),IF(COUNTIFS($I$2:$I$1001,$A622,$C$2:$C$1001,"Resolved")=0,"Open","Closed"),IF(AND($H622="Unconfirmed",OR($C622="New",$C622="Know")),IF(COUNTIFS($I$2:$I$1001,$A622,$C$2:$C$1001,"Confirmed")=0,"Unconfirmed","Confirmed"),"Logged")))</f>
        <v/>
      </c>
      <c r="L622" s="29" t="str">
        <f aca="false">IF($A622="","",AsOf-$B622)</f>
        <v/>
      </c>
      <c r="M622" s="29" t="str">
        <f aca="false">IF($K622="Open",IF($C622="Conflict","Critical",IF($L622&gt;=DecisionCritical,"Critical",IF($L622&gt;=DecisionWarn,"Warning","On track"))),IF($K622="Unconfirmed",IF($L622&gt;=UnconfirmedWarn,"Warning","On track"),""))</f>
        <v/>
      </c>
      <c r="N622" s="29" t="str">
        <f aca="false">IF($M622="","",IF($M622="Critical",3000,IF($M622="Warning",2000,1000))+$L622+ROW()/100000)</f>
        <v/>
      </c>
      <c r="O622" s="29" t="str">
        <f aca="false">IF($K622="Open",IF($C622="Conflict","decide "&amp;$A622&amp;": &lt;which version stands&gt;","decide "&amp;$A622&amp;": &lt;outcome&gt;"),IF($K622="Unconfirmed","confirm "&amp;$A622,""))</f>
        <v/>
      </c>
    </row>
    <row r="623" customFormat="false" ht="15" hidden="false" customHeight="false" outlineLevel="0" collapsed="false">
      <c r="A623" s="24"/>
      <c r="B623" s="27"/>
      <c r="C623" s="28"/>
      <c r="D623" s="24"/>
      <c r="E623" s="24"/>
      <c r="F623" s="24"/>
      <c r="G623" s="28"/>
      <c r="H623" s="28"/>
      <c r="I623" s="24"/>
      <c r="J623" s="24"/>
      <c r="K623" s="29" t="str">
        <f aca="false">IF($A623="","",IF(OR($C623="Decision",$C623="Conflict"),IF(COUNTIFS($I$2:$I$1001,$A623,$C$2:$C$1001,"Resolved")=0,"Open","Closed"),IF(AND($H623="Unconfirmed",OR($C623="New",$C623="Know")),IF(COUNTIFS($I$2:$I$1001,$A623,$C$2:$C$1001,"Confirmed")=0,"Unconfirmed","Confirmed"),"Logged")))</f>
        <v/>
      </c>
      <c r="L623" s="29" t="str">
        <f aca="false">IF($A623="","",AsOf-$B623)</f>
        <v/>
      </c>
      <c r="M623" s="29" t="str">
        <f aca="false">IF($K623="Open",IF($C623="Conflict","Critical",IF($L623&gt;=DecisionCritical,"Critical",IF($L623&gt;=DecisionWarn,"Warning","On track"))),IF($K623="Unconfirmed",IF($L623&gt;=UnconfirmedWarn,"Warning","On track"),""))</f>
        <v/>
      </c>
      <c r="N623" s="29" t="str">
        <f aca="false">IF($M623="","",IF($M623="Critical",3000,IF($M623="Warning",2000,1000))+$L623+ROW()/100000)</f>
        <v/>
      </c>
      <c r="O623" s="29" t="str">
        <f aca="false">IF($K623="Open",IF($C623="Conflict","decide "&amp;$A623&amp;": &lt;which version stands&gt;","decide "&amp;$A623&amp;": &lt;outcome&gt;"),IF($K623="Unconfirmed","confirm "&amp;$A623,""))</f>
        <v/>
      </c>
    </row>
    <row r="624" customFormat="false" ht="15" hidden="false" customHeight="false" outlineLevel="0" collapsed="false">
      <c r="A624" s="24"/>
      <c r="B624" s="27"/>
      <c r="C624" s="28"/>
      <c r="D624" s="24"/>
      <c r="E624" s="24"/>
      <c r="F624" s="24"/>
      <c r="G624" s="28"/>
      <c r="H624" s="28"/>
      <c r="I624" s="24"/>
      <c r="J624" s="24"/>
      <c r="K624" s="29" t="str">
        <f aca="false">IF($A624="","",IF(OR($C624="Decision",$C624="Conflict"),IF(COUNTIFS($I$2:$I$1001,$A624,$C$2:$C$1001,"Resolved")=0,"Open","Closed"),IF(AND($H624="Unconfirmed",OR($C624="New",$C624="Know")),IF(COUNTIFS($I$2:$I$1001,$A624,$C$2:$C$1001,"Confirmed")=0,"Unconfirmed","Confirmed"),"Logged")))</f>
        <v/>
      </c>
      <c r="L624" s="29" t="str">
        <f aca="false">IF($A624="","",AsOf-$B624)</f>
        <v/>
      </c>
      <c r="M624" s="29" t="str">
        <f aca="false">IF($K624="Open",IF($C624="Conflict","Critical",IF($L624&gt;=DecisionCritical,"Critical",IF($L624&gt;=DecisionWarn,"Warning","On track"))),IF($K624="Unconfirmed",IF($L624&gt;=UnconfirmedWarn,"Warning","On track"),""))</f>
        <v/>
      </c>
      <c r="N624" s="29" t="str">
        <f aca="false">IF($M624="","",IF($M624="Critical",3000,IF($M624="Warning",2000,1000))+$L624+ROW()/100000)</f>
        <v/>
      </c>
      <c r="O624" s="29" t="str">
        <f aca="false">IF($K624="Open",IF($C624="Conflict","decide "&amp;$A624&amp;": &lt;which version stands&gt;","decide "&amp;$A624&amp;": &lt;outcome&gt;"),IF($K624="Unconfirmed","confirm "&amp;$A624,""))</f>
        <v/>
      </c>
    </row>
    <row r="625" customFormat="false" ht="15" hidden="false" customHeight="false" outlineLevel="0" collapsed="false">
      <c r="A625" s="24"/>
      <c r="B625" s="27"/>
      <c r="C625" s="28"/>
      <c r="D625" s="24"/>
      <c r="E625" s="24"/>
      <c r="F625" s="24"/>
      <c r="G625" s="28"/>
      <c r="H625" s="28"/>
      <c r="I625" s="24"/>
      <c r="J625" s="24"/>
      <c r="K625" s="29" t="str">
        <f aca="false">IF($A625="","",IF(OR($C625="Decision",$C625="Conflict"),IF(COUNTIFS($I$2:$I$1001,$A625,$C$2:$C$1001,"Resolved")=0,"Open","Closed"),IF(AND($H625="Unconfirmed",OR($C625="New",$C625="Know")),IF(COUNTIFS($I$2:$I$1001,$A625,$C$2:$C$1001,"Confirmed")=0,"Unconfirmed","Confirmed"),"Logged")))</f>
        <v/>
      </c>
      <c r="L625" s="29" t="str">
        <f aca="false">IF($A625="","",AsOf-$B625)</f>
        <v/>
      </c>
      <c r="M625" s="29" t="str">
        <f aca="false">IF($K625="Open",IF($C625="Conflict","Critical",IF($L625&gt;=DecisionCritical,"Critical",IF($L625&gt;=DecisionWarn,"Warning","On track"))),IF($K625="Unconfirmed",IF($L625&gt;=UnconfirmedWarn,"Warning","On track"),""))</f>
        <v/>
      </c>
      <c r="N625" s="29" t="str">
        <f aca="false">IF($M625="","",IF($M625="Critical",3000,IF($M625="Warning",2000,1000))+$L625+ROW()/100000)</f>
        <v/>
      </c>
      <c r="O625" s="29" t="str">
        <f aca="false">IF($K625="Open",IF($C625="Conflict","decide "&amp;$A625&amp;": &lt;which version stands&gt;","decide "&amp;$A625&amp;": &lt;outcome&gt;"),IF($K625="Unconfirmed","confirm "&amp;$A625,""))</f>
        <v/>
      </c>
    </row>
    <row r="626" customFormat="false" ht="15" hidden="false" customHeight="false" outlineLevel="0" collapsed="false">
      <c r="A626" s="24"/>
      <c r="B626" s="27"/>
      <c r="C626" s="28"/>
      <c r="D626" s="24"/>
      <c r="E626" s="24"/>
      <c r="F626" s="24"/>
      <c r="G626" s="28"/>
      <c r="H626" s="28"/>
      <c r="I626" s="24"/>
      <c r="J626" s="24"/>
      <c r="K626" s="29" t="str">
        <f aca="false">IF($A626="","",IF(OR($C626="Decision",$C626="Conflict"),IF(COUNTIFS($I$2:$I$1001,$A626,$C$2:$C$1001,"Resolved")=0,"Open","Closed"),IF(AND($H626="Unconfirmed",OR($C626="New",$C626="Know")),IF(COUNTIFS($I$2:$I$1001,$A626,$C$2:$C$1001,"Confirmed")=0,"Unconfirmed","Confirmed"),"Logged")))</f>
        <v/>
      </c>
      <c r="L626" s="29" t="str">
        <f aca="false">IF($A626="","",AsOf-$B626)</f>
        <v/>
      </c>
      <c r="M626" s="29" t="str">
        <f aca="false">IF($K626="Open",IF($C626="Conflict","Critical",IF($L626&gt;=DecisionCritical,"Critical",IF($L626&gt;=DecisionWarn,"Warning","On track"))),IF($K626="Unconfirmed",IF($L626&gt;=UnconfirmedWarn,"Warning","On track"),""))</f>
        <v/>
      </c>
      <c r="N626" s="29" t="str">
        <f aca="false">IF($M626="","",IF($M626="Critical",3000,IF($M626="Warning",2000,1000))+$L626+ROW()/100000)</f>
        <v/>
      </c>
      <c r="O626" s="29" t="str">
        <f aca="false">IF($K626="Open",IF($C626="Conflict","decide "&amp;$A626&amp;": &lt;which version stands&gt;","decide "&amp;$A626&amp;": &lt;outcome&gt;"),IF($K626="Unconfirmed","confirm "&amp;$A626,""))</f>
        <v/>
      </c>
    </row>
    <row r="627" customFormat="false" ht="15" hidden="false" customHeight="false" outlineLevel="0" collapsed="false">
      <c r="A627" s="24"/>
      <c r="B627" s="27"/>
      <c r="C627" s="28"/>
      <c r="D627" s="24"/>
      <c r="E627" s="24"/>
      <c r="F627" s="24"/>
      <c r="G627" s="28"/>
      <c r="H627" s="28"/>
      <c r="I627" s="24"/>
      <c r="J627" s="24"/>
      <c r="K627" s="29" t="str">
        <f aca="false">IF($A627="","",IF(OR($C627="Decision",$C627="Conflict"),IF(COUNTIFS($I$2:$I$1001,$A627,$C$2:$C$1001,"Resolved")=0,"Open","Closed"),IF(AND($H627="Unconfirmed",OR($C627="New",$C627="Know")),IF(COUNTIFS($I$2:$I$1001,$A627,$C$2:$C$1001,"Confirmed")=0,"Unconfirmed","Confirmed"),"Logged")))</f>
        <v/>
      </c>
      <c r="L627" s="29" t="str">
        <f aca="false">IF($A627="","",AsOf-$B627)</f>
        <v/>
      </c>
      <c r="M627" s="29" t="str">
        <f aca="false">IF($K627="Open",IF($C627="Conflict","Critical",IF($L627&gt;=DecisionCritical,"Critical",IF($L627&gt;=DecisionWarn,"Warning","On track"))),IF($K627="Unconfirmed",IF($L627&gt;=UnconfirmedWarn,"Warning","On track"),""))</f>
        <v/>
      </c>
      <c r="N627" s="29" t="str">
        <f aca="false">IF($M627="","",IF($M627="Critical",3000,IF($M627="Warning",2000,1000))+$L627+ROW()/100000)</f>
        <v/>
      </c>
      <c r="O627" s="29" t="str">
        <f aca="false">IF($K627="Open",IF($C627="Conflict","decide "&amp;$A627&amp;": &lt;which version stands&gt;","decide "&amp;$A627&amp;": &lt;outcome&gt;"),IF($K627="Unconfirmed","confirm "&amp;$A627,""))</f>
        <v/>
      </c>
    </row>
    <row r="628" customFormat="false" ht="15" hidden="false" customHeight="false" outlineLevel="0" collapsed="false">
      <c r="A628" s="24"/>
      <c r="B628" s="27"/>
      <c r="C628" s="28"/>
      <c r="D628" s="24"/>
      <c r="E628" s="24"/>
      <c r="F628" s="24"/>
      <c r="G628" s="28"/>
      <c r="H628" s="28"/>
      <c r="I628" s="24"/>
      <c r="J628" s="24"/>
      <c r="K628" s="29" t="str">
        <f aca="false">IF($A628="","",IF(OR($C628="Decision",$C628="Conflict"),IF(COUNTIFS($I$2:$I$1001,$A628,$C$2:$C$1001,"Resolved")=0,"Open","Closed"),IF(AND($H628="Unconfirmed",OR($C628="New",$C628="Know")),IF(COUNTIFS($I$2:$I$1001,$A628,$C$2:$C$1001,"Confirmed")=0,"Unconfirmed","Confirmed"),"Logged")))</f>
        <v/>
      </c>
      <c r="L628" s="29" t="str">
        <f aca="false">IF($A628="","",AsOf-$B628)</f>
        <v/>
      </c>
      <c r="M628" s="29" t="str">
        <f aca="false">IF($K628="Open",IF($C628="Conflict","Critical",IF($L628&gt;=DecisionCritical,"Critical",IF($L628&gt;=DecisionWarn,"Warning","On track"))),IF($K628="Unconfirmed",IF($L628&gt;=UnconfirmedWarn,"Warning","On track"),""))</f>
        <v/>
      </c>
      <c r="N628" s="29" t="str">
        <f aca="false">IF($M628="","",IF($M628="Critical",3000,IF($M628="Warning",2000,1000))+$L628+ROW()/100000)</f>
        <v/>
      </c>
      <c r="O628" s="29" t="str">
        <f aca="false">IF($K628="Open",IF($C628="Conflict","decide "&amp;$A628&amp;": &lt;which version stands&gt;","decide "&amp;$A628&amp;": &lt;outcome&gt;"),IF($K628="Unconfirmed","confirm "&amp;$A628,""))</f>
        <v/>
      </c>
    </row>
    <row r="629" customFormat="false" ht="15" hidden="false" customHeight="false" outlineLevel="0" collapsed="false">
      <c r="A629" s="24"/>
      <c r="B629" s="27"/>
      <c r="C629" s="28"/>
      <c r="D629" s="24"/>
      <c r="E629" s="24"/>
      <c r="F629" s="24"/>
      <c r="G629" s="28"/>
      <c r="H629" s="28"/>
      <c r="I629" s="24"/>
      <c r="J629" s="24"/>
      <c r="K629" s="29" t="str">
        <f aca="false">IF($A629="","",IF(OR($C629="Decision",$C629="Conflict"),IF(COUNTIFS($I$2:$I$1001,$A629,$C$2:$C$1001,"Resolved")=0,"Open","Closed"),IF(AND($H629="Unconfirmed",OR($C629="New",$C629="Know")),IF(COUNTIFS($I$2:$I$1001,$A629,$C$2:$C$1001,"Confirmed")=0,"Unconfirmed","Confirmed"),"Logged")))</f>
        <v/>
      </c>
      <c r="L629" s="29" t="str">
        <f aca="false">IF($A629="","",AsOf-$B629)</f>
        <v/>
      </c>
      <c r="M629" s="29" t="str">
        <f aca="false">IF($K629="Open",IF($C629="Conflict","Critical",IF($L629&gt;=DecisionCritical,"Critical",IF($L629&gt;=DecisionWarn,"Warning","On track"))),IF($K629="Unconfirmed",IF($L629&gt;=UnconfirmedWarn,"Warning","On track"),""))</f>
        <v/>
      </c>
      <c r="N629" s="29" t="str">
        <f aca="false">IF($M629="","",IF($M629="Critical",3000,IF($M629="Warning",2000,1000))+$L629+ROW()/100000)</f>
        <v/>
      </c>
      <c r="O629" s="29" t="str">
        <f aca="false">IF($K629="Open",IF($C629="Conflict","decide "&amp;$A629&amp;": &lt;which version stands&gt;","decide "&amp;$A629&amp;": &lt;outcome&gt;"),IF($K629="Unconfirmed","confirm "&amp;$A629,""))</f>
        <v/>
      </c>
    </row>
    <row r="630" customFormat="false" ht="15" hidden="false" customHeight="false" outlineLevel="0" collapsed="false">
      <c r="A630" s="24"/>
      <c r="B630" s="27"/>
      <c r="C630" s="28"/>
      <c r="D630" s="24"/>
      <c r="E630" s="24"/>
      <c r="F630" s="24"/>
      <c r="G630" s="28"/>
      <c r="H630" s="28"/>
      <c r="I630" s="24"/>
      <c r="J630" s="24"/>
      <c r="K630" s="29" t="str">
        <f aca="false">IF($A630="","",IF(OR($C630="Decision",$C630="Conflict"),IF(COUNTIFS($I$2:$I$1001,$A630,$C$2:$C$1001,"Resolved")=0,"Open","Closed"),IF(AND($H630="Unconfirmed",OR($C630="New",$C630="Know")),IF(COUNTIFS($I$2:$I$1001,$A630,$C$2:$C$1001,"Confirmed")=0,"Unconfirmed","Confirmed"),"Logged")))</f>
        <v/>
      </c>
      <c r="L630" s="29" t="str">
        <f aca="false">IF($A630="","",AsOf-$B630)</f>
        <v/>
      </c>
      <c r="M630" s="29" t="str">
        <f aca="false">IF($K630="Open",IF($C630="Conflict","Critical",IF($L630&gt;=DecisionCritical,"Critical",IF($L630&gt;=DecisionWarn,"Warning","On track"))),IF($K630="Unconfirmed",IF($L630&gt;=UnconfirmedWarn,"Warning","On track"),""))</f>
        <v/>
      </c>
      <c r="N630" s="29" t="str">
        <f aca="false">IF($M630="","",IF($M630="Critical",3000,IF($M630="Warning",2000,1000))+$L630+ROW()/100000)</f>
        <v/>
      </c>
      <c r="O630" s="29" t="str">
        <f aca="false">IF($K630="Open",IF($C630="Conflict","decide "&amp;$A630&amp;": &lt;which version stands&gt;","decide "&amp;$A630&amp;": &lt;outcome&gt;"),IF($K630="Unconfirmed","confirm "&amp;$A630,""))</f>
        <v/>
      </c>
    </row>
    <row r="631" customFormat="false" ht="15" hidden="false" customHeight="false" outlineLevel="0" collapsed="false">
      <c r="A631" s="24"/>
      <c r="B631" s="27"/>
      <c r="C631" s="28"/>
      <c r="D631" s="24"/>
      <c r="E631" s="24"/>
      <c r="F631" s="24"/>
      <c r="G631" s="28"/>
      <c r="H631" s="28"/>
      <c r="I631" s="24"/>
      <c r="J631" s="24"/>
      <c r="K631" s="29" t="str">
        <f aca="false">IF($A631="","",IF(OR($C631="Decision",$C631="Conflict"),IF(COUNTIFS($I$2:$I$1001,$A631,$C$2:$C$1001,"Resolved")=0,"Open","Closed"),IF(AND($H631="Unconfirmed",OR($C631="New",$C631="Know")),IF(COUNTIFS($I$2:$I$1001,$A631,$C$2:$C$1001,"Confirmed")=0,"Unconfirmed","Confirmed"),"Logged")))</f>
        <v/>
      </c>
      <c r="L631" s="29" t="str">
        <f aca="false">IF($A631="","",AsOf-$B631)</f>
        <v/>
      </c>
      <c r="M631" s="29" t="str">
        <f aca="false">IF($K631="Open",IF($C631="Conflict","Critical",IF($L631&gt;=DecisionCritical,"Critical",IF($L631&gt;=DecisionWarn,"Warning","On track"))),IF($K631="Unconfirmed",IF($L631&gt;=UnconfirmedWarn,"Warning","On track"),""))</f>
        <v/>
      </c>
      <c r="N631" s="29" t="str">
        <f aca="false">IF($M631="","",IF($M631="Critical",3000,IF($M631="Warning",2000,1000))+$L631+ROW()/100000)</f>
        <v/>
      </c>
      <c r="O631" s="29" t="str">
        <f aca="false">IF($K631="Open",IF($C631="Conflict","decide "&amp;$A631&amp;": &lt;which version stands&gt;","decide "&amp;$A631&amp;": &lt;outcome&gt;"),IF($K631="Unconfirmed","confirm "&amp;$A631,""))</f>
        <v/>
      </c>
    </row>
    <row r="632" customFormat="false" ht="15" hidden="false" customHeight="false" outlineLevel="0" collapsed="false">
      <c r="A632" s="24"/>
      <c r="B632" s="27"/>
      <c r="C632" s="28"/>
      <c r="D632" s="24"/>
      <c r="E632" s="24"/>
      <c r="F632" s="24"/>
      <c r="G632" s="28"/>
      <c r="H632" s="28"/>
      <c r="I632" s="24"/>
      <c r="J632" s="24"/>
      <c r="K632" s="29" t="str">
        <f aca="false">IF($A632="","",IF(OR($C632="Decision",$C632="Conflict"),IF(COUNTIFS($I$2:$I$1001,$A632,$C$2:$C$1001,"Resolved")=0,"Open","Closed"),IF(AND($H632="Unconfirmed",OR($C632="New",$C632="Know")),IF(COUNTIFS($I$2:$I$1001,$A632,$C$2:$C$1001,"Confirmed")=0,"Unconfirmed","Confirmed"),"Logged")))</f>
        <v/>
      </c>
      <c r="L632" s="29" t="str">
        <f aca="false">IF($A632="","",AsOf-$B632)</f>
        <v/>
      </c>
      <c r="M632" s="29" t="str">
        <f aca="false">IF($K632="Open",IF($C632="Conflict","Critical",IF($L632&gt;=DecisionCritical,"Critical",IF($L632&gt;=DecisionWarn,"Warning","On track"))),IF($K632="Unconfirmed",IF($L632&gt;=UnconfirmedWarn,"Warning","On track"),""))</f>
        <v/>
      </c>
      <c r="N632" s="29" t="str">
        <f aca="false">IF($M632="","",IF($M632="Critical",3000,IF($M632="Warning",2000,1000))+$L632+ROW()/100000)</f>
        <v/>
      </c>
      <c r="O632" s="29" t="str">
        <f aca="false">IF($K632="Open",IF($C632="Conflict","decide "&amp;$A632&amp;": &lt;which version stands&gt;","decide "&amp;$A632&amp;": &lt;outcome&gt;"),IF($K632="Unconfirmed","confirm "&amp;$A632,""))</f>
        <v/>
      </c>
    </row>
    <row r="633" customFormat="false" ht="15" hidden="false" customHeight="false" outlineLevel="0" collapsed="false">
      <c r="A633" s="24"/>
      <c r="B633" s="27"/>
      <c r="C633" s="28"/>
      <c r="D633" s="24"/>
      <c r="E633" s="24"/>
      <c r="F633" s="24"/>
      <c r="G633" s="28"/>
      <c r="H633" s="28"/>
      <c r="I633" s="24"/>
      <c r="J633" s="24"/>
      <c r="K633" s="29" t="str">
        <f aca="false">IF($A633="","",IF(OR($C633="Decision",$C633="Conflict"),IF(COUNTIFS($I$2:$I$1001,$A633,$C$2:$C$1001,"Resolved")=0,"Open","Closed"),IF(AND($H633="Unconfirmed",OR($C633="New",$C633="Know")),IF(COUNTIFS($I$2:$I$1001,$A633,$C$2:$C$1001,"Confirmed")=0,"Unconfirmed","Confirmed"),"Logged")))</f>
        <v/>
      </c>
      <c r="L633" s="29" t="str">
        <f aca="false">IF($A633="","",AsOf-$B633)</f>
        <v/>
      </c>
      <c r="M633" s="29" t="str">
        <f aca="false">IF($K633="Open",IF($C633="Conflict","Critical",IF($L633&gt;=DecisionCritical,"Critical",IF($L633&gt;=DecisionWarn,"Warning","On track"))),IF($K633="Unconfirmed",IF($L633&gt;=UnconfirmedWarn,"Warning","On track"),""))</f>
        <v/>
      </c>
      <c r="N633" s="29" t="str">
        <f aca="false">IF($M633="","",IF($M633="Critical",3000,IF($M633="Warning",2000,1000))+$L633+ROW()/100000)</f>
        <v/>
      </c>
      <c r="O633" s="29" t="str">
        <f aca="false">IF($K633="Open",IF($C633="Conflict","decide "&amp;$A633&amp;": &lt;which version stands&gt;","decide "&amp;$A633&amp;": &lt;outcome&gt;"),IF($K633="Unconfirmed","confirm "&amp;$A633,""))</f>
        <v/>
      </c>
    </row>
    <row r="634" customFormat="false" ht="15" hidden="false" customHeight="false" outlineLevel="0" collapsed="false">
      <c r="A634" s="24"/>
      <c r="B634" s="27"/>
      <c r="C634" s="28"/>
      <c r="D634" s="24"/>
      <c r="E634" s="24"/>
      <c r="F634" s="24"/>
      <c r="G634" s="28"/>
      <c r="H634" s="28"/>
      <c r="I634" s="24"/>
      <c r="J634" s="24"/>
      <c r="K634" s="29" t="str">
        <f aca="false">IF($A634="","",IF(OR($C634="Decision",$C634="Conflict"),IF(COUNTIFS($I$2:$I$1001,$A634,$C$2:$C$1001,"Resolved")=0,"Open","Closed"),IF(AND($H634="Unconfirmed",OR($C634="New",$C634="Know")),IF(COUNTIFS($I$2:$I$1001,$A634,$C$2:$C$1001,"Confirmed")=0,"Unconfirmed","Confirmed"),"Logged")))</f>
        <v/>
      </c>
      <c r="L634" s="29" t="str">
        <f aca="false">IF($A634="","",AsOf-$B634)</f>
        <v/>
      </c>
      <c r="M634" s="29" t="str">
        <f aca="false">IF($K634="Open",IF($C634="Conflict","Critical",IF($L634&gt;=DecisionCritical,"Critical",IF($L634&gt;=DecisionWarn,"Warning","On track"))),IF($K634="Unconfirmed",IF($L634&gt;=UnconfirmedWarn,"Warning","On track"),""))</f>
        <v/>
      </c>
      <c r="N634" s="29" t="str">
        <f aca="false">IF($M634="","",IF($M634="Critical",3000,IF($M634="Warning",2000,1000))+$L634+ROW()/100000)</f>
        <v/>
      </c>
      <c r="O634" s="29" t="str">
        <f aca="false">IF($K634="Open",IF($C634="Conflict","decide "&amp;$A634&amp;": &lt;which version stands&gt;","decide "&amp;$A634&amp;": &lt;outcome&gt;"),IF($K634="Unconfirmed","confirm "&amp;$A634,""))</f>
        <v/>
      </c>
    </row>
    <row r="635" customFormat="false" ht="15" hidden="false" customHeight="false" outlineLevel="0" collapsed="false">
      <c r="A635" s="24"/>
      <c r="B635" s="27"/>
      <c r="C635" s="28"/>
      <c r="D635" s="24"/>
      <c r="E635" s="24"/>
      <c r="F635" s="24"/>
      <c r="G635" s="28"/>
      <c r="H635" s="28"/>
      <c r="I635" s="24"/>
      <c r="J635" s="24"/>
      <c r="K635" s="29" t="str">
        <f aca="false">IF($A635="","",IF(OR($C635="Decision",$C635="Conflict"),IF(COUNTIFS($I$2:$I$1001,$A635,$C$2:$C$1001,"Resolved")=0,"Open","Closed"),IF(AND($H635="Unconfirmed",OR($C635="New",$C635="Know")),IF(COUNTIFS($I$2:$I$1001,$A635,$C$2:$C$1001,"Confirmed")=0,"Unconfirmed","Confirmed"),"Logged")))</f>
        <v/>
      </c>
      <c r="L635" s="29" t="str">
        <f aca="false">IF($A635="","",AsOf-$B635)</f>
        <v/>
      </c>
      <c r="M635" s="29" t="str">
        <f aca="false">IF($K635="Open",IF($C635="Conflict","Critical",IF($L635&gt;=DecisionCritical,"Critical",IF($L635&gt;=DecisionWarn,"Warning","On track"))),IF($K635="Unconfirmed",IF($L635&gt;=UnconfirmedWarn,"Warning","On track"),""))</f>
        <v/>
      </c>
      <c r="N635" s="29" t="str">
        <f aca="false">IF($M635="","",IF($M635="Critical",3000,IF($M635="Warning",2000,1000))+$L635+ROW()/100000)</f>
        <v/>
      </c>
      <c r="O635" s="29" t="str">
        <f aca="false">IF($K635="Open",IF($C635="Conflict","decide "&amp;$A635&amp;": &lt;which version stands&gt;","decide "&amp;$A635&amp;": &lt;outcome&gt;"),IF($K635="Unconfirmed","confirm "&amp;$A635,""))</f>
        <v/>
      </c>
    </row>
    <row r="636" customFormat="false" ht="15" hidden="false" customHeight="false" outlineLevel="0" collapsed="false">
      <c r="A636" s="24"/>
      <c r="B636" s="27"/>
      <c r="C636" s="28"/>
      <c r="D636" s="24"/>
      <c r="E636" s="24"/>
      <c r="F636" s="24"/>
      <c r="G636" s="28"/>
      <c r="H636" s="28"/>
      <c r="I636" s="24"/>
      <c r="J636" s="24"/>
      <c r="K636" s="29" t="str">
        <f aca="false">IF($A636="","",IF(OR($C636="Decision",$C636="Conflict"),IF(COUNTIFS($I$2:$I$1001,$A636,$C$2:$C$1001,"Resolved")=0,"Open","Closed"),IF(AND($H636="Unconfirmed",OR($C636="New",$C636="Know")),IF(COUNTIFS($I$2:$I$1001,$A636,$C$2:$C$1001,"Confirmed")=0,"Unconfirmed","Confirmed"),"Logged")))</f>
        <v/>
      </c>
      <c r="L636" s="29" t="str">
        <f aca="false">IF($A636="","",AsOf-$B636)</f>
        <v/>
      </c>
      <c r="M636" s="29" t="str">
        <f aca="false">IF($K636="Open",IF($C636="Conflict","Critical",IF($L636&gt;=DecisionCritical,"Critical",IF($L636&gt;=DecisionWarn,"Warning","On track"))),IF($K636="Unconfirmed",IF($L636&gt;=UnconfirmedWarn,"Warning","On track"),""))</f>
        <v/>
      </c>
      <c r="N636" s="29" t="str">
        <f aca="false">IF($M636="","",IF($M636="Critical",3000,IF($M636="Warning",2000,1000))+$L636+ROW()/100000)</f>
        <v/>
      </c>
      <c r="O636" s="29" t="str">
        <f aca="false">IF($K636="Open",IF($C636="Conflict","decide "&amp;$A636&amp;": &lt;which version stands&gt;","decide "&amp;$A636&amp;": &lt;outcome&gt;"),IF($K636="Unconfirmed","confirm "&amp;$A636,""))</f>
        <v/>
      </c>
    </row>
    <row r="637" customFormat="false" ht="15" hidden="false" customHeight="false" outlineLevel="0" collapsed="false">
      <c r="A637" s="24"/>
      <c r="B637" s="27"/>
      <c r="C637" s="28"/>
      <c r="D637" s="24"/>
      <c r="E637" s="24"/>
      <c r="F637" s="24"/>
      <c r="G637" s="28"/>
      <c r="H637" s="28"/>
      <c r="I637" s="24"/>
      <c r="J637" s="24"/>
      <c r="K637" s="29" t="str">
        <f aca="false">IF($A637="","",IF(OR($C637="Decision",$C637="Conflict"),IF(COUNTIFS($I$2:$I$1001,$A637,$C$2:$C$1001,"Resolved")=0,"Open","Closed"),IF(AND($H637="Unconfirmed",OR($C637="New",$C637="Know")),IF(COUNTIFS($I$2:$I$1001,$A637,$C$2:$C$1001,"Confirmed")=0,"Unconfirmed","Confirmed"),"Logged")))</f>
        <v/>
      </c>
      <c r="L637" s="29" t="str">
        <f aca="false">IF($A637="","",AsOf-$B637)</f>
        <v/>
      </c>
      <c r="M637" s="29" t="str">
        <f aca="false">IF($K637="Open",IF($C637="Conflict","Critical",IF($L637&gt;=DecisionCritical,"Critical",IF($L637&gt;=DecisionWarn,"Warning","On track"))),IF($K637="Unconfirmed",IF($L637&gt;=UnconfirmedWarn,"Warning","On track"),""))</f>
        <v/>
      </c>
      <c r="N637" s="29" t="str">
        <f aca="false">IF($M637="","",IF($M637="Critical",3000,IF($M637="Warning",2000,1000))+$L637+ROW()/100000)</f>
        <v/>
      </c>
      <c r="O637" s="29" t="str">
        <f aca="false">IF($K637="Open",IF($C637="Conflict","decide "&amp;$A637&amp;": &lt;which version stands&gt;","decide "&amp;$A637&amp;": &lt;outcome&gt;"),IF($K637="Unconfirmed","confirm "&amp;$A637,""))</f>
        <v/>
      </c>
    </row>
    <row r="638" customFormat="false" ht="15" hidden="false" customHeight="false" outlineLevel="0" collapsed="false">
      <c r="A638" s="24"/>
      <c r="B638" s="27"/>
      <c r="C638" s="28"/>
      <c r="D638" s="24"/>
      <c r="E638" s="24"/>
      <c r="F638" s="24"/>
      <c r="G638" s="28"/>
      <c r="H638" s="28"/>
      <c r="I638" s="24"/>
      <c r="J638" s="24"/>
      <c r="K638" s="29" t="str">
        <f aca="false">IF($A638="","",IF(OR($C638="Decision",$C638="Conflict"),IF(COUNTIFS($I$2:$I$1001,$A638,$C$2:$C$1001,"Resolved")=0,"Open","Closed"),IF(AND($H638="Unconfirmed",OR($C638="New",$C638="Know")),IF(COUNTIFS($I$2:$I$1001,$A638,$C$2:$C$1001,"Confirmed")=0,"Unconfirmed","Confirmed"),"Logged")))</f>
        <v/>
      </c>
      <c r="L638" s="29" t="str">
        <f aca="false">IF($A638="","",AsOf-$B638)</f>
        <v/>
      </c>
      <c r="M638" s="29" t="str">
        <f aca="false">IF($K638="Open",IF($C638="Conflict","Critical",IF($L638&gt;=DecisionCritical,"Critical",IF($L638&gt;=DecisionWarn,"Warning","On track"))),IF($K638="Unconfirmed",IF($L638&gt;=UnconfirmedWarn,"Warning","On track"),""))</f>
        <v/>
      </c>
      <c r="N638" s="29" t="str">
        <f aca="false">IF($M638="","",IF($M638="Critical",3000,IF($M638="Warning",2000,1000))+$L638+ROW()/100000)</f>
        <v/>
      </c>
      <c r="O638" s="29" t="str">
        <f aca="false">IF($K638="Open",IF($C638="Conflict","decide "&amp;$A638&amp;": &lt;which version stands&gt;","decide "&amp;$A638&amp;": &lt;outcome&gt;"),IF($K638="Unconfirmed","confirm "&amp;$A638,""))</f>
        <v/>
      </c>
    </row>
    <row r="639" customFormat="false" ht="15" hidden="false" customHeight="false" outlineLevel="0" collapsed="false">
      <c r="A639" s="24"/>
      <c r="B639" s="27"/>
      <c r="C639" s="28"/>
      <c r="D639" s="24"/>
      <c r="E639" s="24"/>
      <c r="F639" s="24"/>
      <c r="G639" s="28"/>
      <c r="H639" s="28"/>
      <c r="I639" s="24"/>
      <c r="J639" s="24"/>
      <c r="K639" s="29" t="str">
        <f aca="false">IF($A639="","",IF(OR($C639="Decision",$C639="Conflict"),IF(COUNTIFS($I$2:$I$1001,$A639,$C$2:$C$1001,"Resolved")=0,"Open","Closed"),IF(AND($H639="Unconfirmed",OR($C639="New",$C639="Know")),IF(COUNTIFS($I$2:$I$1001,$A639,$C$2:$C$1001,"Confirmed")=0,"Unconfirmed","Confirmed"),"Logged")))</f>
        <v/>
      </c>
      <c r="L639" s="29" t="str">
        <f aca="false">IF($A639="","",AsOf-$B639)</f>
        <v/>
      </c>
      <c r="M639" s="29" t="str">
        <f aca="false">IF($K639="Open",IF($C639="Conflict","Critical",IF($L639&gt;=DecisionCritical,"Critical",IF($L639&gt;=DecisionWarn,"Warning","On track"))),IF($K639="Unconfirmed",IF($L639&gt;=UnconfirmedWarn,"Warning","On track"),""))</f>
        <v/>
      </c>
      <c r="N639" s="29" t="str">
        <f aca="false">IF($M639="","",IF($M639="Critical",3000,IF($M639="Warning",2000,1000))+$L639+ROW()/100000)</f>
        <v/>
      </c>
      <c r="O639" s="29" t="str">
        <f aca="false">IF($K639="Open",IF($C639="Conflict","decide "&amp;$A639&amp;": &lt;which version stands&gt;","decide "&amp;$A639&amp;": &lt;outcome&gt;"),IF($K639="Unconfirmed","confirm "&amp;$A639,""))</f>
        <v/>
      </c>
    </row>
    <row r="640" customFormat="false" ht="15" hidden="false" customHeight="false" outlineLevel="0" collapsed="false">
      <c r="A640" s="24"/>
      <c r="B640" s="27"/>
      <c r="C640" s="28"/>
      <c r="D640" s="24"/>
      <c r="E640" s="24"/>
      <c r="F640" s="24"/>
      <c r="G640" s="28"/>
      <c r="H640" s="28"/>
      <c r="I640" s="24"/>
      <c r="J640" s="24"/>
      <c r="K640" s="29" t="str">
        <f aca="false">IF($A640="","",IF(OR($C640="Decision",$C640="Conflict"),IF(COUNTIFS($I$2:$I$1001,$A640,$C$2:$C$1001,"Resolved")=0,"Open","Closed"),IF(AND($H640="Unconfirmed",OR($C640="New",$C640="Know")),IF(COUNTIFS($I$2:$I$1001,$A640,$C$2:$C$1001,"Confirmed")=0,"Unconfirmed","Confirmed"),"Logged")))</f>
        <v/>
      </c>
      <c r="L640" s="29" t="str">
        <f aca="false">IF($A640="","",AsOf-$B640)</f>
        <v/>
      </c>
      <c r="M640" s="29" t="str">
        <f aca="false">IF($K640="Open",IF($C640="Conflict","Critical",IF($L640&gt;=DecisionCritical,"Critical",IF($L640&gt;=DecisionWarn,"Warning","On track"))),IF($K640="Unconfirmed",IF($L640&gt;=UnconfirmedWarn,"Warning","On track"),""))</f>
        <v/>
      </c>
      <c r="N640" s="29" t="str">
        <f aca="false">IF($M640="","",IF($M640="Critical",3000,IF($M640="Warning",2000,1000))+$L640+ROW()/100000)</f>
        <v/>
      </c>
      <c r="O640" s="29" t="str">
        <f aca="false">IF($K640="Open",IF($C640="Conflict","decide "&amp;$A640&amp;": &lt;which version stands&gt;","decide "&amp;$A640&amp;": &lt;outcome&gt;"),IF($K640="Unconfirmed","confirm "&amp;$A640,""))</f>
        <v/>
      </c>
    </row>
    <row r="641" customFormat="false" ht="15" hidden="false" customHeight="false" outlineLevel="0" collapsed="false">
      <c r="A641" s="24"/>
      <c r="B641" s="27"/>
      <c r="C641" s="28"/>
      <c r="D641" s="24"/>
      <c r="E641" s="24"/>
      <c r="F641" s="24"/>
      <c r="G641" s="28"/>
      <c r="H641" s="28"/>
      <c r="I641" s="24"/>
      <c r="J641" s="24"/>
      <c r="K641" s="29" t="str">
        <f aca="false">IF($A641="","",IF(OR($C641="Decision",$C641="Conflict"),IF(COUNTIFS($I$2:$I$1001,$A641,$C$2:$C$1001,"Resolved")=0,"Open","Closed"),IF(AND($H641="Unconfirmed",OR($C641="New",$C641="Know")),IF(COUNTIFS($I$2:$I$1001,$A641,$C$2:$C$1001,"Confirmed")=0,"Unconfirmed","Confirmed"),"Logged")))</f>
        <v/>
      </c>
      <c r="L641" s="29" t="str">
        <f aca="false">IF($A641="","",AsOf-$B641)</f>
        <v/>
      </c>
      <c r="M641" s="29" t="str">
        <f aca="false">IF($K641="Open",IF($C641="Conflict","Critical",IF($L641&gt;=DecisionCritical,"Critical",IF($L641&gt;=DecisionWarn,"Warning","On track"))),IF($K641="Unconfirmed",IF($L641&gt;=UnconfirmedWarn,"Warning","On track"),""))</f>
        <v/>
      </c>
      <c r="N641" s="29" t="str">
        <f aca="false">IF($M641="","",IF($M641="Critical",3000,IF($M641="Warning",2000,1000))+$L641+ROW()/100000)</f>
        <v/>
      </c>
      <c r="O641" s="29" t="str">
        <f aca="false">IF($K641="Open",IF($C641="Conflict","decide "&amp;$A641&amp;": &lt;which version stands&gt;","decide "&amp;$A641&amp;": &lt;outcome&gt;"),IF($K641="Unconfirmed","confirm "&amp;$A641,""))</f>
        <v/>
      </c>
    </row>
    <row r="642" customFormat="false" ht="15" hidden="false" customHeight="false" outlineLevel="0" collapsed="false">
      <c r="A642" s="24"/>
      <c r="B642" s="27"/>
      <c r="C642" s="28"/>
      <c r="D642" s="24"/>
      <c r="E642" s="24"/>
      <c r="F642" s="24"/>
      <c r="G642" s="28"/>
      <c r="H642" s="28"/>
      <c r="I642" s="24"/>
      <c r="J642" s="24"/>
      <c r="K642" s="29" t="str">
        <f aca="false">IF($A642="","",IF(OR($C642="Decision",$C642="Conflict"),IF(COUNTIFS($I$2:$I$1001,$A642,$C$2:$C$1001,"Resolved")=0,"Open","Closed"),IF(AND($H642="Unconfirmed",OR($C642="New",$C642="Know")),IF(COUNTIFS($I$2:$I$1001,$A642,$C$2:$C$1001,"Confirmed")=0,"Unconfirmed","Confirmed"),"Logged")))</f>
        <v/>
      </c>
      <c r="L642" s="29" t="str">
        <f aca="false">IF($A642="","",AsOf-$B642)</f>
        <v/>
      </c>
      <c r="M642" s="29" t="str">
        <f aca="false">IF($K642="Open",IF($C642="Conflict","Critical",IF($L642&gt;=DecisionCritical,"Critical",IF($L642&gt;=DecisionWarn,"Warning","On track"))),IF($K642="Unconfirmed",IF($L642&gt;=UnconfirmedWarn,"Warning","On track"),""))</f>
        <v/>
      </c>
      <c r="N642" s="29" t="str">
        <f aca="false">IF($M642="","",IF($M642="Critical",3000,IF($M642="Warning",2000,1000))+$L642+ROW()/100000)</f>
        <v/>
      </c>
      <c r="O642" s="29" t="str">
        <f aca="false">IF($K642="Open",IF($C642="Conflict","decide "&amp;$A642&amp;": &lt;which version stands&gt;","decide "&amp;$A642&amp;": &lt;outcome&gt;"),IF($K642="Unconfirmed","confirm "&amp;$A642,""))</f>
        <v/>
      </c>
    </row>
    <row r="643" customFormat="false" ht="15" hidden="false" customHeight="false" outlineLevel="0" collapsed="false">
      <c r="A643" s="24"/>
      <c r="B643" s="27"/>
      <c r="C643" s="28"/>
      <c r="D643" s="24"/>
      <c r="E643" s="24"/>
      <c r="F643" s="24"/>
      <c r="G643" s="28"/>
      <c r="H643" s="28"/>
      <c r="I643" s="24"/>
      <c r="J643" s="24"/>
      <c r="K643" s="29" t="str">
        <f aca="false">IF($A643="","",IF(OR($C643="Decision",$C643="Conflict"),IF(COUNTIFS($I$2:$I$1001,$A643,$C$2:$C$1001,"Resolved")=0,"Open","Closed"),IF(AND($H643="Unconfirmed",OR($C643="New",$C643="Know")),IF(COUNTIFS($I$2:$I$1001,$A643,$C$2:$C$1001,"Confirmed")=0,"Unconfirmed","Confirmed"),"Logged")))</f>
        <v/>
      </c>
      <c r="L643" s="29" t="str">
        <f aca="false">IF($A643="","",AsOf-$B643)</f>
        <v/>
      </c>
      <c r="M643" s="29" t="str">
        <f aca="false">IF($K643="Open",IF($C643="Conflict","Critical",IF($L643&gt;=DecisionCritical,"Critical",IF($L643&gt;=DecisionWarn,"Warning","On track"))),IF($K643="Unconfirmed",IF($L643&gt;=UnconfirmedWarn,"Warning","On track"),""))</f>
        <v/>
      </c>
      <c r="N643" s="29" t="str">
        <f aca="false">IF($M643="","",IF($M643="Critical",3000,IF($M643="Warning",2000,1000))+$L643+ROW()/100000)</f>
        <v/>
      </c>
      <c r="O643" s="29" t="str">
        <f aca="false">IF($K643="Open",IF($C643="Conflict","decide "&amp;$A643&amp;": &lt;which version stands&gt;","decide "&amp;$A643&amp;": &lt;outcome&gt;"),IF($K643="Unconfirmed","confirm "&amp;$A643,""))</f>
        <v/>
      </c>
    </row>
    <row r="644" customFormat="false" ht="15" hidden="false" customHeight="false" outlineLevel="0" collapsed="false">
      <c r="A644" s="24"/>
      <c r="B644" s="27"/>
      <c r="C644" s="28"/>
      <c r="D644" s="24"/>
      <c r="E644" s="24"/>
      <c r="F644" s="24"/>
      <c r="G644" s="28"/>
      <c r="H644" s="28"/>
      <c r="I644" s="24"/>
      <c r="J644" s="24"/>
      <c r="K644" s="29" t="str">
        <f aca="false">IF($A644="","",IF(OR($C644="Decision",$C644="Conflict"),IF(COUNTIFS($I$2:$I$1001,$A644,$C$2:$C$1001,"Resolved")=0,"Open","Closed"),IF(AND($H644="Unconfirmed",OR($C644="New",$C644="Know")),IF(COUNTIFS($I$2:$I$1001,$A644,$C$2:$C$1001,"Confirmed")=0,"Unconfirmed","Confirmed"),"Logged")))</f>
        <v/>
      </c>
      <c r="L644" s="29" t="str">
        <f aca="false">IF($A644="","",AsOf-$B644)</f>
        <v/>
      </c>
      <c r="M644" s="29" t="str">
        <f aca="false">IF($K644="Open",IF($C644="Conflict","Critical",IF($L644&gt;=DecisionCritical,"Critical",IF($L644&gt;=DecisionWarn,"Warning","On track"))),IF($K644="Unconfirmed",IF($L644&gt;=UnconfirmedWarn,"Warning","On track"),""))</f>
        <v/>
      </c>
      <c r="N644" s="29" t="str">
        <f aca="false">IF($M644="","",IF($M644="Critical",3000,IF($M644="Warning",2000,1000))+$L644+ROW()/100000)</f>
        <v/>
      </c>
      <c r="O644" s="29" t="str">
        <f aca="false">IF($K644="Open",IF($C644="Conflict","decide "&amp;$A644&amp;": &lt;which version stands&gt;","decide "&amp;$A644&amp;": &lt;outcome&gt;"),IF($K644="Unconfirmed","confirm "&amp;$A644,""))</f>
        <v/>
      </c>
    </row>
    <row r="645" customFormat="false" ht="15" hidden="false" customHeight="false" outlineLevel="0" collapsed="false">
      <c r="A645" s="24"/>
      <c r="B645" s="27"/>
      <c r="C645" s="28"/>
      <c r="D645" s="24"/>
      <c r="E645" s="24"/>
      <c r="F645" s="24"/>
      <c r="G645" s="28"/>
      <c r="H645" s="28"/>
      <c r="I645" s="24"/>
      <c r="J645" s="24"/>
      <c r="K645" s="29" t="str">
        <f aca="false">IF($A645="","",IF(OR($C645="Decision",$C645="Conflict"),IF(COUNTIFS($I$2:$I$1001,$A645,$C$2:$C$1001,"Resolved")=0,"Open","Closed"),IF(AND($H645="Unconfirmed",OR($C645="New",$C645="Know")),IF(COUNTIFS($I$2:$I$1001,$A645,$C$2:$C$1001,"Confirmed")=0,"Unconfirmed","Confirmed"),"Logged")))</f>
        <v/>
      </c>
      <c r="L645" s="29" t="str">
        <f aca="false">IF($A645="","",AsOf-$B645)</f>
        <v/>
      </c>
      <c r="M645" s="29" t="str">
        <f aca="false">IF($K645="Open",IF($C645="Conflict","Critical",IF($L645&gt;=DecisionCritical,"Critical",IF($L645&gt;=DecisionWarn,"Warning","On track"))),IF($K645="Unconfirmed",IF($L645&gt;=UnconfirmedWarn,"Warning","On track"),""))</f>
        <v/>
      </c>
      <c r="N645" s="29" t="str">
        <f aca="false">IF($M645="","",IF($M645="Critical",3000,IF($M645="Warning",2000,1000))+$L645+ROW()/100000)</f>
        <v/>
      </c>
      <c r="O645" s="29" t="str">
        <f aca="false">IF($K645="Open",IF($C645="Conflict","decide "&amp;$A645&amp;": &lt;which version stands&gt;","decide "&amp;$A645&amp;": &lt;outcome&gt;"),IF($K645="Unconfirmed","confirm "&amp;$A645,""))</f>
        <v/>
      </c>
    </row>
    <row r="646" customFormat="false" ht="15" hidden="false" customHeight="false" outlineLevel="0" collapsed="false">
      <c r="A646" s="24"/>
      <c r="B646" s="27"/>
      <c r="C646" s="28"/>
      <c r="D646" s="24"/>
      <c r="E646" s="24"/>
      <c r="F646" s="24"/>
      <c r="G646" s="28"/>
      <c r="H646" s="28"/>
      <c r="I646" s="24"/>
      <c r="J646" s="24"/>
      <c r="K646" s="29" t="str">
        <f aca="false">IF($A646="","",IF(OR($C646="Decision",$C646="Conflict"),IF(COUNTIFS($I$2:$I$1001,$A646,$C$2:$C$1001,"Resolved")=0,"Open","Closed"),IF(AND($H646="Unconfirmed",OR($C646="New",$C646="Know")),IF(COUNTIFS($I$2:$I$1001,$A646,$C$2:$C$1001,"Confirmed")=0,"Unconfirmed","Confirmed"),"Logged")))</f>
        <v/>
      </c>
      <c r="L646" s="29" t="str">
        <f aca="false">IF($A646="","",AsOf-$B646)</f>
        <v/>
      </c>
      <c r="M646" s="29" t="str">
        <f aca="false">IF($K646="Open",IF($C646="Conflict","Critical",IF($L646&gt;=DecisionCritical,"Critical",IF($L646&gt;=DecisionWarn,"Warning","On track"))),IF($K646="Unconfirmed",IF($L646&gt;=UnconfirmedWarn,"Warning","On track"),""))</f>
        <v/>
      </c>
      <c r="N646" s="29" t="str">
        <f aca="false">IF($M646="","",IF($M646="Critical",3000,IF($M646="Warning",2000,1000))+$L646+ROW()/100000)</f>
        <v/>
      </c>
      <c r="O646" s="29" t="str">
        <f aca="false">IF($K646="Open",IF($C646="Conflict","decide "&amp;$A646&amp;": &lt;which version stands&gt;","decide "&amp;$A646&amp;": &lt;outcome&gt;"),IF($K646="Unconfirmed","confirm "&amp;$A646,""))</f>
        <v/>
      </c>
    </row>
    <row r="647" customFormat="false" ht="15" hidden="false" customHeight="false" outlineLevel="0" collapsed="false">
      <c r="A647" s="24"/>
      <c r="B647" s="27"/>
      <c r="C647" s="28"/>
      <c r="D647" s="24"/>
      <c r="E647" s="24"/>
      <c r="F647" s="24"/>
      <c r="G647" s="28"/>
      <c r="H647" s="28"/>
      <c r="I647" s="24"/>
      <c r="J647" s="24"/>
      <c r="K647" s="29" t="str">
        <f aca="false">IF($A647="","",IF(OR($C647="Decision",$C647="Conflict"),IF(COUNTIFS($I$2:$I$1001,$A647,$C$2:$C$1001,"Resolved")=0,"Open","Closed"),IF(AND($H647="Unconfirmed",OR($C647="New",$C647="Know")),IF(COUNTIFS($I$2:$I$1001,$A647,$C$2:$C$1001,"Confirmed")=0,"Unconfirmed","Confirmed"),"Logged")))</f>
        <v/>
      </c>
      <c r="L647" s="29" t="str">
        <f aca="false">IF($A647="","",AsOf-$B647)</f>
        <v/>
      </c>
      <c r="M647" s="29" t="str">
        <f aca="false">IF($K647="Open",IF($C647="Conflict","Critical",IF($L647&gt;=DecisionCritical,"Critical",IF($L647&gt;=DecisionWarn,"Warning","On track"))),IF($K647="Unconfirmed",IF($L647&gt;=UnconfirmedWarn,"Warning","On track"),""))</f>
        <v/>
      </c>
      <c r="N647" s="29" t="str">
        <f aca="false">IF($M647="","",IF($M647="Critical",3000,IF($M647="Warning",2000,1000))+$L647+ROW()/100000)</f>
        <v/>
      </c>
      <c r="O647" s="29" t="str">
        <f aca="false">IF($K647="Open",IF($C647="Conflict","decide "&amp;$A647&amp;": &lt;which version stands&gt;","decide "&amp;$A647&amp;": &lt;outcome&gt;"),IF($K647="Unconfirmed","confirm "&amp;$A647,""))</f>
        <v/>
      </c>
    </row>
    <row r="648" customFormat="false" ht="15" hidden="false" customHeight="false" outlineLevel="0" collapsed="false">
      <c r="A648" s="24"/>
      <c r="B648" s="27"/>
      <c r="C648" s="28"/>
      <c r="D648" s="24"/>
      <c r="E648" s="24"/>
      <c r="F648" s="24"/>
      <c r="G648" s="28"/>
      <c r="H648" s="28"/>
      <c r="I648" s="24"/>
      <c r="J648" s="24"/>
      <c r="K648" s="29" t="str">
        <f aca="false">IF($A648="","",IF(OR($C648="Decision",$C648="Conflict"),IF(COUNTIFS($I$2:$I$1001,$A648,$C$2:$C$1001,"Resolved")=0,"Open","Closed"),IF(AND($H648="Unconfirmed",OR($C648="New",$C648="Know")),IF(COUNTIFS($I$2:$I$1001,$A648,$C$2:$C$1001,"Confirmed")=0,"Unconfirmed","Confirmed"),"Logged")))</f>
        <v/>
      </c>
      <c r="L648" s="29" t="str">
        <f aca="false">IF($A648="","",AsOf-$B648)</f>
        <v/>
      </c>
      <c r="M648" s="29" t="str">
        <f aca="false">IF($K648="Open",IF($C648="Conflict","Critical",IF($L648&gt;=DecisionCritical,"Critical",IF($L648&gt;=DecisionWarn,"Warning","On track"))),IF($K648="Unconfirmed",IF($L648&gt;=UnconfirmedWarn,"Warning","On track"),""))</f>
        <v/>
      </c>
      <c r="N648" s="29" t="str">
        <f aca="false">IF($M648="","",IF($M648="Critical",3000,IF($M648="Warning",2000,1000))+$L648+ROW()/100000)</f>
        <v/>
      </c>
      <c r="O648" s="29" t="str">
        <f aca="false">IF($K648="Open",IF($C648="Conflict","decide "&amp;$A648&amp;": &lt;which version stands&gt;","decide "&amp;$A648&amp;": &lt;outcome&gt;"),IF($K648="Unconfirmed","confirm "&amp;$A648,""))</f>
        <v/>
      </c>
    </row>
    <row r="649" customFormat="false" ht="15" hidden="false" customHeight="false" outlineLevel="0" collapsed="false">
      <c r="A649" s="24"/>
      <c r="B649" s="27"/>
      <c r="C649" s="28"/>
      <c r="D649" s="24"/>
      <c r="E649" s="24"/>
      <c r="F649" s="24"/>
      <c r="G649" s="28"/>
      <c r="H649" s="28"/>
      <c r="I649" s="24"/>
      <c r="J649" s="24"/>
      <c r="K649" s="29" t="str">
        <f aca="false">IF($A649="","",IF(OR($C649="Decision",$C649="Conflict"),IF(COUNTIFS($I$2:$I$1001,$A649,$C$2:$C$1001,"Resolved")=0,"Open","Closed"),IF(AND($H649="Unconfirmed",OR($C649="New",$C649="Know")),IF(COUNTIFS($I$2:$I$1001,$A649,$C$2:$C$1001,"Confirmed")=0,"Unconfirmed","Confirmed"),"Logged")))</f>
        <v/>
      </c>
      <c r="L649" s="29" t="str">
        <f aca="false">IF($A649="","",AsOf-$B649)</f>
        <v/>
      </c>
      <c r="M649" s="29" t="str">
        <f aca="false">IF($K649="Open",IF($C649="Conflict","Critical",IF($L649&gt;=DecisionCritical,"Critical",IF($L649&gt;=DecisionWarn,"Warning","On track"))),IF($K649="Unconfirmed",IF($L649&gt;=UnconfirmedWarn,"Warning","On track"),""))</f>
        <v/>
      </c>
      <c r="N649" s="29" t="str">
        <f aca="false">IF($M649="","",IF($M649="Critical",3000,IF($M649="Warning",2000,1000))+$L649+ROW()/100000)</f>
        <v/>
      </c>
      <c r="O649" s="29" t="str">
        <f aca="false">IF($K649="Open",IF($C649="Conflict","decide "&amp;$A649&amp;": &lt;which version stands&gt;","decide "&amp;$A649&amp;": &lt;outcome&gt;"),IF($K649="Unconfirmed","confirm "&amp;$A649,""))</f>
        <v/>
      </c>
    </row>
    <row r="650" customFormat="false" ht="15" hidden="false" customHeight="false" outlineLevel="0" collapsed="false">
      <c r="A650" s="24"/>
      <c r="B650" s="27"/>
      <c r="C650" s="28"/>
      <c r="D650" s="24"/>
      <c r="E650" s="24"/>
      <c r="F650" s="24"/>
      <c r="G650" s="28"/>
      <c r="H650" s="28"/>
      <c r="I650" s="24"/>
      <c r="J650" s="24"/>
      <c r="K650" s="29" t="str">
        <f aca="false">IF($A650="","",IF(OR($C650="Decision",$C650="Conflict"),IF(COUNTIFS($I$2:$I$1001,$A650,$C$2:$C$1001,"Resolved")=0,"Open","Closed"),IF(AND($H650="Unconfirmed",OR($C650="New",$C650="Know")),IF(COUNTIFS($I$2:$I$1001,$A650,$C$2:$C$1001,"Confirmed")=0,"Unconfirmed","Confirmed"),"Logged")))</f>
        <v/>
      </c>
      <c r="L650" s="29" t="str">
        <f aca="false">IF($A650="","",AsOf-$B650)</f>
        <v/>
      </c>
      <c r="M650" s="29" t="str">
        <f aca="false">IF($K650="Open",IF($C650="Conflict","Critical",IF($L650&gt;=DecisionCritical,"Critical",IF($L650&gt;=DecisionWarn,"Warning","On track"))),IF($K650="Unconfirmed",IF($L650&gt;=UnconfirmedWarn,"Warning","On track"),""))</f>
        <v/>
      </c>
      <c r="N650" s="29" t="str">
        <f aca="false">IF($M650="","",IF($M650="Critical",3000,IF($M650="Warning",2000,1000))+$L650+ROW()/100000)</f>
        <v/>
      </c>
      <c r="O650" s="29" t="str">
        <f aca="false">IF($K650="Open",IF($C650="Conflict","decide "&amp;$A650&amp;": &lt;which version stands&gt;","decide "&amp;$A650&amp;": &lt;outcome&gt;"),IF($K650="Unconfirmed","confirm "&amp;$A650,""))</f>
        <v/>
      </c>
    </row>
    <row r="651" customFormat="false" ht="15" hidden="false" customHeight="false" outlineLevel="0" collapsed="false">
      <c r="A651" s="24"/>
      <c r="B651" s="27"/>
      <c r="C651" s="28"/>
      <c r="D651" s="24"/>
      <c r="E651" s="24"/>
      <c r="F651" s="24"/>
      <c r="G651" s="28"/>
      <c r="H651" s="28"/>
      <c r="I651" s="24"/>
      <c r="J651" s="24"/>
      <c r="K651" s="29" t="str">
        <f aca="false">IF($A651="","",IF(OR($C651="Decision",$C651="Conflict"),IF(COUNTIFS($I$2:$I$1001,$A651,$C$2:$C$1001,"Resolved")=0,"Open","Closed"),IF(AND($H651="Unconfirmed",OR($C651="New",$C651="Know")),IF(COUNTIFS($I$2:$I$1001,$A651,$C$2:$C$1001,"Confirmed")=0,"Unconfirmed","Confirmed"),"Logged")))</f>
        <v/>
      </c>
      <c r="L651" s="29" t="str">
        <f aca="false">IF($A651="","",AsOf-$B651)</f>
        <v/>
      </c>
      <c r="M651" s="29" t="str">
        <f aca="false">IF($K651="Open",IF($C651="Conflict","Critical",IF($L651&gt;=DecisionCritical,"Critical",IF($L651&gt;=DecisionWarn,"Warning","On track"))),IF($K651="Unconfirmed",IF($L651&gt;=UnconfirmedWarn,"Warning","On track"),""))</f>
        <v/>
      </c>
      <c r="N651" s="29" t="str">
        <f aca="false">IF($M651="","",IF($M651="Critical",3000,IF($M651="Warning",2000,1000))+$L651+ROW()/100000)</f>
        <v/>
      </c>
      <c r="O651" s="29" t="str">
        <f aca="false">IF($K651="Open",IF($C651="Conflict","decide "&amp;$A651&amp;": &lt;which version stands&gt;","decide "&amp;$A651&amp;": &lt;outcome&gt;"),IF($K651="Unconfirmed","confirm "&amp;$A651,""))</f>
        <v/>
      </c>
    </row>
    <row r="652" customFormat="false" ht="15" hidden="false" customHeight="false" outlineLevel="0" collapsed="false">
      <c r="A652" s="24"/>
      <c r="B652" s="27"/>
      <c r="C652" s="28"/>
      <c r="D652" s="24"/>
      <c r="E652" s="24"/>
      <c r="F652" s="24"/>
      <c r="G652" s="28"/>
      <c r="H652" s="28"/>
      <c r="I652" s="24"/>
      <c r="J652" s="24"/>
      <c r="K652" s="29" t="str">
        <f aca="false">IF($A652="","",IF(OR($C652="Decision",$C652="Conflict"),IF(COUNTIFS($I$2:$I$1001,$A652,$C$2:$C$1001,"Resolved")=0,"Open","Closed"),IF(AND($H652="Unconfirmed",OR($C652="New",$C652="Know")),IF(COUNTIFS($I$2:$I$1001,$A652,$C$2:$C$1001,"Confirmed")=0,"Unconfirmed","Confirmed"),"Logged")))</f>
        <v/>
      </c>
      <c r="L652" s="29" t="str">
        <f aca="false">IF($A652="","",AsOf-$B652)</f>
        <v/>
      </c>
      <c r="M652" s="29" t="str">
        <f aca="false">IF($K652="Open",IF($C652="Conflict","Critical",IF($L652&gt;=DecisionCritical,"Critical",IF($L652&gt;=DecisionWarn,"Warning","On track"))),IF($K652="Unconfirmed",IF($L652&gt;=UnconfirmedWarn,"Warning","On track"),""))</f>
        <v/>
      </c>
      <c r="N652" s="29" t="str">
        <f aca="false">IF($M652="","",IF($M652="Critical",3000,IF($M652="Warning",2000,1000))+$L652+ROW()/100000)</f>
        <v/>
      </c>
      <c r="O652" s="29" t="str">
        <f aca="false">IF($K652="Open",IF($C652="Conflict","decide "&amp;$A652&amp;": &lt;which version stands&gt;","decide "&amp;$A652&amp;": &lt;outcome&gt;"),IF($K652="Unconfirmed","confirm "&amp;$A652,""))</f>
        <v/>
      </c>
    </row>
    <row r="653" customFormat="false" ht="15" hidden="false" customHeight="false" outlineLevel="0" collapsed="false">
      <c r="A653" s="24"/>
      <c r="B653" s="27"/>
      <c r="C653" s="28"/>
      <c r="D653" s="24"/>
      <c r="E653" s="24"/>
      <c r="F653" s="24"/>
      <c r="G653" s="28"/>
      <c r="H653" s="28"/>
      <c r="I653" s="24"/>
      <c r="J653" s="24"/>
      <c r="K653" s="29" t="str">
        <f aca="false">IF($A653="","",IF(OR($C653="Decision",$C653="Conflict"),IF(COUNTIFS($I$2:$I$1001,$A653,$C$2:$C$1001,"Resolved")=0,"Open","Closed"),IF(AND($H653="Unconfirmed",OR($C653="New",$C653="Know")),IF(COUNTIFS($I$2:$I$1001,$A653,$C$2:$C$1001,"Confirmed")=0,"Unconfirmed","Confirmed"),"Logged")))</f>
        <v/>
      </c>
      <c r="L653" s="29" t="str">
        <f aca="false">IF($A653="","",AsOf-$B653)</f>
        <v/>
      </c>
      <c r="M653" s="29" t="str">
        <f aca="false">IF($K653="Open",IF($C653="Conflict","Critical",IF($L653&gt;=DecisionCritical,"Critical",IF($L653&gt;=DecisionWarn,"Warning","On track"))),IF($K653="Unconfirmed",IF($L653&gt;=UnconfirmedWarn,"Warning","On track"),""))</f>
        <v/>
      </c>
      <c r="N653" s="29" t="str">
        <f aca="false">IF($M653="","",IF($M653="Critical",3000,IF($M653="Warning",2000,1000))+$L653+ROW()/100000)</f>
        <v/>
      </c>
      <c r="O653" s="29" t="str">
        <f aca="false">IF($K653="Open",IF($C653="Conflict","decide "&amp;$A653&amp;": &lt;which version stands&gt;","decide "&amp;$A653&amp;": &lt;outcome&gt;"),IF($K653="Unconfirmed","confirm "&amp;$A653,""))</f>
        <v/>
      </c>
    </row>
    <row r="654" customFormat="false" ht="15" hidden="false" customHeight="false" outlineLevel="0" collapsed="false">
      <c r="A654" s="24"/>
      <c r="B654" s="27"/>
      <c r="C654" s="28"/>
      <c r="D654" s="24"/>
      <c r="E654" s="24"/>
      <c r="F654" s="24"/>
      <c r="G654" s="28"/>
      <c r="H654" s="28"/>
      <c r="I654" s="24"/>
      <c r="J654" s="24"/>
      <c r="K654" s="29" t="str">
        <f aca="false">IF($A654="","",IF(OR($C654="Decision",$C654="Conflict"),IF(COUNTIFS($I$2:$I$1001,$A654,$C$2:$C$1001,"Resolved")=0,"Open","Closed"),IF(AND($H654="Unconfirmed",OR($C654="New",$C654="Know")),IF(COUNTIFS($I$2:$I$1001,$A654,$C$2:$C$1001,"Confirmed")=0,"Unconfirmed","Confirmed"),"Logged")))</f>
        <v/>
      </c>
      <c r="L654" s="29" t="str">
        <f aca="false">IF($A654="","",AsOf-$B654)</f>
        <v/>
      </c>
      <c r="M654" s="29" t="str">
        <f aca="false">IF($K654="Open",IF($C654="Conflict","Critical",IF($L654&gt;=DecisionCritical,"Critical",IF($L654&gt;=DecisionWarn,"Warning","On track"))),IF($K654="Unconfirmed",IF($L654&gt;=UnconfirmedWarn,"Warning","On track"),""))</f>
        <v/>
      </c>
      <c r="N654" s="29" t="str">
        <f aca="false">IF($M654="","",IF($M654="Critical",3000,IF($M654="Warning",2000,1000))+$L654+ROW()/100000)</f>
        <v/>
      </c>
      <c r="O654" s="29" t="str">
        <f aca="false">IF($K654="Open",IF($C654="Conflict","decide "&amp;$A654&amp;": &lt;which version stands&gt;","decide "&amp;$A654&amp;": &lt;outcome&gt;"),IF($K654="Unconfirmed","confirm "&amp;$A654,""))</f>
        <v/>
      </c>
    </row>
    <row r="655" customFormat="false" ht="15" hidden="false" customHeight="false" outlineLevel="0" collapsed="false">
      <c r="A655" s="24"/>
      <c r="B655" s="27"/>
      <c r="C655" s="28"/>
      <c r="D655" s="24"/>
      <c r="E655" s="24"/>
      <c r="F655" s="24"/>
      <c r="G655" s="28"/>
      <c r="H655" s="28"/>
      <c r="I655" s="24"/>
      <c r="J655" s="24"/>
      <c r="K655" s="29" t="str">
        <f aca="false">IF($A655="","",IF(OR($C655="Decision",$C655="Conflict"),IF(COUNTIFS($I$2:$I$1001,$A655,$C$2:$C$1001,"Resolved")=0,"Open","Closed"),IF(AND($H655="Unconfirmed",OR($C655="New",$C655="Know")),IF(COUNTIFS($I$2:$I$1001,$A655,$C$2:$C$1001,"Confirmed")=0,"Unconfirmed","Confirmed"),"Logged")))</f>
        <v/>
      </c>
      <c r="L655" s="29" t="str">
        <f aca="false">IF($A655="","",AsOf-$B655)</f>
        <v/>
      </c>
      <c r="M655" s="29" t="str">
        <f aca="false">IF($K655="Open",IF($C655="Conflict","Critical",IF($L655&gt;=DecisionCritical,"Critical",IF($L655&gt;=DecisionWarn,"Warning","On track"))),IF($K655="Unconfirmed",IF($L655&gt;=UnconfirmedWarn,"Warning","On track"),""))</f>
        <v/>
      </c>
      <c r="N655" s="29" t="str">
        <f aca="false">IF($M655="","",IF($M655="Critical",3000,IF($M655="Warning",2000,1000))+$L655+ROW()/100000)</f>
        <v/>
      </c>
      <c r="O655" s="29" t="str">
        <f aca="false">IF($K655="Open",IF($C655="Conflict","decide "&amp;$A655&amp;": &lt;which version stands&gt;","decide "&amp;$A655&amp;": &lt;outcome&gt;"),IF($K655="Unconfirmed","confirm "&amp;$A655,""))</f>
        <v/>
      </c>
    </row>
    <row r="656" customFormat="false" ht="15" hidden="false" customHeight="false" outlineLevel="0" collapsed="false">
      <c r="A656" s="24"/>
      <c r="B656" s="27"/>
      <c r="C656" s="28"/>
      <c r="D656" s="24"/>
      <c r="E656" s="24"/>
      <c r="F656" s="24"/>
      <c r="G656" s="28"/>
      <c r="H656" s="28"/>
      <c r="I656" s="24"/>
      <c r="J656" s="24"/>
      <c r="K656" s="29" t="str">
        <f aca="false">IF($A656="","",IF(OR($C656="Decision",$C656="Conflict"),IF(COUNTIFS($I$2:$I$1001,$A656,$C$2:$C$1001,"Resolved")=0,"Open","Closed"),IF(AND($H656="Unconfirmed",OR($C656="New",$C656="Know")),IF(COUNTIFS($I$2:$I$1001,$A656,$C$2:$C$1001,"Confirmed")=0,"Unconfirmed","Confirmed"),"Logged")))</f>
        <v/>
      </c>
      <c r="L656" s="29" t="str">
        <f aca="false">IF($A656="","",AsOf-$B656)</f>
        <v/>
      </c>
      <c r="M656" s="29" t="str">
        <f aca="false">IF($K656="Open",IF($C656="Conflict","Critical",IF($L656&gt;=DecisionCritical,"Critical",IF($L656&gt;=DecisionWarn,"Warning","On track"))),IF($K656="Unconfirmed",IF($L656&gt;=UnconfirmedWarn,"Warning","On track"),""))</f>
        <v/>
      </c>
      <c r="N656" s="29" t="str">
        <f aca="false">IF($M656="","",IF($M656="Critical",3000,IF($M656="Warning",2000,1000))+$L656+ROW()/100000)</f>
        <v/>
      </c>
      <c r="O656" s="29" t="str">
        <f aca="false">IF($K656="Open",IF($C656="Conflict","decide "&amp;$A656&amp;": &lt;which version stands&gt;","decide "&amp;$A656&amp;": &lt;outcome&gt;"),IF($K656="Unconfirmed","confirm "&amp;$A656,""))</f>
        <v/>
      </c>
    </row>
    <row r="657" customFormat="false" ht="15" hidden="false" customHeight="false" outlineLevel="0" collapsed="false">
      <c r="A657" s="24"/>
      <c r="B657" s="27"/>
      <c r="C657" s="28"/>
      <c r="D657" s="24"/>
      <c r="E657" s="24"/>
      <c r="F657" s="24"/>
      <c r="G657" s="28"/>
      <c r="H657" s="28"/>
      <c r="I657" s="24"/>
      <c r="J657" s="24"/>
      <c r="K657" s="29" t="str">
        <f aca="false">IF($A657="","",IF(OR($C657="Decision",$C657="Conflict"),IF(COUNTIFS($I$2:$I$1001,$A657,$C$2:$C$1001,"Resolved")=0,"Open","Closed"),IF(AND($H657="Unconfirmed",OR($C657="New",$C657="Know")),IF(COUNTIFS($I$2:$I$1001,$A657,$C$2:$C$1001,"Confirmed")=0,"Unconfirmed","Confirmed"),"Logged")))</f>
        <v/>
      </c>
      <c r="L657" s="29" t="str">
        <f aca="false">IF($A657="","",AsOf-$B657)</f>
        <v/>
      </c>
      <c r="M657" s="29" t="str">
        <f aca="false">IF($K657="Open",IF($C657="Conflict","Critical",IF($L657&gt;=DecisionCritical,"Critical",IF($L657&gt;=DecisionWarn,"Warning","On track"))),IF($K657="Unconfirmed",IF($L657&gt;=UnconfirmedWarn,"Warning","On track"),""))</f>
        <v/>
      </c>
      <c r="N657" s="29" t="str">
        <f aca="false">IF($M657="","",IF($M657="Critical",3000,IF($M657="Warning",2000,1000))+$L657+ROW()/100000)</f>
        <v/>
      </c>
      <c r="O657" s="29" t="str">
        <f aca="false">IF($K657="Open",IF($C657="Conflict","decide "&amp;$A657&amp;": &lt;which version stands&gt;","decide "&amp;$A657&amp;": &lt;outcome&gt;"),IF($K657="Unconfirmed","confirm "&amp;$A657,""))</f>
        <v/>
      </c>
    </row>
    <row r="658" customFormat="false" ht="15" hidden="false" customHeight="false" outlineLevel="0" collapsed="false">
      <c r="A658" s="24"/>
      <c r="B658" s="27"/>
      <c r="C658" s="28"/>
      <c r="D658" s="24"/>
      <c r="E658" s="24"/>
      <c r="F658" s="24"/>
      <c r="G658" s="28"/>
      <c r="H658" s="28"/>
      <c r="I658" s="24"/>
      <c r="J658" s="24"/>
      <c r="K658" s="29" t="str">
        <f aca="false">IF($A658="","",IF(OR($C658="Decision",$C658="Conflict"),IF(COUNTIFS($I$2:$I$1001,$A658,$C$2:$C$1001,"Resolved")=0,"Open","Closed"),IF(AND($H658="Unconfirmed",OR($C658="New",$C658="Know")),IF(COUNTIFS($I$2:$I$1001,$A658,$C$2:$C$1001,"Confirmed")=0,"Unconfirmed","Confirmed"),"Logged")))</f>
        <v/>
      </c>
      <c r="L658" s="29" t="str">
        <f aca="false">IF($A658="","",AsOf-$B658)</f>
        <v/>
      </c>
      <c r="M658" s="29" t="str">
        <f aca="false">IF($K658="Open",IF($C658="Conflict","Critical",IF($L658&gt;=DecisionCritical,"Critical",IF($L658&gt;=DecisionWarn,"Warning","On track"))),IF($K658="Unconfirmed",IF($L658&gt;=UnconfirmedWarn,"Warning","On track"),""))</f>
        <v/>
      </c>
      <c r="N658" s="29" t="str">
        <f aca="false">IF($M658="","",IF($M658="Critical",3000,IF($M658="Warning",2000,1000))+$L658+ROW()/100000)</f>
        <v/>
      </c>
      <c r="O658" s="29" t="str">
        <f aca="false">IF($K658="Open",IF($C658="Conflict","decide "&amp;$A658&amp;": &lt;which version stands&gt;","decide "&amp;$A658&amp;": &lt;outcome&gt;"),IF($K658="Unconfirmed","confirm "&amp;$A658,""))</f>
        <v/>
      </c>
    </row>
    <row r="659" customFormat="false" ht="15" hidden="false" customHeight="false" outlineLevel="0" collapsed="false">
      <c r="A659" s="24"/>
      <c r="B659" s="27"/>
      <c r="C659" s="28"/>
      <c r="D659" s="24"/>
      <c r="E659" s="24"/>
      <c r="F659" s="24"/>
      <c r="G659" s="28"/>
      <c r="H659" s="28"/>
      <c r="I659" s="24"/>
      <c r="J659" s="24"/>
      <c r="K659" s="29" t="str">
        <f aca="false">IF($A659="","",IF(OR($C659="Decision",$C659="Conflict"),IF(COUNTIFS($I$2:$I$1001,$A659,$C$2:$C$1001,"Resolved")=0,"Open","Closed"),IF(AND($H659="Unconfirmed",OR($C659="New",$C659="Know")),IF(COUNTIFS($I$2:$I$1001,$A659,$C$2:$C$1001,"Confirmed")=0,"Unconfirmed","Confirmed"),"Logged")))</f>
        <v/>
      </c>
      <c r="L659" s="29" t="str">
        <f aca="false">IF($A659="","",AsOf-$B659)</f>
        <v/>
      </c>
      <c r="M659" s="29" t="str">
        <f aca="false">IF($K659="Open",IF($C659="Conflict","Critical",IF($L659&gt;=DecisionCritical,"Critical",IF($L659&gt;=DecisionWarn,"Warning","On track"))),IF($K659="Unconfirmed",IF($L659&gt;=UnconfirmedWarn,"Warning","On track"),""))</f>
        <v/>
      </c>
      <c r="N659" s="29" t="str">
        <f aca="false">IF($M659="","",IF($M659="Critical",3000,IF($M659="Warning",2000,1000))+$L659+ROW()/100000)</f>
        <v/>
      </c>
      <c r="O659" s="29" t="str">
        <f aca="false">IF($K659="Open",IF($C659="Conflict","decide "&amp;$A659&amp;": &lt;which version stands&gt;","decide "&amp;$A659&amp;": &lt;outcome&gt;"),IF($K659="Unconfirmed","confirm "&amp;$A659,""))</f>
        <v/>
      </c>
    </row>
    <row r="660" customFormat="false" ht="15" hidden="false" customHeight="false" outlineLevel="0" collapsed="false">
      <c r="A660" s="24"/>
      <c r="B660" s="27"/>
      <c r="C660" s="28"/>
      <c r="D660" s="24"/>
      <c r="E660" s="24"/>
      <c r="F660" s="24"/>
      <c r="G660" s="28"/>
      <c r="H660" s="28"/>
      <c r="I660" s="24"/>
      <c r="J660" s="24"/>
      <c r="K660" s="29" t="str">
        <f aca="false">IF($A660="","",IF(OR($C660="Decision",$C660="Conflict"),IF(COUNTIFS($I$2:$I$1001,$A660,$C$2:$C$1001,"Resolved")=0,"Open","Closed"),IF(AND($H660="Unconfirmed",OR($C660="New",$C660="Know")),IF(COUNTIFS($I$2:$I$1001,$A660,$C$2:$C$1001,"Confirmed")=0,"Unconfirmed","Confirmed"),"Logged")))</f>
        <v/>
      </c>
      <c r="L660" s="29" t="str">
        <f aca="false">IF($A660="","",AsOf-$B660)</f>
        <v/>
      </c>
      <c r="M660" s="29" t="str">
        <f aca="false">IF($K660="Open",IF($C660="Conflict","Critical",IF($L660&gt;=DecisionCritical,"Critical",IF($L660&gt;=DecisionWarn,"Warning","On track"))),IF($K660="Unconfirmed",IF($L660&gt;=UnconfirmedWarn,"Warning","On track"),""))</f>
        <v/>
      </c>
      <c r="N660" s="29" t="str">
        <f aca="false">IF($M660="","",IF($M660="Critical",3000,IF($M660="Warning",2000,1000))+$L660+ROW()/100000)</f>
        <v/>
      </c>
      <c r="O660" s="29" t="str">
        <f aca="false">IF($K660="Open",IF($C660="Conflict","decide "&amp;$A660&amp;": &lt;which version stands&gt;","decide "&amp;$A660&amp;": &lt;outcome&gt;"),IF($K660="Unconfirmed","confirm "&amp;$A660,""))</f>
        <v/>
      </c>
    </row>
    <row r="661" customFormat="false" ht="15" hidden="false" customHeight="false" outlineLevel="0" collapsed="false">
      <c r="A661" s="24"/>
      <c r="B661" s="27"/>
      <c r="C661" s="28"/>
      <c r="D661" s="24"/>
      <c r="E661" s="24"/>
      <c r="F661" s="24"/>
      <c r="G661" s="28"/>
      <c r="H661" s="28"/>
      <c r="I661" s="24"/>
      <c r="J661" s="24"/>
      <c r="K661" s="29" t="str">
        <f aca="false">IF($A661="","",IF(OR($C661="Decision",$C661="Conflict"),IF(COUNTIFS($I$2:$I$1001,$A661,$C$2:$C$1001,"Resolved")=0,"Open","Closed"),IF(AND($H661="Unconfirmed",OR($C661="New",$C661="Know")),IF(COUNTIFS($I$2:$I$1001,$A661,$C$2:$C$1001,"Confirmed")=0,"Unconfirmed","Confirmed"),"Logged")))</f>
        <v/>
      </c>
      <c r="L661" s="29" t="str">
        <f aca="false">IF($A661="","",AsOf-$B661)</f>
        <v/>
      </c>
      <c r="M661" s="29" t="str">
        <f aca="false">IF($K661="Open",IF($C661="Conflict","Critical",IF($L661&gt;=DecisionCritical,"Critical",IF($L661&gt;=DecisionWarn,"Warning","On track"))),IF($K661="Unconfirmed",IF($L661&gt;=UnconfirmedWarn,"Warning","On track"),""))</f>
        <v/>
      </c>
      <c r="N661" s="29" t="str">
        <f aca="false">IF($M661="","",IF($M661="Critical",3000,IF($M661="Warning",2000,1000))+$L661+ROW()/100000)</f>
        <v/>
      </c>
      <c r="O661" s="29" t="str">
        <f aca="false">IF($K661="Open",IF($C661="Conflict","decide "&amp;$A661&amp;": &lt;which version stands&gt;","decide "&amp;$A661&amp;": &lt;outcome&gt;"),IF($K661="Unconfirmed","confirm "&amp;$A661,""))</f>
        <v/>
      </c>
    </row>
    <row r="662" customFormat="false" ht="15" hidden="false" customHeight="false" outlineLevel="0" collapsed="false">
      <c r="A662" s="24"/>
      <c r="B662" s="27"/>
      <c r="C662" s="28"/>
      <c r="D662" s="24"/>
      <c r="E662" s="24"/>
      <c r="F662" s="24"/>
      <c r="G662" s="28"/>
      <c r="H662" s="28"/>
      <c r="I662" s="24"/>
      <c r="J662" s="24"/>
      <c r="K662" s="29" t="str">
        <f aca="false">IF($A662="","",IF(OR($C662="Decision",$C662="Conflict"),IF(COUNTIFS($I$2:$I$1001,$A662,$C$2:$C$1001,"Resolved")=0,"Open","Closed"),IF(AND($H662="Unconfirmed",OR($C662="New",$C662="Know")),IF(COUNTIFS($I$2:$I$1001,$A662,$C$2:$C$1001,"Confirmed")=0,"Unconfirmed","Confirmed"),"Logged")))</f>
        <v/>
      </c>
      <c r="L662" s="29" t="str">
        <f aca="false">IF($A662="","",AsOf-$B662)</f>
        <v/>
      </c>
      <c r="M662" s="29" t="str">
        <f aca="false">IF($K662="Open",IF($C662="Conflict","Critical",IF($L662&gt;=DecisionCritical,"Critical",IF($L662&gt;=DecisionWarn,"Warning","On track"))),IF($K662="Unconfirmed",IF($L662&gt;=UnconfirmedWarn,"Warning","On track"),""))</f>
        <v/>
      </c>
      <c r="N662" s="29" t="str">
        <f aca="false">IF($M662="","",IF($M662="Critical",3000,IF($M662="Warning",2000,1000))+$L662+ROW()/100000)</f>
        <v/>
      </c>
      <c r="O662" s="29" t="str">
        <f aca="false">IF($K662="Open",IF($C662="Conflict","decide "&amp;$A662&amp;": &lt;which version stands&gt;","decide "&amp;$A662&amp;": &lt;outcome&gt;"),IF($K662="Unconfirmed","confirm "&amp;$A662,""))</f>
        <v/>
      </c>
    </row>
    <row r="663" customFormat="false" ht="15" hidden="false" customHeight="false" outlineLevel="0" collapsed="false">
      <c r="A663" s="24"/>
      <c r="B663" s="27"/>
      <c r="C663" s="28"/>
      <c r="D663" s="24"/>
      <c r="E663" s="24"/>
      <c r="F663" s="24"/>
      <c r="G663" s="28"/>
      <c r="H663" s="28"/>
      <c r="I663" s="24"/>
      <c r="J663" s="24"/>
      <c r="K663" s="29" t="str">
        <f aca="false">IF($A663="","",IF(OR($C663="Decision",$C663="Conflict"),IF(COUNTIFS($I$2:$I$1001,$A663,$C$2:$C$1001,"Resolved")=0,"Open","Closed"),IF(AND($H663="Unconfirmed",OR($C663="New",$C663="Know")),IF(COUNTIFS($I$2:$I$1001,$A663,$C$2:$C$1001,"Confirmed")=0,"Unconfirmed","Confirmed"),"Logged")))</f>
        <v/>
      </c>
      <c r="L663" s="29" t="str">
        <f aca="false">IF($A663="","",AsOf-$B663)</f>
        <v/>
      </c>
      <c r="M663" s="29" t="str">
        <f aca="false">IF($K663="Open",IF($C663="Conflict","Critical",IF($L663&gt;=DecisionCritical,"Critical",IF($L663&gt;=DecisionWarn,"Warning","On track"))),IF($K663="Unconfirmed",IF($L663&gt;=UnconfirmedWarn,"Warning","On track"),""))</f>
        <v/>
      </c>
      <c r="N663" s="29" t="str">
        <f aca="false">IF($M663="","",IF($M663="Critical",3000,IF($M663="Warning",2000,1000))+$L663+ROW()/100000)</f>
        <v/>
      </c>
      <c r="O663" s="29" t="str">
        <f aca="false">IF($K663="Open",IF($C663="Conflict","decide "&amp;$A663&amp;": &lt;which version stands&gt;","decide "&amp;$A663&amp;": &lt;outcome&gt;"),IF($K663="Unconfirmed","confirm "&amp;$A663,""))</f>
        <v/>
      </c>
    </row>
    <row r="664" customFormat="false" ht="15" hidden="false" customHeight="false" outlineLevel="0" collapsed="false">
      <c r="A664" s="24"/>
      <c r="B664" s="27"/>
      <c r="C664" s="28"/>
      <c r="D664" s="24"/>
      <c r="E664" s="24"/>
      <c r="F664" s="24"/>
      <c r="G664" s="28"/>
      <c r="H664" s="28"/>
      <c r="I664" s="24"/>
      <c r="J664" s="24"/>
      <c r="K664" s="29" t="str">
        <f aca="false">IF($A664="","",IF(OR($C664="Decision",$C664="Conflict"),IF(COUNTIFS($I$2:$I$1001,$A664,$C$2:$C$1001,"Resolved")=0,"Open","Closed"),IF(AND($H664="Unconfirmed",OR($C664="New",$C664="Know")),IF(COUNTIFS($I$2:$I$1001,$A664,$C$2:$C$1001,"Confirmed")=0,"Unconfirmed","Confirmed"),"Logged")))</f>
        <v/>
      </c>
      <c r="L664" s="29" t="str">
        <f aca="false">IF($A664="","",AsOf-$B664)</f>
        <v/>
      </c>
      <c r="M664" s="29" t="str">
        <f aca="false">IF($K664="Open",IF($C664="Conflict","Critical",IF($L664&gt;=DecisionCritical,"Critical",IF($L664&gt;=DecisionWarn,"Warning","On track"))),IF($K664="Unconfirmed",IF($L664&gt;=UnconfirmedWarn,"Warning","On track"),""))</f>
        <v/>
      </c>
      <c r="N664" s="29" t="str">
        <f aca="false">IF($M664="","",IF($M664="Critical",3000,IF($M664="Warning",2000,1000))+$L664+ROW()/100000)</f>
        <v/>
      </c>
      <c r="O664" s="29" t="str">
        <f aca="false">IF($K664="Open",IF($C664="Conflict","decide "&amp;$A664&amp;": &lt;which version stands&gt;","decide "&amp;$A664&amp;": &lt;outcome&gt;"),IF($K664="Unconfirmed","confirm "&amp;$A664,""))</f>
        <v/>
      </c>
    </row>
    <row r="665" customFormat="false" ht="15" hidden="false" customHeight="false" outlineLevel="0" collapsed="false">
      <c r="A665" s="24"/>
      <c r="B665" s="27"/>
      <c r="C665" s="28"/>
      <c r="D665" s="24"/>
      <c r="E665" s="24"/>
      <c r="F665" s="24"/>
      <c r="G665" s="28"/>
      <c r="H665" s="28"/>
      <c r="I665" s="24"/>
      <c r="J665" s="24"/>
      <c r="K665" s="29" t="str">
        <f aca="false">IF($A665="","",IF(OR($C665="Decision",$C665="Conflict"),IF(COUNTIFS($I$2:$I$1001,$A665,$C$2:$C$1001,"Resolved")=0,"Open","Closed"),IF(AND($H665="Unconfirmed",OR($C665="New",$C665="Know")),IF(COUNTIFS($I$2:$I$1001,$A665,$C$2:$C$1001,"Confirmed")=0,"Unconfirmed","Confirmed"),"Logged")))</f>
        <v/>
      </c>
      <c r="L665" s="29" t="str">
        <f aca="false">IF($A665="","",AsOf-$B665)</f>
        <v/>
      </c>
      <c r="M665" s="29" t="str">
        <f aca="false">IF($K665="Open",IF($C665="Conflict","Critical",IF($L665&gt;=DecisionCritical,"Critical",IF($L665&gt;=DecisionWarn,"Warning","On track"))),IF($K665="Unconfirmed",IF($L665&gt;=UnconfirmedWarn,"Warning","On track"),""))</f>
        <v/>
      </c>
      <c r="N665" s="29" t="str">
        <f aca="false">IF($M665="","",IF($M665="Critical",3000,IF($M665="Warning",2000,1000))+$L665+ROW()/100000)</f>
        <v/>
      </c>
      <c r="O665" s="29" t="str">
        <f aca="false">IF($K665="Open",IF($C665="Conflict","decide "&amp;$A665&amp;": &lt;which version stands&gt;","decide "&amp;$A665&amp;": &lt;outcome&gt;"),IF($K665="Unconfirmed","confirm "&amp;$A665,""))</f>
        <v/>
      </c>
    </row>
    <row r="666" customFormat="false" ht="15" hidden="false" customHeight="false" outlineLevel="0" collapsed="false">
      <c r="A666" s="24"/>
      <c r="B666" s="27"/>
      <c r="C666" s="28"/>
      <c r="D666" s="24"/>
      <c r="E666" s="24"/>
      <c r="F666" s="24"/>
      <c r="G666" s="28"/>
      <c r="H666" s="28"/>
      <c r="I666" s="24"/>
      <c r="J666" s="24"/>
      <c r="K666" s="29" t="str">
        <f aca="false">IF($A666="","",IF(OR($C666="Decision",$C666="Conflict"),IF(COUNTIFS($I$2:$I$1001,$A666,$C$2:$C$1001,"Resolved")=0,"Open","Closed"),IF(AND($H666="Unconfirmed",OR($C666="New",$C666="Know")),IF(COUNTIFS($I$2:$I$1001,$A666,$C$2:$C$1001,"Confirmed")=0,"Unconfirmed","Confirmed"),"Logged")))</f>
        <v/>
      </c>
      <c r="L666" s="29" t="str">
        <f aca="false">IF($A666="","",AsOf-$B666)</f>
        <v/>
      </c>
      <c r="M666" s="29" t="str">
        <f aca="false">IF($K666="Open",IF($C666="Conflict","Critical",IF($L666&gt;=DecisionCritical,"Critical",IF($L666&gt;=DecisionWarn,"Warning","On track"))),IF($K666="Unconfirmed",IF($L666&gt;=UnconfirmedWarn,"Warning","On track"),""))</f>
        <v/>
      </c>
      <c r="N666" s="29" t="str">
        <f aca="false">IF($M666="","",IF($M666="Critical",3000,IF($M666="Warning",2000,1000))+$L666+ROW()/100000)</f>
        <v/>
      </c>
      <c r="O666" s="29" t="str">
        <f aca="false">IF($K666="Open",IF($C666="Conflict","decide "&amp;$A666&amp;": &lt;which version stands&gt;","decide "&amp;$A666&amp;": &lt;outcome&gt;"),IF($K666="Unconfirmed","confirm "&amp;$A666,""))</f>
        <v/>
      </c>
    </row>
    <row r="667" customFormat="false" ht="15" hidden="false" customHeight="false" outlineLevel="0" collapsed="false">
      <c r="A667" s="24"/>
      <c r="B667" s="27"/>
      <c r="C667" s="28"/>
      <c r="D667" s="24"/>
      <c r="E667" s="24"/>
      <c r="F667" s="24"/>
      <c r="G667" s="28"/>
      <c r="H667" s="28"/>
      <c r="I667" s="24"/>
      <c r="J667" s="24"/>
      <c r="K667" s="29" t="str">
        <f aca="false">IF($A667="","",IF(OR($C667="Decision",$C667="Conflict"),IF(COUNTIFS($I$2:$I$1001,$A667,$C$2:$C$1001,"Resolved")=0,"Open","Closed"),IF(AND($H667="Unconfirmed",OR($C667="New",$C667="Know")),IF(COUNTIFS($I$2:$I$1001,$A667,$C$2:$C$1001,"Confirmed")=0,"Unconfirmed","Confirmed"),"Logged")))</f>
        <v/>
      </c>
      <c r="L667" s="29" t="str">
        <f aca="false">IF($A667="","",AsOf-$B667)</f>
        <v/>
      </c>
      <c r="M667" s="29" t="str">
        <f aca="false">IF($K667="Open",IF($C667="Conflict","Critical",IF($L667&gt;=DecisionCritical,"Critical",IF($L667&gt;=DecisionWarn,"Warning","On track"))),IF($K667="Unconfirmed",IF($L667&gt;=UnconfirmedWarn,"Warning","On track"),""))</f>
        <v/>
      </c>
      <c r="N667" s="29" t="str">
        <f aca="false">IF($M667="","",IF($M667="Critical",3000,IF($M667="Warning",2000,1000))+$L667+ROW()/100000)</f>
        <v/>
      </c>
      <c r="O667" s="29" t="str">
        <f aca="false">IF($K667="Open",IF($C667="Conflict","decide "&amp;$A667&amp;": &lt;which version stands&gt;","decide "&amp;$A667&amp;": &lt;outcome&gt;"),IF($K667="Unconfirmed","confirm "&amp;$A667,""))</f>
        <v/>
      </c>
    </row>
    <row r="668" customFormat="false" ht="15" hidden="false" customHeight="false" outlineLevel="0" collapsed="false">
      <c r="A668" s="24"/>
      <c r="B668" s="27"/>
      <c r="C668" s="28"/>
      <c r="D668" s="24"/>
      <c r="E668" s="24"/>
      <c r="F668" s="24"/>
      <c r="G668" s="28"/>
      <c r="H668" s="28"/>
      <c r="I668" s="24"/>
      <c r="J668" s="24"/>
      <c r="K668" s="29" t="str">
        <f aca="false">IF($A668="","",IF(OR($C668="Decision",$C668="Conflict"),IF(COUNTIFS($I$2:$I$1001,$A668,$C$2:$C$1001,"Resolved")=0,"Open","Closed"),IF(AND($H668="Unconfirmed",OR($C668="New",$C668="Know")),IF(COUNTIFS($I$2:$I$1001,$A668,$C$2:$C$1001,"Confirmed")=0,"Unconfirmed","Confirmed"),"Logged")))</f>
        <v/>
      </c>
      <c r="L668" s="29" t="str">
        <f aca="false">IF($A668="","",AsOf-$B668)</f>
        <v/>
      </c>
      <c r="M668" s="29" t="str">
        <f aca="false">IF($K668="Open",IF($C668="Conflict","Critical",IF($L668&gt;=DecisionCritical,"Critical",IF($L668&gt;=DecisionWarn,"Warning","On track"))),IF($K668="Unconfirmed",IF($L668&gt;=UnconfirmedWarn,"Warning","On track"),""))</f>
        <v/>
      </c>
      <c r="N668" s="29" t="str">
        <f aca="false">IF($M668="","",IF($M668="Critical",3000,IF($M668="Warning",2000,1000))+$L668+ROW()/100000)</f>
        <v/>
      </c>
      <c r="O668" s="29" t="str">
        <f aca="false">IF($K668="Open",IF($C668="Conflict","decide "&amp;$A668&amp;": &lt;which version stands&gt;","decide "&amp;$A668&amp;": &lt;outcome&gt;"),IF($K668="Unconfirmed","confirm "&amp;$A668,""))</f>
        <v/>
      </c>
    </row>
    <row r="669" customFormat="false" ht="15" hidden="false" customHeight="false" outlineLevel="0" collapsed="false">
      <c r="A669" s="24"/>
      <c r="B669" s="27"/>
      <c r="C669" s="28"/>
      <c r="D669" s="24"/>
      <c r="E669" s="24"/>
      <c r="F669" s="24"/>
      <c r="G669" s="28"/>
      <c r="H669" s="28"/>
      <c r="I669" s="24"/>
      <c r="J669" s="24"/>
      <c r="K669" s="29" t="str">
        <f aca="false">IF($A669="","",IF(OR($C669="Decision",$C669="Conflict"),IF(COUNTIFS($I$2:$I$1001,$A669,$C$2:$C$1001,"Resolved")=0,"Open","Closed"),IF(AND($H669="Unconfirmed",OR($C669="New",$C669="Know")),IF(COUNTIFS($I$2:$I$1001,$A669,$C$2:$C$1001,"Confirmed")=0,"Unconfirmed","Confirmed"),"Logged")))</f>
        <v/>
      </c>
      <c r="L669" s="29" t="str">
        <f aca="false">IF($A669="","",AsOf-$B669)</f>
        <v/>
      </c>
      <c r="M669" s="29" t="str">
        <f aca="false">IF($K669="Open",IF($C669="Conflict","Critical",IF($L669&gt;=DecisionCritical,"Critical",IF($L669&gt;=DecisionWarn,"Warning","On track"))),IF($K669="Unconfirmed",IF($L669&gt;=UnconfirmedWarn,"Warning","On track"),""))</f>
        <v/>
      </c>
      <c r="N669" s="29" t="str">
        <f aca="false">IF($M669="","",IF($M669="Critical",3000,IF($M669="Warning",2000,1000))+$L669+ROW()/100000)</f>
        <v/>
      </c>
      <c r="O669" s="29" t="str">
        <f aca="false">IF($K669="Open",IF($C669="Conflict","decide "&amp;$A669&amp;": &lt;which version stands&gt;","decide "&amp;$A669&amp;": &lt;outcome&gt;"),IF($K669="Unconfirmed","confirm "&amp;$A669,""))</f>
        <v/>
      </c>
    </row>
    <row r="670" customFormat="false" ht="15" hidden="false" customHeight="false" outlineLevel="0" collapsed="false">
      <c r="A670" s="24"/>
      <c r="B670" s="27"/>
      <c r="C670" s="28"/>
      <c r="D670" s="24"/>
      <c r="E670" s="24"/>
      <c r="F670" s="24"/>
      <c r="G670" s="28"/>
      <c r="H670" s="28"/>
      <c r="I670" s="24"/>
      <c r="J670" s="24"/>
      <c r="K670" s="29" t="str">
        <f aca="false">IF($A670="","",IF(OR($C670="Decision",$C670="Conflict"),IF(COUNTIFS($I$2:$I$1001,$A670,$C$2:$C$1001,"Resolved")=0,"Open","Closed"),IF(AND($H670="Unconfirmed",OR($C670="New",$C670="Know")),IF(COUNTIFS($I$2:$I$1001,$A670,$C$2:$C$1001,"Confirmed")=0,"Unconfirmed","Confirmed"),"Logged")))</f>
        <v/>
      </c>
      <c r="L670" s="29" t="str">
        <f aca="false">IF($A670="","",AsOf-$B670)</f>
        <v/>
      </c>
      <c r="M670" s="29" t="str">
        <f aca="false">IF($K670="Open",IF($C670="Conflict","Critical",IF($L670&gt;=DecisionCritical,"Critical",IF($L670&gt;=DecisionWarn,"Warning","On track"))),IF($K670="Unconfirmed",IF($L670&gt;=UnconfirmedWarn,"Warning","On track"),""))</f>
        <v/>
      </c>
      <c r="N670" s="29" t="str">
        <f aca="false">IF($M670="","",IF($M670="Critical",3000,IF($M670="Warning",2000,1000))+$L670+ROW()/100000)</f>
        <v/>
      </c>
      <c r="O670" s="29" t="str">
        <f aca="false">IF($K670="Open",IF($C670="Conflict","decide "&amp;$A670&amp;": &lt;which version stands&gt;","decide "&amp;$A670&amp;": &lt;outcome&gt;"),IF($K670="Unconfirmed","confirm "&amp;$A670,""))</f>
        <v/>
      </c>
    </row>
    <row r="671" customFormat="false" ht="15" hidden="false" customHeight="false" outlineLevel="0" collapsed="false">
      <c r="A671" s="24"/>
      <c r="B671" s="27"/>
      <c r="C671" s="28"/>
      <c r="D671" s="24"/>
      <c r="E671" s="24"/>
      <c r="F671" s="24"/>
      <c r="G671" s="28"/>
      <c r="H671" s="28"/>
      <c r="I671" s="24"/>
      <c r="J671" s="24"/>
      <c r="K671" s="29" t="str">
        <f aca="false">IF($A671="","",IF(OR($C671="Decision",$C671="Conflict"),IF(COUNTIFS($I$2:$I$1001,$A671,$C$2:$C$1001,"Resolved")=0,"Open","Closed"),IF(AND($H671="Unconfirmed",OR($C671="New",$C671="Know")),IF(COUNTIFS($I$2:$I$1001,$A671,$C$2:$C$1001,"Confirmed")=0,"Unconfirmed","Confirmed"),"Logged")))</f>
        <v/>
      </c>
      <c r="L671" s="29" t="str">
        <f aca="false">IF($A671="","",AsOf-$B671)</f>
        <v/>
      </c>
      <c r="M671" s="29" t="str">
        <f aca="false">IF($K671="Open",IF($C671="Conflict","Critical",IF($L671&gt;=DecisionCritical,"Critical",IF($L671&gt;=DecisionWarn,"Warning","On track"))),IF($K671="Unconfirmed",IF($L671&gt;=UnconfirmedWarn,"Warning","On track"),""))</f>
        <v/>
      </c>
      <c r="N671" s="29" t="str">
        <f aca="false">IF($M671="","",IF($M671="Critical",3000,IF($M671="Warning",2000,1000))+$L671+ROW()/100000)</f>
        <v/>
      </c>
      <c r="O671" s="29" t="str">
        <f aca="false">IF($K671="Open",IF($C671="Conflict","decide "&amp;$A671&amp;": &lt;which version stands&gt;","decide "&amp;$A671&amp;": &lt;outcome&gt;"),IF($K671="Unconfirmed","confirm "&amp;$A671,""))</f>
        <v/>
      </c>
    </row>
    <row r="672" customFormat="false" ht="15" hidden="false" customHeight="false" outlineLevel="0" collapsed="false">
      <c r="A672" s="24"/>
      <c r="B672" s="27"/>
      <c r="C672" s="28"/>
      <c r="D672" s="24"/>
      <c r="E672" s="24"/>
      <c r="F672" s="24"/>
      <c r="G672" s="28"/>
      <c r="H672" s="28"/>
      <c r="I672" s="24"/>
      <c r="J672" s="24"/>
      <c r="K672" s="29" t="str">
        <f aca="false">IF($A672="","",IF(OR($C672="Decision",$C672="Conflict"),IF(COUNTIFS($I$2:$I$1001,$A672,$C$2:$C$1001,"Resolved")=0,"Open","Closed"),IF(AND($H672="Unconfirmed",OR($C672="New",$C672="Know")),IF(COUNTIFS($I$2:$I$1001,$A672,$C$2:$C$1001,"Confirmed")=0,"Unconfirmed","Confirmed"),"Logged")))</f>
        <v/>
      </c>
      <c r="L672" s="29" t="str">
        <f aca="false">IF($A672="","",AsOf-$B672)</f>
        <v/>
      </c>
      <c r="M672" s="29" t="str">
        <f aca="false">IF($K672="Open",IF($C672="Conflict","Critical",IF($L672&gt;=DecisionCritical,"Critical",IF($L672&gt;=DecisionWarn,"Warning","On track"))),IF($K672="Unconfirmed",IF($L672&gt;=UnconfirmedWarn,"Warning","On track"),""))</f>
        <v/>
      </c>
      <c r="N672" s="29" t="str">
        <f aca="false">IF($M672="","",IF($M672="Critical",3000,IF($M672="Warning",2000,1000))+$L672+ROW()/100000)</f>
        <v/>
      </c>
      <c r="O672" s="29" t="str">
        <f aca="false">IF($K672="Open",IF($C672="Conflict","decide "&amp;$A672&amp;": &lt;which version stands&gt;","decide "&amp;$A672&amp;": &lt;outcome&gt;"),IF($K672="Unconfirmed","confirm "&amp;$A672,""))</f>
        <v/>
      </c>
    </row>
    <row r="673" customFormat="false" ht="15" hidden="false" customHeight="false" outlineLevel="0" collapsed="false">
      <c r="A673" s="24"/>
      <c r="B673" s="27"/>
      <c r="C673" s="28"/>
      <c r="D673" s="24"/>
      <c r="E673" s="24"/>
      <c r="F673" s="24"/>
      <c r="G673" s="28"/>
      <c r="H673" s="28"/>
      <c r="I673" s="24"/>
      <c r="J673" s="24"/>
      <c r="K673" s="29" t="str">
        <f aca="false">IF($A673="","",IF(OR($C673="Decision",$C673="Conflict"),IF(COUNTIFS($I$2:$I$1001,$A673,$C$2:$C$1001,"Resolved")=0,"Open","Closed"),IF(AND($H673="Unconfirmed",OR($C673="New",$C673="Know")),IF(COUNTIFS($I$2:$I$1001,$A673,$C$2:$C$1001,"Confirmed")=0,"Unconfirmed","Confirmed"),"Logged")))</f>
        <v/>
      </c>
      <c r="L673" s="29" t="str">
        <f aca="false">IF($A673="","",AsOf-$B673)</f>
        <v/>
      </c>
      <c r="M673" s="29" t="str">
        <f aca="false">IF($K673="Open",IF($C673="Conflict","Critical",IF($L673&gt;=DecisionCritical,"Critical",IF($L673&gt;=DecisionWarn,"Warning","On track"))),IF($K673="Unconfirmed",IF($L673&gt;=UnconfirmedWarn,"Warning","On track"),""))</f>
        <v/>
      </c>
      <c r="N673" s="29" t="str">
        <f aca="false">IF($M673="","",IF($M673="Critical",3000,IF($M673="Warning",2000,1000))+$L673+ROW()/100000)</f>
        <v/>
      </c>
      <c r="O673" s="29" t="str">
        <f aca="false">IF($K673="Open",IF($C673="Conflict","decide "&amp;$A673&amp;": &lt;which version stands&gt;","decide "&amp;$A673&amp;": &lt;outcome&gt;"),IF($K673="Unconfirmed","confirm "&amp;$A673,""))</f>
        <v/>
      </c>
    </row>
    <row r="674" customFormat="false" ht="15" hidden="false" customHeight="false" outlineLevel="0" collapsed="false">
      <c r="A674" s="24"/>
      <c r="B674" s="27"/>
      <c r="C674" s="28"/>
      <c r="D674" s="24"/>
      <c r="E674" s="24"/>
      <c r="F674" s="24"/>
      <c r="G674" s="28"/>
      <c r="H674" s="28"/>
      <c r="I674" s="24"/>
      <c r="J674" s="24"/>
      <c r="K674" s="29" t="str">
        <f aca="false">IF($A674="","",IF(OR($C674="Decision",$C674="Conflict"),IF(COUNTIFS($I$2:$I$1001,$A674,$C$2:$C$1001,"Resolved")=0,"Open","Closed"),IF(AND($H674="Unconfirmed",OR($C674="New",$C674="Know")),IF(COUNTIFS($I$2:$I$1001,$A674,$C$2:$C$1001,"Confirmed")=0,"Unconfirmed","Confirmed"),"Logged")))</f>
        <v/>
      </c>
      <c r="L674" s="29" t="str">
        <f aca="false">IF($A674="","",AsOf-$B674)</f>
        <v/>
      </c>
      <c r="M674" s="29" t="str">
        <f aca="false">IF($K674="Open",IF($C674="Conflict","Critical",IF($L674&gt;=DecisionCritical,"Critical",IF($L674&gt;=DecisionWarn,"Warning","On track"))),IF($K674="Unconfirmed",IF($L674&gt;=UnconfirmedWarn,"Warning","On track"),""))</f>
        <v/>
      </c>
      <c r="N674" s="29" t="str">
        <f aca="false">IF($M674="","",IF($M674="Critical",3000,IF($M674="Warning",2000,1000))+$L674+ROW()/100000)</f>
        <v/>
      </c>
      <c r="O674" s="29" t="str">
        <f aca="false">IF($K674="Open",IF($C674="Conflict","decide "&amp;$A674&amp;": &lt;which version stands&gt;","decide "&amp;$A674&amp;": &lt;outcome&gt;"),IF($K674="Unconfirmed","confirm "&amp;$A674,""))</f>
        <v/>
      </c>
    </row>
    <row r="675" customFormat="false" ht="15" hidden="false" customHeight="false" outlineLevel="0" collapsed="false">
      <c r="A675" s="24"/>
      <c r="B675" s="27"/>
      <c r="C675" s="28"/>
      <c r="D675" s="24"/>
      <c r="E675" s="24"/>
      <c r="F675" s="24"/>
      <c r="G675" s="28"/>
      <c r="H675" s="28"/>
      <c r="I675" s="24"/>
      <c r="J675" s="24"/>
      <c r="K675" s="29" t="str">
        <f aca="false">IF($A675="","",IF(OR($C675="Decision",$C675="Conflict"),IF(COUNTIFS($I$2:$I$1001,$A675,$C$2:$C$1001,"Resolved")=0,"Open","Closed"),IF(AND($H675="Unconfirmed",OR($C675="New",$C675="Know")),IF(COUNTIFS($I$2:$I$1001,$A675,$C$2:$C$1001,"Confirmed")=0,"Unconfirmed","Confirmed"),"Logged")))</f>
        <v/>
      </c>
      <c r="L675" s="29" t="str">
        <f aca="false">IF($A675="","",AsOf-$B675)</f>
        <v/>
      </c>
      <c r="M675" s="29" t="str">
        <f aca="false">IF($K675="Open",IF($C675="Conflict","Critical",IF($L675&gt;=DecisionCritical,"Critical",IF($L675&gt;=DecisionWarn,"Warning","On track"))),IF($K675="Unconfirmed",IF($L675&gt;=UnconfirmedWarn,"Warning","On track"),""))</f>
        <v/>
      </c>
      <c r="N675" s="29" t="str">
        <f aca="false">IF($M675="","",IF($M675="Critical",3000,IF($M675="Warning",2000,1000))+$L675+ROW()/100000)</f>
        <v/>
      </c>
      <c r="O675" s="29" t="str">
        <f aca="false">IF($K675="Open",IF($C675="Conflict","decide "&amp;$A675&amp;": &lt;which version stands&gt;","decide "&amp;$A675&amp;": &lt;outcome&gt;"),IF($K675="Unconfirmed","confirm "&amp;$A675,""))</f>
        <v/>
      </c>
    </row>
    <row r="676" customFormat="false" ht="15" hidden="false" customHeight="false" outlineLevel="0" collapsed="false">
      <c r="A676" s="24"/>
      <c r="B676" s="27"/>
      <c r="C676" s="28"/>
      <c r="D676" s="24"/>
      <c r="E676" s="24"/>
      <c r="F676" s="24"/>
      <c r="G676" s="28"/>
      <c r="H676" s="28"/>
      <c r="I676" s="24"/>
      <c r="J676" s="24"/>
      <c r="K676" s="29" t="str">
        <f aca="false">IF($A676="","",IF(OR($C676="Decision",$C676="Conflict"),IF(COUNTIFS($I$2:$I$1001,$A676,$C$2:$C$1001,"Resolved")=0,"Open","Closed"),IF(AND($H676="Unconfirmed",OR($C676="New",$C676="Know")),IF(COUNTIFS($I$2:$I$1001,$A676,$C$2:$C$1001,"Confirmed")=0,"Unconfirmed","Confirmed"),"Logged")))</f>
        <v/>
      </c>
      <c r="L676" s="29" t="str">
        <f aca="false">IF($A676="","",AsOf-$B676)</f>
        <v/>
      </c>
      <c r="M676" s="29" t="str">
        <f aca="false">IF($K676="Open",IF($C676="Conflict","Critical",IF($L676&gt;=DecisionCritical,"Critical",IF($L676&gt;=DecisionWarn,"Warning","On track"))),IF($K676="Unconfirmed",IF($L676&gt;=UnconfirmedWarn,"Warning","On track"),""))</f>
        <v/>
      </c>
      <c r="N676" s="29" t="str">
        <f aca="false">IF($M676="","",IF($M676="Critical",3000,IF($M676="Warning",2000,1000))+$L676+ROW()/100000)</f>
        <v/>
      </c>
      <c r="O676" s="29" t="str">
        <f aca="false">IF($K676="Open",IF($C676="Conflict","decide "&amp;$A676&amp;": &lt;which version stands&gt;","decide "&amp;$A676&amp;": &lt;outcome&gt;"),IF($K676="Unconfirmed","confirm "&amp;$A676,""))</f>
        <v/>
      </c>
    </row>
    <row r="677" customFormat="false" ht="15" hidden="false" customHeight="false" outlineLevel="0" collapsed="false">
      <c r="A677" s="24"/>
      <c r="B677" s="27"/>
      <c r="C677" s="28"/>
      <c r="D677" s="24"/>
      <c r="E677" s="24"/>
      <c r="F677" s="24"/>
      <c r="G677" s="28"/>
      <c r="H677" s="28"/>
      <c r="I677" s="24"/>
      <c r="J677" s="24"/>
      <c r="K677" s="29" t="str">
        <f aca="false">IF($A677="","",IF(OR($C677="Decision",$C677="Conflict"),IF(COUNTIFS($I$2:$I$1001,$A677,$C$2:$C$1001,"Resolved")=0,"Open","Closed"),IF(AND($H677="Unconfirmed",OR($C677="New",$C677="Know")),IF(COUNTIFS($I$2:$I$1001,$A677,$C$2:$C$1001,"Confirmed")=0,"Unconfirmed","Confirmed"),"Logged")))</f>
        <v/>
      </c>
      <c r="L677" s="29" t="str">
        <f aca="false">IF($A677="","",AsOf-$B677)</f>
        <v/>
      </c>
      <c r="M677" s="29" t="str">
        <f aca="false">IF($K677="Open",IF($C677="Conflict","Critical",IF($L677&gt;=DecisionCritical,"Critical",IF($L677&gt;=DecisionWarn,"Warning","On track"))),IF($K677="Unconfirmed",IF($L677&gt;=UnconfirmedWarn,"Warning","On track"),""))</f>
        <v/>
      </c>
      <c r="N677" s="29" t="str">
        <f aca="false">IF($M677="","",IF($M677="Critical",3000,IF($M677="Warning",2000,1000))+$L677+ROW()/100000)</f>
        <v/>
      </c>
      <c r="O677" s="29" t="str">
        <f aca="false">IF($K677="Open",IF($C677="Conflict","decide "&amp;$A677&amp;": &lt;which version stands&gt;","decide "&amp;$A677&amp;": &lt;outcome&gt;"),IF($K677="Unconfirmed","confirm "&amp;$A677,""))</f>
        <v/>
      </c>
    </row>
    <row r="678" customFormat="false" ht="15" hidden="false" customHeight="false" outlineLevel="0" collapsed="false">
      <c r="A678" s="24"/>
      <c r="B678" s="27"/>
      <c r="C678" s="28"/>
      <c r="D678" s="24"/>
      <c r="E678" s="24"/>
      <c r="F678" s="24"/>
      <c r="G678" s="28"/>
      <c r="H678" s="28"/>
      <c r="I678" s="24"/>
      <c r="J678" s="24"/>
      <c r="K678" s="29" t="str">
        <f aca="false">IF($A678="","",IF(OR($C678="Decision",$C678="Conflict"),IF(COUNTIFS($I$2:$I$1001,$A678,$C$2:$C$1001,"Resolved")=0,"Open","Closed"),IF(AND($H678="Unconfirmed",OR($C678="New",$C678="Know")),IF(COUNTIFS($I$2:$I$1001,$A678,$C$2:$C$1001,"Confirmed")=0,"Unconfirmed","Confirmed"),"Logged")))</f>
        <v/>
      </c>
      <c r="L678" s="29" t="str">
        <f aca="false">IF($A678="","",AsOf-$B678)</f>
        <v/>
      </c>
      <c r="M678" s="29" t="str">
        <f aca="false">IF($K678="Open",IF($C678="Conflict","Critical",IF($L678&gt;=DecisionCritical,"Critical",IF($L678&gt;=DecisionWarn,"Warning","On track"))),IF($K678="Unconfirmed",IF($L678&gt;=UnconfirmedWarn,"Warning","On track"),""))</f>
        <v/>
      </c>
      <c r="N678" s="29" t="str">
        <f aca="false">IF($M678="","",IF($M678="Critical",3000,IF($M678="Warning",2000,1000))+$L678+ROW()/100000)</f>
        <v/>
      </c>
      <c r="O678" s="29" t="str">
        <f aca="false">IF($K678="Open",IF($C678="Conflict","decide "&amp;$A678&amp;": &lt;which version stands&gt;","decide "&amp;$A678&amp;": &lt;outcome&gt;"),IF($K678="Unconfirmed","confirm "&amp;$A678,""))</f>
        <v/>
      </c>
    </row>
    <row r="679" customFormat="false" ht="15" hidden="false" customHeight="false" outlineLevel="0" collapsed="false">
      <c r="A679" s="24"/>
      <c r="B679" s="27"/>
      <c r="C679" s="28"/>
      <c r="D679" s="24"/>
      <c r="E679" s="24"/>
      <c r="F679" s="24"/>
      <c r="G679" s="28"/>
      <c r="H679" s="28"/>
      <c r="I679" s="24"/>
      <c r="J679" s="24"/>
      <c r="K679" s="29" t="str">
        <f aca="false">IF($A679="","",IF(OR($C679="Decision",$C679="Conflict"),IF(COUNTIFS($I$2:$I$1001,$A679,$C$2:$C$1001,"Resolved")=0,"Open","Closed"),IF(AND($H679="Unconfirmed",OR($C679="New",$C679="Know")),IF(COUNTIFS($I$2:$I$1001,$A679,$C$2:$C$1001,"Confirmed")=0,"Unconfirmed","Confirmed"),"Logged")))</f>
        <v/>
      </c>
      <c r="L679" s="29" t="str">
        <f aca="false">IF($A679="","",AsOf-$B679)</f>
        <v/>
      </c>
      <c r="M679" s="29" t="str">
        <f aca="false">IF($K679="Open",IF($C679="Conflict","Critical",IF($L679&gt;=DecisionCritical,"Critical",IF($L679&gt;=DecisionWarn,"Warning","On track"))),IF($K679="Unconfirmed",IF($L679&gt;=UnconfirmedWarn,"Warning","On track"),""))</f>
        <v/>
      </c>
      <c r="N679" s="29" t="str">
        <f aca="false">IF($M679="","",IF($M679="Critical",3000,IF($M679="Warning",2000,1000))+$L679+ROW()/100000)</f>
        <v/>
      </c>
      <c r="O679" s="29" t="str">
        <f aca="false">IF($K679="Open",IF($C679="Conflict","decide "&amp;$A679&amp;": &lt;which version stands&gt;","decide "&amp;$A679&amp;": &lt;outcome&gt;"),IF($K679="Unconfirmed","confirm "&amp;$A679,""))</f>
        <v/>
      </c>
    </row>
    <row r="680" customFormat="false" ht="15" hidden="false" customHeight="false" outlineLevel="0" collapsed="false">
      <c r="A680" s="24"/>
      <c r="B680" s="27"/>
      <c r="C680" s="28"/>
      <c r="D680" s="24"/>
      <c r="E680" s="24"/>
      <c r="F680" s="24"/>
      <c r="G680" s="28"/>
      <c r="H680" s="28"/>
      <c r="I680" s="24"/>
      <c r="J680" s="24"/>
      <c r="K680" s="29" t="str">
        <f aca="false">IF($A680="","",IF(OR($C680="Decision",$C680="Conflict"),IF(COUNTIFS($I$2:$I$1001,$A680,$C$2:$C$1001,"Resolved")=0,"Open","Closed"),IF(AND($H680="Unconfirmed",OR($C680="New",$C680="Know")),IF(COUNTIFS($I$2:$I$1001,$A680,$C$2:$C$1001,"Confirmed")=0,"Unconfirmed","Confirmed"),"Logged")))</f>
        <v/>
      </c>
      <c r="L680" s="29" t="str">
        <f aca="false">IF($A680="","",AsOf-$B680)</f>
        <v/>
      </c>
      <c r="M680" s="29" t="str">
        <f aca="false">IF($K680="Open",IF($C680="Conflict","Critical",IF($L680&gt;=DecisionCritical,"Critical",IF($L680&gt;=DecisionWarn,"Warning","On track"))),IF($K680="Unconfirmed",IF($L680&gt;=UnconfirmedWarn,"Warning","On track"),""))</f>
        <v/>
      </c>
      <c r="N680" s="29" t="str">
        <f aca="false">IF($M680="","",IF($M680="Critical",3000,IF($M680="Warning",2000,1000))+$L680+ROW()/100000)</f>
        <v/>
      </c>
      <c r="O680" s="29" t="str">
        <f aca="false">IF($K680="Open",IF($C680="Conflict","decide "&amp;$A680&amp;": &lt;which version stands&gt;","decide "&amp;$A680&amp;": &lt;outcome&gt;"),IF($K680="Unconfirmed","confirm "&amp;$A680,""))</f>
        <v/>
      </c>
    </row>
    <row r="681" customFormat="false" ht="15" hidden="false" customHeight="false" outlineLevel="0" collapsed="false">
      <c r="A681" s="24"/>
      <c r="B681" s="27"/>
      <c r="C681" s="28"/>
      <c r="D681" s="24"/>
      <c r="E681" s="24"/>
      <c r="F681" s="24"/>
      <c r="G681" s="28"/>
      <c r="H681" s="28"/>
      <c r="I681" s="24"/>
      <c r="J681" s="24"/>
      <c r="K681" s="29" t="str">
        <f aca="false">IF($A681="","",IF(OR($C681="Decision",$C681="Conflict"),IF(COUNTIFS($I$2:$I$1001,$A681,$C$2:$C$1001,"Resolved")=0,"Open","Closed"),IF(AND($H681="Unconfirmed",OR($C681="New",$C681="Know")),IF(COUNTIFS($I$2:$I$1001,$A681,$C$2:$C$1001,"Confirmed")=0,"Unconfirmed","Confirmed"),"Logged")))</f>
        <v/>
      </c>
      <c r="L681" s="29" t="str">
        <f aca="false">IF($A681="","",AsOf-$B681)</f>
        <v/>
      </c>
      <c r="M681" s="29" t="str">
        <f aca="false">IF($K681="Open",IF($C681="Conflict","Critical",IF($L681&gt;=DecisionCritical,"Critical",IF($L681&gt;=DecisionWarn,"Warning","On track"))),IF($K681="Unconfirmed",IF($L681&gt;=UnconfirmedWarn,"Warning","On track"),""))</f>
        <v/>
      </c>
      <c r="N681" s="29" t="str">
        <f aca="false">IF($M681="","",IF($M681="Critical",3000,IF($M681="Warning",2000,1000))+$L681+ROW()/100000)</f>
        <v/>
      </c>
      <c r="O681" s="29" t="str">
        <f aca="false">IF($K681="Open",IF($C681="Conflict","decide "&amp;$A681&amp;": &lt;which version stands&gt;","decide "&amp;$A681&amp;": &lt;outcome&gt;"),IF($K681="Unconfirmed","confirm "&amp;$A681,""))</f>
        <v/>
      </c>
    </row>
    <row r="682" customFormat="false" ht="15" hidden="false" customHeight="false" outlineLevel="0" collapsed="false">
      <c r="A682" s="24"/>
      <c r="B682" s="27"/>
      <c r="C682" s="28"/>
      <c r="D682" s="24"/>
      <c r="E682" s="24"/>
      <c r="F682" s="24"/>
      <c r="G682" s="28"/>
      <c r="H682" s="28"/>
      <c r="I682" s="24"/>
      <c r="J682" s="24"/>
      <c r="K682" s="29" t="str">
        <f aca="false">IF($A682="","",IF(OR($C682="Decision",$C682="Conflict"),IF(COUNTIFS($I$2:$I$1001,$A682,$C$2:$C$1001,"Resolved")=0,"Open","Closed"),IF(AND($H682="Unconfirmed",OR($C682="New",$C682="Know")),IF(COUNTIFS($I$2:$I$1001,$A682,$C$2:$C$1001,"Confirmed")=0,"Unconfirmed","Confirmed"),"Logged")))</f>
        <v/>
      </c>
      <c r="L682" s="29" t="str">
        <f aca="false">IF($A682="","",AsOf-$B682)</f>
        <v/>
      </c>
      <c r="M682" s="29" t="str">
        <f aca="false">IF($K682="Open",IF($C682="Conflict","Critical",IF($L682&gt;=DecisionCritical,"Critical",IF($L682&gt;=DecisionWarn,"Warning","On track"))),IF($K682="Unconfirmed",IF($L682&gt;=UnconfirmedWarn,"Warning","On track"),""))</f>
        <v/>
      </c>
      <c r="N682" s="29" t="str">
        <f aca="false">IF($M682="","",IF($M682="Critical",3000,IF($M682="Warning",2000,1000))+$L682+ROW()/100000)</f>
        <v/>
      </c>
      <c r="O682" s="29" t="str">
        <f aca="false">IF($K682="Open",IF($C682="Conflict","decide "&amp;$A682&amp;": &lt;which version stands&gt;","decide "&amp;$A682&amp;": &lt;outcome&gt;"),IF($K682="Unconfirmed","confirm "&amp;$A682,""))</f>
        <v/>
      </c>
    </row>
    <row r="683" customFormat="false" ht="15" hidden="false" customHeight="false" outlineLevel="0" collapsed="false">
      <c r="A683" s="24"/>
      <c r="B683" s="27"/>
      <c r="C683" s="28"/>
      <c r="D683" s="24"/>
      <c r="E683" s="24"/>
      <c r="F683" s="24"/>
      <c r="G683" s="28"/>
      <c r="H683" s="28"/>
      <c r="I683" s="24"/>
      <c r="J683" s="24"/>
      <c r="K683" s="29" t="str">
        <f aca="false">IF($A683="","",IF(OR($C683="Decision",$C683="Conflict"),IF(COUNTIFS($I$2:$I$1001,$A683,$C$2:$C$1001,"Resolved")=0,"Open","Closed"),IF(AND($H683="Unconfirmed",OR($C683="New",$C683="Know")),IF(COUNTIFS($I$2:$I$1001,$A683,$C$2:$C$1001,"Confirmed")=0,"Unconfirmed","Confirmed"),"Logged")))</f>
        <v/>
      </c>
      <c r="L683" s="29" t="str">
        <f aca="false">IF($A683="","",AsOf-$B683)</f>
        <v/>
      </c>
      <c r="M683" s="29" t="str">
        <f aca="false">IF($K683="Open",IF($C683="Conflict","Critical",IF($L683&gt;=DecisionCritical,"Critical",IF($L683&gt;=DecisionWarn,"Warning","On track"))),IF($K683="Unconfirmed",IF($L683&gt;=UnconfirmedWarn,"Warning","On track"),""))</f>
        <v/>
      </c>
      <c r="N683" s="29" t="str">
        <f aca="false">IF($M683="","",IF($M683="Critical",3000,IF($M683="Warning",2000,1000))+$L683+ROW()/100000)</f>
        <v/>
      </c>
      <c r="O683" s="29" t="str">
        <f aca="false">IF($K683="Open",IF($C683="Conflict","decide "&amp;$A683&amp;": &lt;which version stands&gt;","decide "&amp;$A683&amp;": &lt;outcome&gt;"),IF($K683="Unconfirmed","confirm "&amp;$A683,""))</f>
        <v/>
      </c>
    </row>
    <row r="684" customFormat="false" ht="15" hidden="false" customHeight="false" outlineLevel="0" collapsed="false">
      <c r="A684" s="24"/>
      <c r="B684" s="27"/>
      <c r="C684" s="28"/>
      <c r="D684" s="24"/>
      <c r="E684" s="24"/>
      <c r="F684" s="24"/>
      <c r="G684" s="28"/>
      <c r="H684" s="28"/>
      <c r="I684" s="24"/>
      <c r="J684" s="24"/>
      <c r="K684" s="29" t="str">
        <f aca="false">IF($A684="","",IF(OR($C684="Decision",$C684="Conflict"),IF(COUNTIFS($I$2:$I$1001,$A684,$C$2:$C$1001,"Resolved")=0,"Open","Closed"),IF(AND($H684="Unconfirmed",OR($C684="New",$C684="Know")),IF(COUNTIFS($I$2:$I$1001,$A684,$C$2:$C$1001,"Confirmed")=0,"Unconfirmed","Confirmed"),"Logged")))</f>
        <v/>
      </c>
      <c r="L684" s="29" t="str">
        <f aca="false">IF($A684="","",AsOf-$B684)</f>
        <v/>
      </c>
      <c r="M684" s="29" t="str">
        <f aca="false">IF($K684="Open",IF($C684="Conflict","Critical",IF($L684&gt;=DecisionCritical,"Critical",IF($L684&gt;=DecisionWarn,"Warning","On track"))),IF($K684="Unconfirmed",IF($L684&gt;=UnconfirmedWarn,"Warning","On track"),""))</f>
        <v/>
      </c>
      <c r="N684" s="29" t="str">
        <f aca="false">IF($M684="","",IF($M684="Critical",3000,IF($M684="Warning",2000,1000))+$L684+ROW()/100000)</f>
        <v/>
      </c>
      <c r="O684" s="29" t="str">
        <f aca="false">IF($K684="Open",IF($C684="Conflict","decide "&amp;$A684&amp;": &lt;which version stands&gt;","decide "&amp;$A684&amp;": &lt;outcome&gt;"),IF($K684="Unconfirmed","confirm "&amp;$A684,""))</f>
        <v/>
      </c>
    </row>
    <row r="685" customFormat="false" ht="15" hidden="false" customHeight="false" outlineLevel="0" collapsed="false">
      <c r="A685" s="24"/>
      <c r="B685" s="27"/>
      <c r="C685" s="28"/>
      <c r="D685" s="24"/>
      <c r="E685" s="24"/>
      <c r="F685" s="24"/>
      <c r="G685" s="28"/>
      <c r="H685" s="28"/>
      <c r="I685" s="24"/>
      <c r="J685" s="24"/>
      <c r="K685" s="29" t="str">
        <f aca="false">IF($A685="","",IF(OR($C685="Decision",$C685="Conflict"),IF(COUNTIFS($I$2:$I$1001,$A685,$C$2:$C$1001,"Resolved")=0,"Open","Closed"),IF(AND($H685="Unconfirmed",OR($C685="New",$C685="Know")),IF(COUNTIFS($I$2:$I$1001,$A685,$C$2:$C$1001,"Confirmed")=0,"Unconfirmed","Confirmed"),"Logged")))</f>
        <v/>
      </c>
      <c r="L685" s="29" t="str">
        <f aca="false">IF($A685="","",AsOf-$B685)</f>
        <v/>
      </c>
      <c r="M685" s="29" t="str">
        <f aca="false">IF($K685="Open",IF($C685="Conflict","Critical",IF($L685&gt;=DecisionCritical,"Critical",IF($L685&gt;=DecisionWarn,"Warning","On track"))),IF($K685="Unconfirmed",IF($L685&gt;=UnconfirmedWarn,"Warning","On track"),""))</f>
        <v/>
      </c>
      <c r="N685" s="29" t="str">
        <f aca="false">IF($M685="","",IF($M685="Critical",3000,IF($M685="Warning",2000,1000))+$L685+ROW()/100000)</f>
        <v/>
      </c>
      <c r="O685" s="29" t="str">
        <f aca="false">IF($K685="Open",IF($C685="Conflict","decide "&amp;$A685&amp;": &lt;which version stands&gt;","decide "&amp;$A685&amp;": &lt;outcome&gt;"),IF($K685="Unconfirmed","confirm "&amp;$A685,""))</f>
        <v/>
      </c>
    </row>
    <row r="686" customFormat="false" ht="15" hidden="false" customHeight="false" outlineLevel="0" collapsed="false">
      <c r="A686" s="24"/>
      <c r="B686" s="27"/>
      <c r="C686" s="28"/>
      <c r="D686" s="24"/>
      <c r="E686" s="24"/>
      <c r="F686" s="24"/>
      <c r="G686" s="28"/>
      <c r="H686" s="28"/>
      <c r="I686" s="24"/>
      <c r="J686" s="24"/>
      <c r="K686" s="29" t="str">
        <f aca="false">IF($A686="","",IF(OR($C686="Decision",$C686="Conflict"),IF(COUNTIFS($I$2:$I$1001,$A686,$C$2:$C$1001,"Resolved")=0,"Open","Closed"),IF(AND($H686="Unconfirmed",OR($C686="New",$C686="Know")),IF(COUNTIFS($I$2:$I$1001,$A686,$C$2:$C$1001,"Confirmed")=0,"Unconfirmed","Confirmed"),"Logged")))</f>
        <v/>
      </c>
      <c r="L686" s="29" t="str">
        <f aca="false">IF($A686="","",AsOf-$B686)</f>
        <v/>
      </c>
      <c r="M686" s="29" t="str">
        <f aca="false">IF($K686="Open",IF($C686="Conflict","Critical",IF($L686&gt;=DecisionCritical,"Critical",IF($L686&gt;=DecisionWarn,"Warning","On track"))),IF($K686="Unconfirmed",IF($L686&gt;=UnconfirmedWarn,"Warning","On track"),""))</f>
        <v/>
      </c>
      <c r="N686" s="29" t="str">
        <f aca="false">IF($M686="","",IF($M686="Critical",3000,IF($M686="Warning",2000,1000))+$L686+ROW()/100000)</f>
        <v/>
      </c>
      <c r="O686" s="29" t="str">
        <f aca="false">IF($K686="Open",IF($C686="Conflict","decide "&amp;$A686&amp;": &lt;which version stands&gt;","decide "&amp;$A686&amp;": &lt;outcome&gt;"),IF($K686="Unconfirmed","confirm "&amp;$A686,""))</f>
        <v/>
      </c>
    </row>
    <row r="687" customFormat="false" ht="15" hidden="false" customHeight="false" outlineLevel="0" collapsed="false">
      <c r="A687" s="24"/>
      <c r="B687" s="27"/>
      <c r="C687" s="28"/>
      <c r="D687" s="24"/>
      <c r="E687" s="24"/>
      <c r="F687" s="24"/>
      <c r="G687" s="28"/>
      <c r="H687" s="28"/>
      <c r="I687" s="24"/>
      <c r="J687" s="24"/>
      <c r="K687" s="29" t="str">
        <f aca="false">IF($A687="","",IF(OR($C687="Decision",$C687="Conflict"),IF(COUNTIFS($I$2:$I$1001,$A687,$C$2:$C$1001,"Resolved")=0,"Open","Closed"),IF(AND($H687="Unconfirmed",OR($C687="New",$C687="Know")),IF(COUNTIFS($I$2:$I$1001,$A687,$C$2:$C$1001,"Confirmed")=0,"Unconfirmed","Confirmed"),"Logged")))</f>
        <v/>
      </c>
      <c r="L687" s="29" t="str">
        <f aca="false">IF($A687="","",AsOf-$B687)</f>
        <v/>
      </c>
      <c r="M687" s="29" t="str">
        <f aca="false">IF($K687="Open",IF($C687="Conflict","Critical",IF($L687&gt;=DecisionCritical,"Critical",IF($L687&gt;=DecisionWarn,"Warning","On track"))),IF($K687="Unconfirmed",IF($L687&gt;=UnconfirmedWarn,"Warning","On track"),""))</f>
        <v/>
      </c>
      <c r="N687" s="29" t="str">
        <f aca="false">IF($M687="","",IF($M687="Critical",3000,IF($M687="Warning",2000,1000))+$L687+ROW()/100000)</f>
        <v/>
      </c>
      <c r="O687" s="29" t="str">
        <f aca="false">IF($K687="Open",IF($C687="Conflict","decide "&amp;$A687&amp;": &lt;which version stands&gt;","decide "&amp;$A687&amp;": &lt;outcome&gt;"),IF($K687="Unconfirmed","confirm "&amp;$A687,""))</f>
        <v/>
      </c>
    </row>
    <row r="688" customFormat="false" ht="15" hidden="false" customHeight="false" outlineLevel="0" collapsed="false">
      <c r="A688" s="24"/>
      <c r="B688" s="27"/>
      <c r="C688" s="28"/>
      <c r="D688" s="24"/>
      <c r="E688" s="24"/>
      <c r="F688" s="24"/>
      <c r="G688" s="28"/>
      <c r="H688" s="28"/>
      <c r="I688" s="24"/>
      <c r="J688" s="24"/>
      <c r="K688" s="29" t="str">
        <f aca="false">IF($A688="","",IF(OR($C688="Decision",$C688="Conflict"),IF(COUNTIFS($I$2:$I$1001,$A688,$C$2:$C$1001,"Resolved")=0,"Open","Closed"),IF(AND($H688="Unconfirmed",OR($C688="New",$C688="Know")),IF(COUNTIFS($I$2:$I$1001,$A688,$C$2:$C$1001,"Confirmed")=0,"Unconfirmed","Confirmed"),"Logged")))</f>
        <v/>
      </c>
      <c r="L688" s="29" t="str">
        <f aca="false">IF($A688="","",AsOf-$B688)</f>
        <v/>
      </c>
      <c r="M688" s="29" t="str">
        <f aca="false">IF($K688="Open",IF($C688="Conflict","Critical",IF($L688&gt;=DecisionCritical,"Critical",IF($L688&gt;=DecisionWarn,"Warning","On track"))),IF($K688="Unconfirmed",IF($L688&gt;=UnconfirmedWarn,"Warning","On track"),""))</f>
        <v/>
      </c>
      <c r="N688" s="29" t="str">
        <f aca="false">IF($M688="","",IF($M688="Critical",3000,IF($M688="Warning",2000,1000))+$L688+ROW()/100000)</f>
        <v/>
      </c>
      <c r="O688" s="29" t="str">
        <f aca="false">IF($K688="Open",IF($C688="Conflict","decide "&amp;$A688&amp;": &lt;which version stands&gt;","decide "&amp;$A688&amp;": &lt;outcome&gt;"),IF($K688="Unconfirmed","confirm "&amp;$A688,""))</f>
        <v/>
      </c>
    </row>
    <row r="689" customFormat="false" ht="15" hidden="false" customHeight="false" outlineLevel="0" collapsed="false">
      <c r="A689" s="24"/>
      <c r="B689" s="27"/>
      <c r="C689" s="28"/>
      <c r="D689" s="24"/>
      <c r="E689" s="24"/>
      <c r="F689" s="24"/>
      <c r="G689" s="28"/>
      <c r="H689" s="28"/>
      <c r="I689" s="24"/>
      <c r="J689" s="24"/>
      <c r="K689" s="29" t="str">
        <f aca="false">IF($A689="","",IF(OR($C689="Decision",$C689="Conflict"),IF(COUNTIFS($I$2:$I$1001,$A689,$C$2:$C$1001,"Resolved")=0,"Open","Closed"),IF(AND($H689="Unconfirmed",OR($C689="New",$C689="Know")),IF(COUNTIFS($I$2:$I$1001,$A689,$C$2:$C$1001,"Confirmed")=0,"Unconfirmed","Confirmed"),"Logged")))</f>
        <v/>
      </c>
      <c r="L689" s="29" t="str">
        <f aca="false">IF($A689="","",AsOf-$B689)</f>
        <v/>
      </c>
      <c r="M689" s="29" t="str">
        <f aca="false">IF($K689="Open",IF($C689="Conflict","Critical",IF($L689&gt;=DecisionCritical,"Critical",IF($L689&gt;=DecisionWarn,"Warning","On track"))),IF($K689="Unconfirmed",IF($L689&gt;=UnconfirmedWarn,"Warning","On track"),""))</f>
        <v/>
      </c>
      <c r="N689" s="29" t="str">
        <f aca="false">IF($M689="","",IF($M689="Critical",3000,IF($M689="Warning",2000,1000))+$L689+ROW()/100000)</f>
        <v/>
      </c>
      <c r="O689" s="29" t="str">
        <f aca="false">IF($K689="Open",IF($C689="Conflict","decide "&amp;$A689&amp;": &lt;which version stands&gt;","decide "&amp;$A689&amp;": &lt;outcome&gt;"),IF($K689="Unconfirmed","confirm "&amp;$A689,""))</f>
        <v/>
      </c>
    </row>
    <row r="690" customFormat="false" ht="15" hidden="false" customHeight="false" outlineLevel="0" collapsed="false">
      <c r="A690" s="24"/>
      <c r="B690" s="27"/>
      <c r="C690" s="28"/>
      <c r="D690" s="24"/>
      <c r="E690" s="24"/>
      <c r="F690" s="24"/>
      <c r="G690" s="28"/>
      <c r="H690" s="28"/>
      <c r="I690" s="24"/>
      <c r="J690" s="24"/>
      <c r="K690" s="29" t="str">
        <f aca="false">IF($A690="","",IF(OR($C690="Decision",$C690="Conflict"),IF(COUNTIFS($I$2:$I$1001,$A690,$C$2:$C$1001,"Resolved")=0,"Open","Closed"),IF(AND($H690="Unconfirmed",OR($C690="New",$C690="Know")),IF(COUNTIFS($I$2:$I$1001,$A690,$C$2:$C$1001,"Confirmed")=0,"Unconfirmed","Confirmed"),"Logged")))</f>
        <v/>
      </c>
      <c r="L690" s="29" t="str">
        <f aca="false">IF($A690="","",AsOf-$B690)</f>
        <v/>
      </c>
      <c r="M690" s="29" t="str">
        <f aca="false">IF($K690="Open",IF($C690="Conflict","Critical",IF($L690&gt;=DecisionCritical,"Critical",IF($L690&gt;=DecisionWarn,"Warning","On track"))),IF($K690="Unconfirmed",IF($L690&gt;=UnconfirmedWarn,"Warning","On track"),""))</f>
        <v/>
      </c>
      <c r="N690" s="29" t="str">
        <f aca="false">IF($M690="","",IF($M690="Critical",3000,IF($M690="Warning",2000,1000))+$L690+ROW()/100000)</f>
        <v/>
      </c>
      <c r="O690" s="29" t="str">
        <f aca="false">IF($K690="Open",IF($C690="Conflict","decide "&amp;$A690&amp;": &lt;which version stands&gt;","decide "&amp;$A690&amp;": &lt;outcome&gt;"),IF($K690="Unconfirmed","confirm "&amp;$A690,""))</f>
        <v/>
      </c>
    </row>
    <row r="691" customFormat="false" ht="15" hidden="false" customHeight="false" outlineLevel="0" collapsed="false">
      <c r="A691" s="24"/>
      <c r="B691" s="27"/>
      <c r="C691" s="28"/>
      <c r="D691" s="24"/>
      <c r="E691" s="24"/>
      <c r="F691" s="24"/>
      <c r="G691" s="28"/>
      <c r="H691" s="28"/>
      <c r="I691" s="24"/>
      <c r="J691" s="24"/>
      <c r="K691" s="29" t="str">
        <f aca="false">IF($A691="","",IF(OR($C691="Decision",$C691="Conflict"),IF(COUNTIFS($I$2:$I$1001,$A691,$C$2:$C$1001,"Resolved")=0,"Open","Closed"),IF(AND($H691="Unconfirmed",OR($C691="New",$C691="Know")),IF(COUNTIFS($I$2:$I$1001,$A691,$C$2:$C$1001,"Confirmed")=0,"Unconfirmed","Confirmed"),"Logged")))</f>
        <v/>
      </c>
      <c r="L691" s="29" t="str">
        <f aca="false">IF($A691="","",AsOf-$B691)</f>
        <v/>
      </c>
      <c r="M691" s="29" t="str">
        <f aca="false">IF($K691="Open",IF($C691="Conflict","Critical",IF($L691&gt;=DecisionCritical,"Critical",IF($L691&gt;=DecisionWarn,"Warning","On track"))),IF($K691="Unconfirmed",IF($L691&gt;=UnconfirmedWarn,"Warning","On track"),""))</f>
        <v/>
      </c>
      <c r="N691" s="29" t="str">
        <f aca="false">IF($M691="","",IF($M691="Critical",3000,IF($M691="Warning",2000,1000))+$L691+ROW()/100000)</f>
        <v/>
      </c>
      <c r="O691" s="29" t="str">
        <f aca="false">IF($K691="Open",IF($C691="Conflict","decide "&amp;$A691&amp;": &lt;which version stands&gt;","decide "&amp;$A691&amp;": &lt;outcome&gt;"),IF($K691="Unconfirmed","confirm "&amp;$A691,""))</f>
        <v/>
      </c>
    </row>
    <row r="692" customFormat="false" ht="15" hidden="false" customHeight="false" outlineLevel="0" collapsed="false">
      <c r="A692" s="24"/>
      <c r="B692" s="27"/>
      <c r="C692" s="28"/>
      <c r="D692" s="24"/>
      <c r="E692" s="24"/>
      <c r="F692" s="24"/>
      <c r="G692" s="28"/>
      <c r="H692" s="28"/>
      <c r="I692" s="24"/>
      <c r="J692" s="24"/>
      <c r="K692" s="29" t="str">
        <f aca="false">IF($A692="","",IF(OR($C692="Decision",$C692="Conflict"),IF(COUNTIFS($I$2:$I$1001,$A692,$C$2:$C$1001,"Resolved")=0,"Open","Closed"),IF(AND($H692="Unconfirmed",OR($C692="New",$C692="Know")),IF(COUNTIFS($I$2:$I$1001,$A692,$C$2:$C$1001,"Confirmed")=0,"Unconfirmed","Confirmed"),"Logged")))</f>
        <v/>
      </c>
      <c r="L692" s="29" t="str">
        <f aca="false">IF($A692="","",AsOf-$B692)</f>
        <v/>
      </c>
      <c r="M692" s="29" t="str">
        <f aca="false">IF($K692="Open",IF($C692="Conflict","Critical",IF($L692&gt;=DecisionCritical,"Critical",IF($L692&gt;=DecisionWarn,"Warning","On track"))),IF($K692="Unconfirmed",IF($L692&gt;=UnconfirmedWarn,"Warning","On track"),""))</f>
        <v/>
      </c>
      <c r="N692" s="29" t="str">
        <f aca="false">IF($M692="","",IF($M692="Critical",3000,IF($M692="Warning",2000,1000))+$L692+ROW()/100000)</f>
        <v/>
      </c>
      <c r="O692" s="29" t="str">
        <f aca="false">IF($K692="Open",IF($C692="Conflict","decide "&amp;$A692&amp;": &lt;which version stands&gt;","decide "&amp;$A692&amp;": &lt;outcome&gt;"),IF($K692="Unconfirmed","confirm "&amp;$A692,""))</f>
        <v/>
      </c>
    </row>
    <row r="693" customFormat="false" ht="15" hidden="false" customHeight="false" outlineLevel="0" collapsed="false">
      <c r="A693" s="24"/>
      <c r="B693" s="27"/>
      <c r="C693" s="28"/>
      <c r="D693" s="24"/>
      <c r="E693" s="24"/>
      <c r="F693" s="24"/>
      <c r="G693" s="28"/>
      <c r="H693" s="28"/>
      <c r="I693" s="24"/>
      <c r="J693" s="24"/>
      <c r="K693" s="29" t="str">
        <f aca="false">IF($A693="","",IF(OR($C693="Decision",$C693="Conflict"),IF(COUNTIFS($I$2:$I$1001,$A693,$C$2:$C$1001,"Resolved")=0,"Open","Closed"),IF(AND($H693="Unconfirmed",OR($C693="New",$C693="Know")),IF(COUNTIFS($I$2:$I$1001,$A693,$C$2:$C$1001,"Confirmed")=0,"Unconfirmed","Confirmed"),"Logged")))</f>
        <v/>
      </c>
      <c r="L693" s="29" t="str">
        <f aca="false">IF($A693="","",AsOf-$B693)</f>
        <v/>
      </c>
      <c r="M693" s="29" t="str">
        <f aca="false">IF($K693="Open",IF($C693="Conflict","Critical",IF($L693&gt;=DecisionCritical,"Critical",IF($L693&gt;=DecisionWarn,"Warning","On track"))),IF($K693="Unconfirmed",IF($L693&gt;=UnconfirmedWarn,"Warning","On track"),""))</f>
        <v/>
      </c>
      <c r="N693" s="29" t="str">
        <f aca="false">IF($M693="","",IF($M693="Critical",3000,IF($M693="Warning",2000,1000))+$L693+ROW()/100000)</f>
        <v/>
      </c>
      <c r="O693" s="29" t="str">
        <f aca="false">IF($K693="Open",IF($C693="Conflict","decide "&amp;$A693&amp;": &lt;which version stands&gt;","decide "&amp;$A693&amp;": &lt;outcome&gt;"),IF($K693="Unconfirmed","confirm "&amp;$A693,""))</f>
        <v/>
      </c>
    </row>
    <row r="694" customFormat="false" ht="15" hidden="false" customHeight="false" outlineLevel="0" collapsed="false">
      <c r="A694" s="24"/>
      <c r="B694" s="27"/>
      <c r="C694" s="28"/>
      <c r="D694" s="24"/>
      <c r="E694" s="24"/>
      <c r="F694" s="24"/>
      <c r="G694" s="28"/>
      <c r="H694" s="28"/>
      <c r="I694" s="24"/>
      <c r="J694" s="24"/>
      <c r="K694" s="29" t="str">
        <f aca="false">IF($A694="","",IF(OR($C694="Decision",$C694="Conflict"),IF(COUNTIFS($I$2:$I$1001,$A694,$C$2:$C$1001,"Resolved")=0,"Open","Closed"),IF(AND($H694="Unconfirmed",OR($C694="New",$C694="Know")),IF(COUNTIFS($I$2:$I$1001,$A694,$C$2:$C$1001,"Confirmed")=0,"Unconfirmed","Confirmed"),"Logged")))</f>
        <v/>
      </c>
      <c r="L694" s="29" t="str">
        <f aca="false">IF($A694="","",AsOf-$B694)</f>
        <v/>
      </c>
      <c r="M694" s="29" t="str">
        <f aca="false">IF($K694="Open",IF($C694="Conflict","Critical",IF($L694&gt;=DecisionCritical,"Critical",IF($L694&gt;=DecisionWarn,"Warning","On track"))),IF($K694="Unconfirmed",IF($L694&gt;=UnconfirmedWarn,"Warning","On track"),""))</f>
        <v/>
      </c>
      <c r="N694" s="29" t="str">
        <f aca="false">IF($M694="","",IF($M694="Critical",3000,IF($M694="Warning",2000,1000))+$L694+ROW()/100000)</f>
        <v/>
      </c>
      <c r="O694" s="29" t="str">
        <f aca="false">IF($K694="Open",IF($C694="Conflict","decide "&amp;$A694&amp;": &lt;which version stands&gt;","decide "&amp;$A694&amp;": &lt;outcome&gt;"),IF($K694="Unconfirmed","confirm "&amp;$A694,""))</f>
        <v/>
      </c>
    </row>
    <row r="695" customFormat="false" ht="15" hidden="false" customHeight="false" outlineLevel="0" collapsed="false">
      <c r="A695" s="24"/>
      <c r="B695" s="27"/>
      <c r="C695" s="28"/>
      <c r="D695" s="24"/>
      <c r="E695" s="24"/>
      <c r="F695" s="24"/>
      <c r="G695" s="28"/>
      <c r="H695" s="28"/>
      <c r="I695" s="24"/>
      <c r="J695" s="24"/>
      <c r="K695" s="29" t="str">
        <f aca="false">IF($A695="","",IF(OR($C695="Decision",$C695="Conflict"),IF(COUNTIFS($I$2:$I$1001,$A695,$C$2:$C$1001,"Resolved")=0,"Open","Closed"),IF(AND($H695="Unconfirmed",OR($C695="New",$C695="Know")),IF(COUNTIFS($I$2:$I$1001,$A695,$C$2:$C$1001,"Confirmed")=0,"Unconfirmed","Confirmed"),"Logged")))</f>
        <v/>
      </c>
      <c r="L695" s="29" t="str">
        <f aca="false">IF($A695="","",AsOf-$B695)</f>
        <v/>
      </c>
      <c r="M695" s="29" t="str">
        <f aca="false">IF($K695="Open",IF($C695="Conflict","Critical",IF($L695&gt;=DecisionCritical,"Critical",IF($L695&gt;=DecisionWarn,"Warning","On track"))),IF($K695="Unconfirmed",IF($L695&gt;=UnconfirmedWarn,"Warning","On track"),""))</f>
        <v/>
      </c>
      <c r="N695" s="29" t="str">
        <f aca="false">IF($M695="","",IF($M695="Critical",3000,IF($M695="Warning",2000,1000))+$L695+ROW()/100000)</f>
        <v/>
      </c>
      <c r="O695" s="29" t="str">
        <f aca="false">IF($K695="Open",IF($C695="Conflict","decide "&amp;$A695&amp;": &lt;which version stands&gt;","decide "&amp;$A695&amp;": &lt;outcome&gt;"),IF($K695="Unconfirmed","confirm "&amp;$A695,""))</f>
        <v/>
      </c>
    </row>
    <row r="696" customFormat="false" ht="15" hidden="false" customHeight="false" outlineLevel="0" collapsed="false">
      <c r="A696" s="24"/>
      <c r="B696" s="27"/>
      <c r="C696" s="28"/>
      <c r="D696" s="24"/>
      <c r="E696" s="24"/>
      <c r="F696" s="24"/>
      <c r="G696" s="28"/>
      <c r="H696" s="28"/>
      <c r="I696" s="24"/>
      <c r="J696" s="24"/>
      <c r="K696" s="29" t="str">
        <f aca="false">IF($A696="","",IF(OR($C696="Decision",$C696="Conflict"),IF(COUNTIFS($I$2:$I$1001,$A696,$C$2:$C$1001,"Resolved")=0,"Open","Closed"),IF(AND($H696="Unconfirmed",OR($C696="New",$C696="Know")),IF(COUNTIFS($I$2:$I$1001,$A696,$C$2:$C$1001,"Confirmed")=0,"Unconfirmed","Confirmed"),"Logged")))</f>
        <v/>
      </c>
      <c r="L696" s="29" t="str">
        <f aca="false">IF($A696="","",AsOf-$B696)</f>
        <v/>
      </c>
      <c r="M696" s="29" t="str">
        <f aca="false">IF($K696="Open",IF($C696="Conflict","Critical",IF($L696&gt;=DecisionCritical,"Critical",IF($L696&gt;=DecisionWarn,"Warning","On track"))),IF($K696="Unconfirmed",IF($L696&gt;=UnconfirmedWarn,"Warning","On track"),""))</f>
        <v/>
      </c>
      <c r="N696" s="29" t="str">
        <f aca="false">IF($M696="","",IF($M696="Critical",3000,IF($M696="Warning",2000,1000))+$L696+ROW()/100000)</f>
        <v/>
      </c>
      <c r="O696" s="29" t="str">
        <f aca="false">IF($K696="Open",IF($C696="Conflict","decide "&amp;$A696&amp;": &lt;which version stands&gt;","decide "&amp;$A696&amp;": &lt;outcome&gt;"),IF($K696="Unconfirmed","confirm "&amp;$A696,""))</f>
        <v/>
      </c>
    </row>
    <row r="697" customFormat="false" ht="15" hidden="false" customHeight="false" outlineLevel="0" collapsed="false">
      <c r="A697" s="24"/>
      <c r="B697" s="27"/>
      <c r="C697" s="28"/>
      <c r="D697" s="24"/>
      <c r="E697" s="24"/>
      <c r="F697" s="24"/>
      <c r="G697" s="28"/>
      <c r="H697" s="28"/>
      <c r="I697" s="24"/>
      <c r="J697" s="24"/>
      <c r="K697" s="29" t="str">
        <f aca="false">IF($A697="","",IF(OR($C697="Decision",$C697="Conflict"),IF(COUNTIFS($I$2:$I$1001,$A697,$C$2:$C$1001,"Resolved")=0,"Open","Closed"),IF(AND($H697="Unconfirmed",OR($C697="New",$C697="Know")),IF(COUNTIFS($I$2:$I$1001,$A697,$C$2:$C$1001,"Confirmed")=0,"Unconfirmed","Confirmed"),"Logged")))</f>
        <v/>
      </c>
      <c r="L697" s="29" t="str">
        <f aca="false">IF($A697="","",AsOf-$B697)</f>
        <v/>
      </c>
      <c r="M697" s="29" t="str">
        <f aca="false">IF($K697="Open",IF($C697="Conflict","Critical",IF($L697&gt;=DecisionCritical,"Critical",IF($L697&gt;=DecisionWarn,"Warning","On track"))),IF($K697="Unconfirmed",IF($L697&gt;=UnconfirmedWarn,"Warning","On track"),""))</f>
        <v/>
      </c>
      <c r="N697" s="29" t="str">
        <f aca="false">IF($M697="","",IF($M697="Critical",3000,IF($M697="Warning",2000,1000))+$L697+ROW()/100000)</f>
        <v/>
      </c>
      <c r="O697" s="29" t="str">
        <f aca="false">IF($K697="Open",IF($C697="Conflict","decide "&amp;$A697&amp;": &lt;which version stands&gt;","decide "&amp;$A697&amp;": &lt;outcome&gt;"),IF($K697="Unconfirmed","confirm "&amp;$A697,""))</f>
        <v/>
      </c>
    </row>
    <row r="698" customFormat="false" ht="15" hidden="false" customHeight="false" outlineLevel="0" collapsed="false">
      <c r="A698" s="24"/>
      <c r="B698" s="27"/>
      <c r="C698" s="28"/>
      <c r="D698" s="24"/>
      <c r="E698" s="24"/>
      <c r="F698" s="24"/>
      <c r="G698" s="28"/>
      <c r="H698" s="28"/>
      <c r="I698" s="24"/>
      <c r="J698" s="24"/>
      <c r="K698" s="29" t="str">
        <f aca="false">IF($A698="","",IF(OR($C698="Decision",$C698="Conflict"),IF(COUNTIFS($I$2:$I$1001,$A698,$C$2:$C$1001,"Resolved")=0,"Open","Closed"),IF(AND($H698="Unconfirmed",OR($C698="New",$C698="Know")),IF(COUNTIFS($I$2:$I$1001,$A698,$C$2:$C$1001,"Confirmed")=0,"Unconfirmed","Confirmed"),"Logged")))</f>
        <v/>
      </c>
      <c r="L698" s="29" t="str">
        <f aca="false">IF($A698="","",AsOf-$B698)</f>
        <v/>
      </c>
      <c r="M698" s="29" t="str">
        <f aca="false">IF($K698="Open",IF($C698="Conflict","Critical",IF($L698&gt;=DecisionCritical,"Critical",IF($L698&gt;=DecisionWarn,"Warning","On track"))),IF($K698="Unconfirmed",IF($L698&gt;=UnconfirmedWarn,"Warning","On track"),""))</f>
        <v/>
      </c>
      <c r="N698" s="29" t="str">
        <f aca="false">IF($M698="","",IF($M698="Critical",3000,IF($M698="Warning",2000,1000))+$L698+ROW()/100000)</f>
        <v/>
      </c>
      <c r="O698" s="29" t="str">
        <f aca="false">IF($K698="Open",IF($C698="Conflict","decide "&amp;$A698&amp;": &lt;which version stands&gt;","decide "&amp;$A698&amp;": &lt;outcome&gt;"),IF($K698="Unconfirmed","confirm "&amp;$A698,""))</f>
        <v/>
      </c>
    </row>
    <row r="699" customFormat="false" ht="15" hidden="false" customHeight="false" outlineLevel="0" collapsed="false">
      <c r="A699" s="24"/>
      <c r="B699" s="27"/>
      <c r="C699" s="28"/>
      <c r="D699" s="24"/>
      <c r="E699" s="24"/>
      <c r="F699" s="24"/>
      <c r="G699" s="28"/>
      <c r="H699" s="28"/>
      <c r="I699" s="24"/>
      <c r="J699" s="24"/>
      <c r="K699" s="29" t="str">
        <f aca="false">IF($A699="","",IF(OR($C699="Decision",$C699="Conflict"),IF(COUNTIFS($I$2:$I$1001,$A699,$C$2:$C$1001,"Resolved")=0,"Open","Closed"),IF(AND($H699="Unconfirmed",OR($C699="New",$C699="Know")),IF(COUNTIFS($I$2:$I$1001,$A699,$C$2:$C$1001,"Confirmed")=0,"Unconfirmed","Confirmed"),"Logged")))</f>
        <v/>
      </c>
      <c r="L699" s="29" t="str">
        <f aca="false">IF($A699="","",AsOf-$B699)</f>
        <v/>
      </c>
      <c r="M699" s="29" t="str">
        <f aca="false">IF($K699="Open",IF($C699="Conflict","Critical",IF($L699&gt;=DecisionCritical,"Critical",IF($L699&gt;=DecisionWarn,"Warning","On track"))),IF($K699="Unconfirmed",IF($L699&gt;=UnconfirmedWarn,"Warning","On track"),""))</f>
        <v/>
      </c>
      <c r="N699" s="29" t="str">
        <f aca="false">IF($M699="","",IF($M699="Critical",3000,IF($M699="Warning",2000,1000))+$L699+ROW()/100000)</f>
        <v/>
      </c>
      <c r="O699" s="29" t="str">
        <f aca="false">IF($K699="Open",IF($C699="Conflict","decide "&amp;$A699&amp;": &lt;which version stands&gt;","decide "&amp;$A699&amp;": &lt;outcome&gt;"),IF($K699="Unconfirmed","confirm "&amp;$A699,""))</f>
        <v/>
      </c>
    </row>
    <row r="700" customFormat="false" ht="15" hidden="false" customHeight="false" outlineLevel="0" collapsed="false">
      <c r="A700" s="24"/>
      <c r="B700" s="27"/>
      <c r="C700" s="28"/>
      <c r="D700" s="24"/>
      <c r="E700" s="24"/>
      <c r="F700" s="24"/>
      <c r="G700" s="28"/>
      <c r="H700" s="28"/>
      <c r="I700" s="24"/>
      <c r="J700" s="24"/>
      <c r="K700" s="29" t="str">
        <f aca="false">IF($A700="","",IF(OR($C700="Decision",$C700="Conflict"),IF(COUNTIFS($I$2:$I$1001,$A700,$C$2:$C$1001,"Resolved")=0,"Open","Closed"),IF(AND($H700="Unconfirmed",OR($C700="New",$C700="Know")),IF(COUNTIFS($I$2:$I$1001,$A700,$C$2:$C$1001,"Confirmed")=0,"Unconfirmed","Confirmed"),"Logged")))</f>
        <v/>
      </c>
      <c r="L700" s="29" t="str">
        <f aca="false">IF($A700="","",AsOf-$B700)</f>
        <v/>
      </c>
      <c r="M700" s="29" t="str">
        <f aca="false">IF($K700="Open",IF($C700="Conflict","Critical",IF($L700&gt;=DecisionCritical,"Critical",IF($L700&gt;=DecisionWarn,"Warning","On track"))),IF($K700="Unconfirmed",IF($L700&gt;=UnconfirmedWarn,"Warning","On track"),""))</f>
        <v/>
      </c>
      <c r="N700" s="29" t="str">
        <f aca="false">IF($M700="","",IF($M700="Critical",3000,IF($M700="Warning",2000,1000))+$L700+ROW()/100000)</f>
        <v/>
      </c>
      <c r="O700" s="29" t="str">
        <f aca="false">IF($K700="Open",IF($C700="Conflict","decide "&amp;$A700&amp;": &lt;which version stands&gt;","decide "&amp;$A700&amp;": &lt;outcome&gt;"),IF($K700="Unconfirmed","confirm "&amp;$A700,""))</f>
        <v/>
      </c>
    </row>
    <row r="701" customFormat="false" ht="15" hidden="false" customHeight="false" outlineLevel="0" collapsed="false">
      <c r="A701" s="24"/>
      <c r="B701" s="27"/>
      <c r="C701" s="28"/>
      <c r="D701" s="24"/>
      <c r="E701" s="24"/>
      <c r="F701" s="24"/>
      <c r="G701" s="28"/>
      <c r="H701" s="28"/>
      <c r="I701" s="24"/>
      <c r="J701" s="24"/>
      <c r="K701" s="29" t="str">
        <f aca="false">IF($A701="","",IF(OR($C701="Decision",$C701="Conflict"),IF(COUNTIFS($I$2:$I$1001,$A701,$C$2:$C$1001,"Resolved")=0,"Open","Closed"),IF(AND($H701="Unconfirmed",OR($C701="New",$C701="Know")),IF(COUNTIFS($I$2:$I$1001,$A701,$C$2:$C$1001,"Confirmed")=0,"Unconfirmed","Confirmed"),"Logged")))</f>
        <v/>
      </c>
      <c r="L701" s="29" t="str">
        <f aca="false">IF($A701="","",AsOf-$B701)</f>
        <v/>
      </c>
      <c r="M701" s="29" t="str">
        <f aca="false">IF($K701="Open",IF($C701="Conflict","Critical",IF($L701&gt;=DecisionCritical,"Critical",IF($L701&gt;=DecisionWarn,"Warning","On track"))),IF($K701="Unconfirmed",IF($L701&gt;=UnconfirmedWarn,"Warning","On track"),""))</f>
        <v/>
      </c>
      <c r="N701" s="29" t="str">
        <f aca="false">IF($M701="","",IF($M701="Critical",3000,IF($M701="Warning",2000,1000))+$L701+ROW()/100000)</f>
        <v/>
      </c>
      <c r="O701" s="29" t="str">
        <f aca="false">IF($K701="Open",IF($C701="Conflict","decide "&amp;$A701&amp;": &lt;which version stands&gt;","decide "&amp;$A701&amp;": &lt;outcome&gt;"),IF($K701="Unconfirmed","confirm "&amp;$A701,""))</f>
        <v/>
      </c>
    </row>
    <row r="702" customFormat="false" ht="15" hidden="false" customHeight="false" outlineLevel="0" collapsed="false">
      <c r="A702" s="24"/>
      <c r="B702" s="27"/>
      <c r="C702" s="28"/>
      <c r="D702" s="24"/>
      <c r="E702" s="24"/>
      <c r="F702" s="24"/>
      <c r="G702" s="28"/>
      <c r="H702" s="28"/>
      <c r="I702" s="24"/>
      <c r="J702" s="24"/>
      <c r="K702" s="29" t="str">
        <f aca="false">IF($A702="","",IF(OR($C702="Decision",$C702="Conflict"),IF(COUNTIFS($I$2:$I$1001,$A702,$C$2:$C$1001,"Resolved")=0,"Open","Closed"),IF(AND($H702="Unconfirmed",OR($C702="New",$C702="Know")),IF(COUNTIFS($I$2:$I$1001,$A702,$C$2:$C$1001,"Confirmed")=0,"Unconfirmed","Confirmed"),"Logged")))</f>
        <v/>
      </c>
      <c r="L702" s="29" t="str">
        <f aca="false">IF($A702="","",AsOf-$B702)</f>
        <v/>
      </c>
      <c r="M702" s="29" t="str">
        <f aca="false">IF($K702="Open",IF($C702="Conflict","Critical",IF($L702&gt;=DecisionCritical,"Critical",IF($L702&gt;=DecisionWarn,"Warning","On track"))),IF($K702="Unconfirmed",IF($L702&gt;=UnconfirmedWarn,"Warning","On track"),""))</f>
        <v/>
      </c>
      <c r="N702" s="29" t="str">
        <f aca="false">IF($M702="","",IF($M702="Critical",3000,IF($M702="Warning",2000,1000))+$L702+ROW()/100000)</f>
        <v/>
      </c>
      <c r="O702" s="29" t="str">
        <f aca="false">IF($K702="Open",IF($C702="Conflict","decide "&amp;$A702&amp;": &lt;which version stands&gt;","decide "&amp;$A702&amp;": &lt;outcome&gt;"),IF($K702="Unconfirmed","confirm "&amp;$A702,""))</f>
        <v/>
      </c>
    </row>
    <row r="703" customFormat="false" ht="15" hidden="false" customHeight="false" outlineLevel="0" collapsed="false">
      <c r="A703" s="24"/>
      <c r="B703" s="27"/>
      <c r="C703" s="28"/>
      <c r="D703" s="24"/>
      <c r="E703" s="24"/>
      <c r="F703" s="24"/>
      <c r="G703" s="28"/>
      <c r="H703" s="28"/>
      <c r="I703" s="24"/>
      <c r="J703" s="24"/>
      <c r="K703" s="29" t="str">
        <f aca="false">IF($A703="","",IF(OR($C703="Decision",$C703="Conflict"),IF(COUNTIFS($I$2:$I$1001,$A703,$C$2:$C$1001,"Resolved")=0,"Open","Closed"),IF(AND($H703="Unconfirmed",OR($C703="New",$C703="Know")),IF(COUNTIFS($I$2:$I$1001,$A703,$C$2:$C$1001,"Confirmed")=0,"Unconfirmed","Confirmed"),"Logged")))</f>
        <v/>
      </c>
      <c r="L703" s="29" t="str">
        <f aca="false">IF($A703="","",AsOf-$B703)</f>
        <v/>
      </c>
      <c r="M703" s="29" t="str">
        <f aca="false">IF($K703="Open",IF($C703="Conflict","Critical",IF($L703&gt;=DecisionCritical,"Critical",IF($L703&gt;=DecisionWarn,"Warning","On track"))),IF($K703="Unconfirmed",IF($L703&gt;=UnconfirmedWarn,"Warning","On track"),""))</f>
        <v/>
      </c>
      <c r="N703" s="29" t="str">
        <f aca="false">IF($M703="","",IF($M703="Critical",3000,IF($M703="Warning",2000,1000))+$L703+ROW()/100000)</f>
        <v/>
      </c>
      <c r="O703" s="29" t="str">
        <f aca="false">IF($K703="Open",IF($C703="Conflict","decide "&amp;$A703&amp;": &lt;which version stands&gt;","decide "&amp;$A703&amp;": &lt;outcome&gt;"),IF($K703="Unconfirmed","confirm "&amp;$A703,""))</f>
        <v/>
      </c>
    </row>
    <row r="704" customFormat="false" ht="15" hidden="false" customHeight="false" outlineLevel="0" collapsed="false">
      <c r="A704" s="24"/>
      <c r="B704" s="27"/>
      <c r="C704" s="28"/>
      <c r="D704" s="24"/>
      <c r="E704" s="24"/>
      <c r="F704" s="24"/>
      <c r="G704" s="28"/>
      <c r="H704" s="28"/>
      <c r="I704" s="24"/>
      <c r="J704" s="24"/>
      <c r="K704" s="29" t="str">
        <f aca="false">IF($A704="","",IF(OR($C704="Decision",$C704="Conflict"),IF(COUNTIFS($I$2:$I$1001,$A704,$C$2:$C$1001,"Resolved")=0,"Open","Closed"),IF(AND($H704="Unconfirmed",OR($C704="New",$C704="Know")),IF(COUNTIFS($I$2:$I$1001,$A704,$C$2:$C$1001,"Confirmed")=0,"Unconfirmed","Confirmed"),"Logged")))</f>
        <v/>
      </c>
      <c r="L704" s="29" t="str">
        <f aca="false">IF($A704="","",AsOf-$B704)</f>
        <v/>
      </c>
      <c r="M704" s="29" t="str">
        <f aca="false">IF($K704="Open",IF($C704="Conflict","Critical",IF($L704&gt;=DecisionCritical,"Critical",IF($L704&gt;=DecisionWarn,"Warning","On track"))),IF($K704="Unconfirmed",IF($L704&gt;=UnconfirmedWarn,"Warning","On track"),""))</f>
        <v/>
      </c>
      <c r="N704" s="29" t="str">
        <f aca="false">IF($M704="","",IF($M704="Critical",3000,IF($M704="Warning",2000,1000))+$L704+ROW()/100000)</f>
        <v/>
      </c>
      <c r="O704" s="29" t="str">
        <f aca="false">IF($K704="Open",IF($C704="Conflict","decide "&amp;$A704&amp;": &lt;which version stands&gt;","decide "&amp;$A704&amp;": &lt;outcome&gt;"),IF($K704="Unconfirmed","confirm "&amp;$A704,""))</f>
        <v/>
      </c>
    </row>
    <row r="705" customFormat="false" ht="15" hidden="false" customHeight="false" outlineLevel="0" collapsed="false">
      <c r="A705" s="24"/>
      <c r="B705" s="27"/>
      <c r="C705" s="28"/>
      <c r="D705" s="24"/>
      <c r="E705" s="24"/>
      <c r="F705" s="24"/>
      <c r="G705" s="28"/>
      <c r="H705" s="28"/>
      <c r="I705" s="24"/>
      <c r="J705" s="24"/>
      <c r="K705" s="29" t="str">
        <f aca="false">IF($A705="","",IF(OR($C705="Decision",$C705="Conflict"),IF(COUNTIFS($I$2:$I$1001,$A705,$C$2:$C$1001,"Resolved")=0,"Open","Closed"),IF(AND($H705="Unconfirmed",OR($C705="New",$C705="Know")),IF(COUNTIFS($I$2:$I$1001,$A705,$C$2:$C$1001,"Confirmed")=0,"Unconfirmed","Confirmed"),"Logged")))</f>
        <v/>
      </c>
      <c r="L705" s="29" t="str">
        <f aca="false">IF($A705="","",AsOf-$B705)</f>
        <v/>
      </c>
      <c r="M705" s="29" t="str">
        <f aca="false">IF($K705="Open",IF($C705="Conflict","Critical",IF($L705&gt;=DecisionCritical,"Critical",IF($L705&gt;=DecisionWarn,"Warning","On track"))),IF($K705="Unconfirmed",IF($L705&gt;=UnconfirmedWarn,"Warning","On track"),""))</f>
        <v/>
      </c>
      <c r="N705" s="29" t="str">
        <f aca="false">IF($M705="","",IF($M705="Critical",3000,IF($M705="Warning",2000,1000))+$L705+ROW()/100000)</f>
        <v/>
      </c>
      <c r="O705" s="29" t="str">
        <f aca="false">IF($K705="Open",IF($C705="Conflict","decide "&amp;$A705&amp;": &lt;which version stands&gt;","decide "&amp;$A705&amp;": &lt;outcome&gt;"),IF($K705="Unconfirmed","confirm "&amp;$A705,""))</f>
        <v/>
      </c>
    </row>
    <row r="706" customFormat="false" ht="15" hidden="false" customHeight="false" outlineLevel="0" collapsed="false">
      <c r="A706" s="24"/>
      <c r="B706" s="27"/>
      <c r="C706" s="28"/>
      <c r="D706" s="24"/>
      <c r="E706" s="24"/>
      <c r="F706" s="24"/>
      <c r="G706" s="28"/>
      <c r="H706" s="28"/>
      <c r="I706" s="24"/>
      <c r="J706" s="24"/>
      <c r="K706" s="29" t="str">
        <f aca="false">IF($A706="","",IF(OR($C706="Decision",$C706="Conflict"),IF(COUNTIFS($I$2:$I$1001,$A706,$C$2:$C$1001,"Resolved")=0,"Open","Closed"),IF(AND($H706="Unconfirmed",OR($C706="New",$C706="Know")),IF(COUNTIFS($I$2:$I$1001,$A706,$C$2:$C$1001,"Confirmed")=0,"Unconfirmed","Confirmed"),"Logged")))</f>
        <v/>
      </c>
      <c r="L706" s="29" t="str">
        <f aca="false">IF($A706="","",AsOf-$B706)</f>
        <v/>
      </c>
      <c r="M706" s="29" t="str">
        <f aca="false">IF($K706="Open",IF($C706="Conflict","Critical",IF($L706&gt;=DecisionCritical,"Critical",IF($L706&gt;=DecisionWarn,"Warning","On track"))),IF($K706="Unconfirmed",IF($L706&gt;=UnconfirmedWarn,"Warning","On track"),""))</f>
        <v/>
      </c>
      <c r="N706" s="29" t="str">
        <f aca="false">IF($M706="","",IF($M706="Critical",3000,IF($M706="Warning",2000,1000))+$L706+ROW()/100000)</f>
        <v/>
      </c>
      <c r="O706" s="29" t="str">
        <f aca="false">IF($K706="Open",IF($C706="Conflict","decide "&amp;$A706&amp;": &lt;which version stands&gt;","decide "&amp;$A706&amp;": &lt;outcome&gt;"),IF($K706="Unconfirmed","confirm "&amp;$A706,""))</f>
        <v/>
      </c>
    </row>
    <row r="707" customFormat="false" ht="15" hidden="false" customHeight="false" outlineLevel="0" collapsed="false">
      <c r="A707" s="24"/>
      <c r="B707" s="27"/>
      <c r="C707" s="28"/>
      <c r="D707" s="24"/>
      <c r="E707" s="24"/>
      <c r="F707" s="24"/>
      <c r="G707" s="28"/>
      <c r="H707" s="28"/>
      <c r="I707" s="24"/>
      <c r="J707" s="24"/>
      <c r="K707" s="29" t="str">
        <f aca="false">IF($A707="","",IF(OR($C707="Decision",$C707="Conflict"),IF(COUNTIFS($I$2:$I$1001,$A707,$C$2:$C$1001,"Resolved")=0,"Open","Closed"),IF(AND($H707="Unconfirmed",OR($C707="New",$C707="Know")),IF(COUNTIFS($I$2:$I$1001,$A707,$C$2:$C$1001,"Confirmed")=0,"Unconfirmed","Confirmed"),"Logged")))</f>
        <v/>
      </c>
      <c r="L707" s="29" t="str">
        <f aca="false">IF($A707="","",AsOf-$B707)</f>
        <v/>
      </c>
      <c r="M707" s="29" t="str">
        <f aca="false">IF($K707="Open",IF($C707="Conflict","Critical",IF($L707&gt;=DecisionCritical,"Critical",IF($L707&gt;=DecisionWarn,"Warning","On track"))),IF($K707="Unconfirmed",IF($L707&gt;=UnconfirmedWarn,"Warning","On track"),""))</f>
        <v/>
      </c>
      <c r="N707" s="29" t="str">
        <f aca="false">IF($M707="","",IF($M707="Critical",3000,IF($M707="Warning",2000,1000))+$L707+ROW()/100000)</f>
        <v/>
      </c>
      <c r="O707" s="29" t="str">
        <f aca="false">IF($K707="Open",IF($C707="Conflict","decide "&amp;$A707&amp;": &lt;which version stands&gt;","decide "&amp;$A707&amp;": &lt;outcome&gt;"),IF($K707="Unconfirmed","confirm "&amp;$A707,""))</f>
        <v/>
      </c>
    </row>
    <row r="708" customFormat="false" ht="15" hidden="false" customHeight="false" outlineLevel="0" collapsed="false">
      <c r="A708" s="24"/>
      <c r="B708" s="27"/>
      <c r="C708" s="28"/>
      <c r="D708" s="24"/>
      <c r="E708" s="24"/>
      <c r="F708" s="24"/>
      <c r="G708" s="28"/>
      <c r="H708" s="28"/>
      <c r="I708" s="24"/>
      <c r="J708" s="24"/>
      <c r="K708" s="29" t="str">
        <f aca="false">IF($A708="","",IF(OR($C708="Decision",$C708="Conflict"),IF(COUNTIFS($I$2:$I$1001,$A708,$C$2:$C$1001,"Resolved")=0,"Open","Closed"),IF(AND($H708="Unconfirmed",OR($C708="New",$C708="Know")),IF(COUNTIFS($I$2:$I$1001,$A708,$C$2:$C$1001,"Confirmed")=0,"Unconfirmed","Confirmed"),"Logged")))</f>
        <v/>
      </c>
      <c r="L708" s="29" t="str">
        <f aca="false">IF($A708="","",AsOf-$B708)</f>
        <v/>
      </c>
      <c r="M708" s="29" t="str">
        <f aca="false">IF($K708="Open",IF($C708="Conflict","Critical",IF($L708&gt;=DecisionCritical,"Critical",IF($L708&gt;=DecisionWarn,"Warning","On track"))),IF($K708="Unconfirmed",IF($L708&gt;=UnconfirmedWarn,"Warning","On track"),""))</f>
        <v/>
      </c>
      <c r="N708" s="29" t="str">
        <f aca="false">IF($M708="","",IF($M708="Critical",3000,IF($M708="Warning",2000,1000))+$L708+ROW()/100000)</f>
        <v/>
      </c>
      <c r="O708" s="29" t="str">
        <f aca="false">IF($K708="Open",IF($C708="Conflict","decide "&amp;$A708&amp;": &lt;which version stands&gt;","decide "&amp;$A708&amp;": &lt;outcome&gt;"),IF($K708="Unconfirmed","confirm "&amp;$A708,""))</f>
        <v/>
      </c>
    </row>
    <row r="709" customFormat="false" ht="15" hidden="false" customHeight="false" outlineLevel="0" collapsed="false">
      <c r="A709" s="24"/>
      <c r="B709" s="27"/>
      <c r="C709" s="28"/>
      <c r="D709" s="24"/>
      <c r="E709" s="24"/>
      <c r="F709" s="24"/>
      <c r="G709" s="28"/>
      <c r="H709" s="28"/>
      <c r="I709" s="24"/>
      <c r="J709" s="24"/>
      <c r="K709" s="29" t="str">
        <f aca="false">IF($A709="","",IF(OR($C709="Decision",$C709="Conflict"),IF(COUNTIFS($I$2:$I$1001,$A709,$C$2:$C$1001,"Resolved")=0,"Open","Closed"),IF(AND($H709="Unconfirmed",OR($C709="New",$C709="Know")),IF(COUNTIFS($I$2:$I$1001,$A709,$C$2:$C$1001,"Confirmed")=0,"Unconfirmed","Confirmed"),"Logged")))</f>
        <v/>
      </c>
      <c r="L709" s="29" t="str">
        <f aca="false">IF($A709="","",AsOf-$B709)</f>
        <v/>
      </c>
      <c r="M709" s="29" t="str">
        <f aca="false">IF($K709="Open",IF($C709="Conflict","Critical",IF($L709&gt;=DecisionCritical,"Critical",IF($L709&gt;=DecisionWarn,"Warning","On track"))),IF($K709="Unconfirmed",IF($L709&gt;=UnconfirmedWarn,"Warning","On track"),""))</f>
        <v/>
      </c>
      <c r="N709" s="29" t="str">
        <f aca="false">IF($M709="","",IF($M709="Critical",3000,IF($M709="Warning",2000,1000))+$L709+ROW()/100000)</f>
        <v/>
      </c>
      <c r="O709" s="29" t="str">
        <f aca="false">IF($K709="Open",IF($C709="Conflict","decide "&amp;$A709&amp;": &lt;which version stands&gt;","decide "&amp;$A709&amp;": &lt;outcome&gt;"),IF($K709="Unconfirmed","confirm "&amp;$A709,""))</f>
        <v/>
      </c>
    </row>
    <row r="710" customFormat="false" ht="15" hidden="false" customHeight="false" outlineLevel="0" collapsed="false">
      <c r="A710" s="24"/>
      <c r="B710" s="27"/>
      <c r="C710" s="28"/>
      <c r="D710" s="24"/>
      <c r="E710" s="24"/>
      <c r="F710" s="24"/>
      <c r="G710" s="28"/>
      <c r="H710" s="28"/>
      <c r="I710" s="24"/>
      <c r="J710" s="24"/>
      <c r="K710" s="29" t="str">
        <f aca="false">IF($A710="","",IF(OR($C710="Decision",$C710="Conflict"),IF(COUNTIFS($I$2:$I$1001,$A710,$C$2:$C$1001,"Resolved")=0,"Open","Closed"),IF(AND($H710="Unconfirmed",OR($C710="New",$C710="Know")),IF(COUNTIFS($I$2:$I$1001,$A710,$C$2:$C$1001,"Confirmed")=0,"Unconfirmed","Confirmed"),"Logged")))</f>
        <v/>
      </c>
      <c r="L710" s="29" t="str">
        <f aca="false">IF($A710="","",AsOf-$B710)</f>
        <v/>
      </c>
      <c r="M710" s="29" t="str">
        <f aca="false">IF($K710="Open",IF($C710="Conflict","Critical",IF($L710&gt;=DecisionCritical,"Critical",IF($L710&gt;=DecisionWarn,"Warning","On track"))),IF($K710="Unconfirmed",IF($L710&gt;=UnconfirmedWarn,"Warning","On track"),""))</f>
        <v/>
      </c>
      <c r="N710" s="29" t="str">
        <f aca="false">IF($M710="","",IF($M710="Critical",3000,IF($M710="Warning",2000,1000))+$L710+ROW()/100000)</f>
        <v/>
      </c>
      <c r="O710" s="29" t="str">
        <f aca="false">IF($K710="Open",IF($C710="Conflict","decide "&amp;$A710&amp;": &lt;which version stands&gt;","decide "&amp;$A710&amp;": &lt;outcome&gt;"),IF($K710="Unconfirmed","confirm "&amp;$A710,""))</f>
        <v/>
      </c>
    </row>
    <row r="711" customFormat="false" ht="15" hidden="false" customHeight="false" outlineLevel="0" collapsed="false">
      <c r="A711" s="24"/>
      <c r="B711" s="27"/>
      <c r="C711" s="28"/>
      <c r="D711" s="24"/>
      <c r="E711" s="24"/>
      <c r="F711" s="24"/>
      <c r="G711" s="28"/>
      <c r="H711" s="28"/>
      <c r="I711" s="24"/>
      <c r="J711" s="24"/>
      <c r="K711" s="29" t="str">
        <f aca="false">IF($A711="","",IF(OR($C711="Decision",$C711="Conflict"),IF(COUNTIFS($I$2:$I$1001,$A711,$C$2:$C$1001,"Resolved")=0,"Open","Closed"),IF(AND($H711="Unconfirmed",OR($C711="New",$C711="Know")),IF(COUNTIFS($I$2:$I$1001,$A711,$C$2:$C$1001,"Confirmed")=0,"Unconfirmed","Confirmed"),"Logged")))</f>
        <v/>
      </c>
      <c r="L711" s="29" t="str">
        <f aca="false">IF($A711="","",AsOf-$B711)</f>
        <v/>
      </c>
      <c r="M711" s="29" t="str">
        <f aca="false">IF($K711="Open",IF($C711="Conflict","Critical",IF($L711&gt;=DecisionCritical,"Critical",IF($L711&gt;=DecisionWarn,"Warning","On track"))),IF($K711="Unconfirmed",IF($L711&gt;=UnconfirmedWarn,"Warning","On track"),""))</f>
        <v/>
      </c>
      <c r="N711" s="29" t="str">
        <f aca="false">IF($M711="","",IF($M711="Critical",3000,IF($M711="Warning",2000,1000))+$L711+ROW()/100000)</f>
        <v/>
      </c>
      <c r="O711" s="29" t="str">
        <f aca="false">IF($K711="Open",IF($C711="Conflict","decide "&amp;$A711&amp;": &lt;which version stands&gt;","decide "&amp;$A711&amp;": &lt;outcome&gt;"),IF($K711="Unconfirmed","confirm "&amp;$A711,""))</f>
        <v/>
      </c>
    </row>
    <row r="712" customFormat="false" ht="15" hidden="false" customHeight="false" outlineLevel="0" collapsed="false">
      <c r="A712" s="24"/>
      <c r="B712" s="27"/>
      <c r="C712" s="28"/>
      <c r="D712" s="24"/>
      <c r="E712" s="24"/>
      <c r="F712" s="24"/>
      <c r="G712" s="28"/>
      <c r="H712" s="28"/>
      <c r="I712" s="24"/>
      <c r="J712" s="24"/>
      <c r="K712" s="29" t="str">
        <f aca="false">IF($A712="","",IF(OR($C712="Decision",$C712="Conflict"),IF(COUNTIFS($I$2:$I$1001,$A712,$C$2:$C$1001,"Resolved")=0,"Open","Closed"),IF(AND($H712="Unconfirmed",OR($C712="New",$C712="Know")),IF(COUNTIFS($I$2:$I$1001,$A712,$C$2:$C$1001,"Confirmed")=0,"Unconfirmed","Confirmed"),"Logged")))</f>
        <v/>
      </c>
      <c r="L712" s="29" t="str">
        <f aca="false">IF($A712="","",AsOf-$B712)</f>
        <v/>
      </c>
      <c r="M712" s="29" t="str">
        <f aca="false">IF($K712="Open",IF($C712="Conflict","Critical",IF($L712&gt;=DecisionCritical,"Critical",IF($L712&gt;=DecisionWarn,"Warning","On track"))),IF($K712="Unconfirmed",IF($L712&gt;=UnconfirmedWarn,"Warning","On track"),""))</f>
        <v/>
      </c>
      <c r="N712" s="29" t="str">
        <f aca="false">IF($M712="","",IF($M712="Critical",3000,IF($M712="Warning",2000,1000))+$L712+ROW()/100000)</f>
        <v/>
      </c>
      <c r="O712" s="29" t="str">
        <f aca="false">IF($K712="Open",IF($C712="Conflict","decide "&amp;$A712&amp;": &lt;which version stands&gt;","decide "&amp;$A712&amp;": &lt;outcome&gt;"),IF($K712="Unconfirmed","confirm "&amp;$A712,""))</f>
        <v/>
      </c>
    </row>
    <row r="713" customFormat="false" ht="15" hidden="false" customHeight="false" outlineLevel="0" collapsed="false">
      <c r="A713" s="24"/>
      <c r="B713" s="27"/>
      <c r="C713" s="28"/>
      <c r="D713" s="24"/>
      <c r="E713" s="24"/>
      <c r="F713" s="24"/>
      <c r="G713" s="28"/>
      <c r="H713" s="28"/>
      <c r="I713" s="24"/>
      <c r="J713" s="24"/>
      <c r="K713" s="29" t="str">
        <f aca="false">IF($A713="","",IF(OR($C713="Decision",$C713="Conflict"),IF(COUNTIFS($I$2:$I$1001,$A713,$C$2:$C$1001,"Resolved")=0,"Open","Closed"),IF(AND($H713="Unconfirmed",OR($C713="New",$C713="Know")),IF(COUNTIFS($I$2:$I$1001,$A713,$C$2:$C$1001,"Confirmed")=0,"Unconfirmed","Confirmed"),"Logged")))</f>
        <v/>
      </c>
      <c r="L713" s="29" t="str">
        <f aca="false">IF($A713="","",AsOf-$B713)</f>
        <v/>
      </c>
      <c r="M713" s="29" t="str">
        <f aca="false">IF($K713="Open",IF($C713="Conflict","Critical",IF($L713&gt;=DecisionCritical,"Critical",IF($L713&gt;=DecisionWarn,"Warning","On track"))),IF($K713="Unconfirmed",IF($L713&gt;=UnconfirmedWarn,"Warning","On track"),""))</f>
        <v/>
      </c>
      <c r="N713" s="29" t="str">
        <f aca="false">IF($M713="","",IF($M713="Critical",3000,IF($M713="Warning",2000,1000))+$L713+ROW()/100000)</f>
        <v/>
      </c>
      <c r="O713" s="29" t="str">
        <f aca="false">IF($K713="Open",IF($C713="Conflict","decide "&amp;$A713&amp;": &lt;which version stands&gt;","decide "&amp;$A713&amp;": &lt;outcome&gt;"),IF($K713="Unconfirmed","confirm "&amp;$A713,""))</f>
        <v/>
      </c>
    </row>
    <row r="714" customFormat="false" ht="15" hidden="false" customHeight="false" outlineLevel="0" collapsed="false">
      <c r="A714" s="24"/>
      <c r="B714" s="27"/>
      <c r="C714" s="28"/>
      <c r="D714" s="24"/>
      <c r="E714" s="24"/>
      <c r="F714" s="24"/>
      <c r="G714" s="28"/>
      <c r="H714" s="28"/>
      <c r="I714" s="24"/>
      <c r="J714" s="24"/>
      <c r="K714" s="29" t="str">
        <f aca="false">IF($A714="","",IF(OR($C714="Decision",$C714="Conflict"),IF(COUNTIFS($I$2:$I$1001,$A714,$C$2:$C$1001,"Resolved")=0,"Open","Closed"),IF(AND($H714="Unconfirmed",OR($C714="New",$C714="Know")),IF(COUNTIFS($I$2:$I$1001,$A714,$C$2:$C$1001,"Confirmed")=0,"Unconfirmed","Confirmed"),"Logged")))</f>
        <v/>
      </c>
      <c r="L714" s="29" t="str">
        <f aca="false">IF($A714="","",AsOf-$B714)</f>
        <v/>
      </c>
      <c r="M714" s="29" t="str">
        <f aca="false">IF($K714="Open",IF($C714="Conflict","Critical",IF($L714&gt;=DecisionCritical,"Critical",IF($L714&gt;=DecisionWarn,"Warning","On track"))),IF($K714="Unconfirmed",IF($L714&gt;=UnconfirmedWarn,"Warning","On track"),""))</f>
        <v/>
      </c>
      <c r="N714" s="29" t="str">
        <f aca="false">IF($M714="","",IF($M714="Critical",3000,IF($M714="Warning",2000,1000))+$L714+ROW()/100000)</f>
        <v/>
      </c>
      <c r="O714" s="29" t="str">
        <f aca="false">IF($K714="Open",IF($C714="Conflict","decide "&amp;$A714&amp;": &lt;which version stands&gt;","decide "&amp;$A714&amp;": &lt;outcome&gt;"),IF($K714="Unconfirmed","confirm "&amp;$A714,""))</f>
        <v/>
      </c>
    </row>
    <row r="715" customFormat="false" ht="15" hidden="false" customHeight="false" outlineLevel="0" collapsed="false">
      <c r="A715" s="24"/>
      <c r="B715" s="27"/>
      <c r="C715" s="28"/>
      <c r="D715" s="24"/>
      <c r="E715" s="24"/>
      <c r="F715" s="24"/>
      <c r="G715" s="28"/>
      <c r="H715" s="28"/>
      <c r="I715" s="24"/>
      <c r="J715" s="24"/>
      <c r="K715" s="29" t="str">
        <f aca="false">IF($A715="","",IF(OR($C715="Decision",$C715="Conflict"),IF(COUNTIFS($I$2:$I$1001,$A715,$C$2:$C$1001,"Resolved")=0,"Open","Closed"),IF(AND($H715="Unconfirmed",OR($C715="New",$C715="Know")),IF(COUNTIFS($I$2:$I$1001,$A715,$C$2:$C$1001,"Confirmed")=0,"Unconfirmed","Confirmed"),"Logged")))</f>
        <v/>
      </c>
      <c r="L715" s="29" t="str">
        <f aca="false">IF($A715="","",AsOf-$B715)</f>
        <v/>
      </c>
      <c r="M715" s="29" t="str">
        <f aca="false">IF($K715="Open",IF($C715="Conflict","Critical",IF($L715&gt;=DecisionCritical,"Critical",IF($L715&gt;=DecisionWarn,"Warning","On track"))),IF($K715="Unconfirmed",IF($L715&gt;=UnconfirmedWarn,"Warning","On track"),""))</f>
        <v/>
      </c>
      <c r="N715" s="29" t="str">
        <f aca="false">IF($M715="","",IF($M715="Critical",3000,IF($M715="Warning",2000,1000))+$L715+ROW()/100000)</f>
        <v/>
      </c>
      <c r="O715" s="29" t="str">
        <f aca="false">IF($K715="Open",IF($C715="Conflict","decide "&amp;$A715&amp;": &lt;which version stands&gt;","decide "&amp;$A715&amp;": &lt;outcome&gt;"),IF($K715="Unconfirmed","confirm "&amp;$A715,""))</f>
        <v/>
      </c>
    </row>
    <row r="716" customFormat="false" ht="15" hidden="false" customHeight="false" outlineLevel="0" collapsed="false">
      <c r="A716" s="24"/>
      <c r="B716" s="27"/>
      <c r="C716" s="28"/>
      <c r="D716" s="24"/>
      <c r="E716" s="24"/>
      <c r="F716" s="24"/>
      <c r="G716" s="28"/>
      <c r="H716" s="28"/>
      <c r="I716" s="24"/>
      <c r="J716" s="24"/>
      <c r="K716" s="29" t="str">
        <f aca="false">IF($A716="","",IF(OR($C716="Decision",$C716="Conflict"),IF(COUNTIFS($I$2:$I$1001,$A716,$C$2:$C$1001,"Resolved")=0,"Open","Closed"),IF(AND($H716="Unconfirmed",OR($C716="New",$C716="Know")),IF(COUNTIFS($I$2:$I$1001,$A716,$C$2:$C$1001,"Confirmed")=0,"Unconfirmed","Confirmed"),"Logged")))</f>
        <v/>
      </c>
      <c r="L716" s="29" t="str">
        <f aca="false">IF($A716="","",AsOf-$B716)</f>
        <v/>
      </c>
      <c r="M716" s="29" t="str">
        <f aca="false">IF($K716="Open",IF($C716="Conflict","Critical",IF($L716&gt;=DecisionCritical,"Critical",IF($L716&gt;=DecisionWarn,"Warning","On track"))),IF($K716="Unconfirmed",IF($L716&gt;=UnconfirmedWarn,"Warning","On track"),""))</f>
        <v/>
      </c>
      <c r="N716" s="29" t="str">
        <f aca="false">IF($M716="","",IF($M716="Critical",3000,IF($M716="Warning",2000,1000))+$L716+ROW()/100000)</f>
        <v/>
      </c>
      <c r="O716" s="29" t="str">
        <f aca="false">IF($K716="Open",IF($C716="Conflict","decide "&amp;$A716&amp;": &lt;which version stands&gt;","decide "&amp;$A716&amp;": &lt;outcome&gt;"),IF($K716="Unconfirmed","confirm "&amp;$A716,""))</f>
        <v/>
      </c>
    </row>
    <row r="717" customFormat="false" ht="15" hidden="false" customHeight="false" outlineLevel="0" collapsed="false">
      <c r="A717" s="24"/>
      <c r="B717" s="27"/>
      <c r="C717" s="28"/>
      <c r="D717" s="24"/>
      <c r="E717" s="24"/>
      <c r="F717" s="24"/>
      <c r="G717" s="28"/>
      <c r="H717" s="28"/>
      <c r="I717" s="24"/>
      <c r="J717" s="24"/>
      <c r="K717" s="29" t="str">
        <f aca="false">IF($A717="","",IF(OR($C717="Decision",$C717="Conflict"),IF(COUNTIFS($I$2:$I$1001,$A717,$C$2:$C$1001,"Resolved")=0,"Open","Closed"),IF(AND($H717="Unconfirmed",OR($C717="New",$C717="Know")),IF(COUNTIFS($I$2:$I$1001,$A717,$C$2:$C$1001,"Confirmed")=0,"Unconfirmed","Confirmed"),"Logged")))</f>
        <v/>
      </c>
      <c r="L717" s="29" t="str">
        <f aca="false">IF($A717="","",AsOf-$B717)</f>
        <v/>
      </c>
      <c r="M717" s="29" t="str">
        <f aca="false">IF($K717="Open",IF($C717="Conflict","Critical",IF($L717&gt;=DecisionCritical,"Critical",IF($L717&gt;=DecisionWarn,"Warning","On track"))),IF($K717="Unconfirmed",IF($L717&gt;=UnconfirmedWarn,"Warning","On track"),""))</f>
        <v/>
      </c>
      <c r="N717" s="29" t="str">
        <f aca="false">IF($M717="","",IF($M717="Critical",3000,IF($M717="Warning",2000,1000))+$L717+ROW()/100000)</f>
        <v/>
      </c>
      <c r="O717" s="29" t="str">
        <f aca="false">IF($K717="Open",IF($C717="Conflict","decide "&amp;$A717&amp;": &lt;which version stands&gt;","decide "&amp;$A717&amp;": &lt;outcome&gt;"),IF($K717="Unconfirmed","confirm "&amp;$A717,""))</f>
        <v/>
      </c>
    </row>
    <row r="718" customFormat="false" ht="15" hidden="false" customHeight="false" outlineLevel="0" collapsed="false">
      <c r="A718" s="24"/>
      <c r="B718" s="27"/>
      <c r="C718" s="28"/>
      <c r="D718" s="24"/>
      <c r="E718" s="24"/>
      <c r="F718" s="24"/>
      <c r="G718" s="28"/>
      <c r="H718" s="28"/>
      <c r="I718" s="24"/>
      <c r="J718" s="24"/>
      <c r="K718" s="29" t="str">
        <f aca="false">IF($A718="","",IF(OR($C718="Decision",$C718="Conflict"),IF(COUNTIFS($I$2:$I$1001,$A718,$C$2:$C$1001,"Resolved")=0,"Open","Closed"),IF(AND($H718="Unconfirmed",OR($C718="New",$C718="Know")),IF(COUNTIFS($I$2:$I$1001,$A718,$C$2:$C$1001,"Confirmed")=0,"Unconfirmed","Confirmed"),"Logged")))</f>
        <v/>
      </c>
      <c r="L718" s="29" t="str">
        <f aca="false">IF($A718="","",AsOf-$B718)</f>
        <v/>
      </c>
      <c r="M718" s="29" t="str">
        <f aca="false">IF($K718="Open",IF($C718="Conflict","Critical",IF($L718&gt;=DecisionCritical,"Critical",IF($L718&gt;=DecisionWarn,"Warning","On track"))),IF($K718="Unconfirmed",IF($L718&gt;=UnconfirmedWarn,"Warning","On track"),""))</f>
        <v/>
      </c>
      <c r="N718" s="29" t="str">
        <f aca="false">IF($M718="","",IF($M718="Critical",3000,IF($M718="Warning",2000,1000))+$L718+ROW()/100000)</f>
        <v/>
      </c>
      <c r="O718" s="29" t="str">
        <f aca="false">IF($K718="Open",IF($C718="Conflict","decide "&amp;$A718&amp;": &lt;which version stands&gt;","decide "&amp;$A718&amp;": &lt;outcome&gt;"),IF($K718="Unconfirmed","confirm "&amp;$A718,""))</f>
        <v/>
      </c>
    </row>
    <row r="719" customFormat="false" ht="15" hidden="false" customHeight="false" outlineLevel="0" collapsed="false">
      <c r="A719" s="24"/>
      <c r="B719" s="27"/>
      <c r="C719" s="28"/>
      <c r="D719" s="24"/>
      <c r="E719" s="24"/>
      <c r="F719" s="24"/>
      <c r="G719" s="28"/>
      <c r="H719" s="28"/>
      <c r="I719" s="24"/>
      <c r="J719" s="24"/>
      <c r="K719" s="29" t="str">
        <f aca="false">IF($A719="","",IF(OR($C719="Decision",$C719="Conflict"),IF(COUNTIFS($I$2:$I$1001,$A719,$C$2:$C$1001,"Resolved")=0,"Open","Closed"),IF(AND($H719="Unconfirmed",OR($C719="New",$C719="Know")),IF(COUNTIFS($I$2:$I$1001,$A719,$C$2:$C$1001,"Confirmed")=0,"Unconfirmed","Confirmed"),"Logged")))</f>
        <v/>
      </c>
      <c r="L719" s="29" t="str">
        <f aca="false">IF($A719="","",AsOf-$B719)</f>
        <v/>
      </c>
      <c r="M719" s="29" t="str">
        <f aca="false">IF($K719="Open",IF($C719="Conflict","Critical",IF($L719&gt;=DecisionCritical,"Critical",IF($L719&gt;=DecisionWarn,"Warning","On track"))),IF($K719="Unconfirmed",IF($L719&gt;=UnconfirmedWarn,"Warning","On track"),""))</f>
        <v/>
      </c>
      <c r="N719" s="29" t="str">
        <f aca="false">IF($M719="","",IF($M719="Critical",3000,IF($M719="Warning",2000,1000))+$L719+ROW()/100000)</f>
        <v/>
      </c>
      <c r="O719" s="29" t="str">
        <f aca="false">IF($K719="Open",IF($C719="Conflict","decide "&amp;$A719&amp;": &lt;which version stands&gt;","decide "&amp;$A719&amp;": &lt;outcome&gt;"),IF($K719="Unconfirmed","confirm "&amp;$A719,""))</f>
        <v/>
      </c>
    </row>
    <row r="720" customFormat="false" ht="15" hidden="false" customHeight="false" outlineLevel="0" collapsed="false">
      <c r="A720" s="24"/>
      <c r="B720" s="27"/>
      <c r="C720" s="28"/>
      <c r="D720" s="24"/>
      <c r="E720" s="24"/>
      <c r="F720" s="24"/>
      <c r="G720" s="28"/>
      <c r="H720" s="28"/>
      <c r="I720" s="24"/>
      <c r="J720" s="24"/>
      <c r="K720" s="29" t="str">
        <f aca="false">IF($A720="","",IF(OR($C720="Decision",$C720="Conflict"),IF(COUNTIFS($I$2:$I$1001,$A720,$C$2:$C$1001,"Resolved")=0,"Open","Closed"),IF(AND($H720="Unconfirmed",OR($C720="New",$C720="Know")),IF(COUNTIFS($I$2:$I$1001,$A720,$C$2:$C$1001,"Confirmed")=0,"Unconfirmed","Confirmed"),"Logged")))</f>
        <v/>
      </c>
      <c r="L720" s="29" t="str">
        <f aca="false">IF($A720="","",AsOf-$B720)</f>
        <v/>
      </c>
      <c r="M720" s="29" t="str">
        <f aca="false">IF($K720="Open",IF($C720="Conflict","Critical",IF($L720&gt;=DecisionCritical,"Critical",IF($L720&gt;=DecisionWarn,"Warning","On track"))),IF($K720="Unconfirmed",IF($L720&gt;=UnconfirmedWarn,"Warning","On track"),""))</f>
        <v/>
      </c>
      <c r="N720" s="29" t="str">
        <f aca="false">IF($M720="","",IF($M720="Critical",3000,IF($M720="Warning",2000,1000))+$L720+ROW()/100000)</f>
        <v/>
      </c>
      <c r="O720" s="29" t="str">
        <f aca="false">IF($K720="Open",IF($C720="Conflict","decide "&amp;$A720&amp;": &lt;which version stands&gt;","decide "&amp;$A720&amp;": &lt;outcome&gt;"),IF($K720="Unconfirmed","confirm "&amp;$A720,""))</f>
        <v/>
      </c>
    </row>
    <row r="721" customFormat="false" ht="15" hidden="false" customHeight="false" outlineLevel="0" collapsed="false">
      <c r="A721" s="24"/>
      <c r="B721" s="27"/>
      <c r="C721" s="28"/>
      <c r="D721" s="24"/>
      <c r="E721" s="24"/>
      <c r="F721" s="24"/>
      <c r="G721" s="28"/>
      <c r="H721" s="28"/>
      <c r="I721" s="24"/>
      <c r="J721" s="24"/>
      <c r="K721" s="29" t="str">
        <f aca="false">IF($A721="","",IF(OR($C721="Decision",$C721="Conflict"),IF(COUNTIFS($I$2:$I$1001,$A721,$C$2:$C$1001,"Resolved")=0,"Open","Closed"),IF(AND($H721="Unconfirmed",OR($C721="New",$C721="Know")),IF(COUNTIFS($I$2:$I$1001,$A721,$C$2:$C$1001,"Confirmed")=0,"Unconfirmed","Confirmed"),"Logged")))</f>
        <v/>
      </c>
      <c r="L721" s="29" t="str">
        <f aca="false">IF($A721="","",AsOf-$B721)</f>
        <v/>
      </c>
      <c r="M721" s="29" t="str">
        <f aca="false">IF($K721="Open",IF($C721="Conflict","Critical",IF($L721&gt;=DecisionCritical,"Critical",IF($L721&gt;=DecisionWarn,"Warning","On track"))),IF($K721="Unconfirmed",IF($L721&gt;=UnconfirmedWarn,"Warning","On track"),""))</f>
        <v/>
      </c>
      <c r="N721" s="29" t="str">
        <f aca="false">IF($M721="","",IF($M721="Critical",3000,IF($M721="Warning",2000,1000))+$L721+ROW()/100000)</f>
        <v/>
      </c>
      <c r="O721" s="29" t="str">
        <f aca="false">IF($K721="Open",IF($C721="Conflict","decide "&amp;$A721&amp;": &lt;which version stands&gt;","decide "&amp;$A721&amp;": &lt;outcome&gt;"),IF($K721="Unconfirmed","confirm "&amp;$A721,""))</f>
        <v/>
      </c>
    </row>
    <row r="722" customFormat="false" ht="15" hidden="false" customHeight="false" outlineLevel="0" collapsed="false">
      <c r="A722" s="24"/>
      <c r="B722" s="27"/>
      <c r="C722" s="28"/>
      <c r="D722" s="24"/>
      <c r="E722" s="24"/>
      <c r="F722" s="24"/>
      <c r="G722" s="28"/>
      <c r="H722" s="28"/>
      <c r="I722" s="24"/>
      <c r="J722" s="24"/>
      <c r="K722" s="29" t="str">
        <f aca="false">IF($A722="","",IF(OR($C722="Decision",$C722="Conflict"),IF(COUNTIFS($I$2:$I$1001,$A722,$C$2:$C$1001,"Resolved")=0,"Open","Closed"),IF(AND($H722="Unconfirmed",OR($C722="New",$C722="Know")),IF(COUNTIFS($I$2:$I$1001,$A722,$C$2:$C$1001,"Confirmed")=0,"Unconfirmed","Confirmed"),"Logged")))</f>
        <v/>
      </c>
      <c r="L722" s="29" t="str">
        <f aca="false">IF($A722="","",AsOf-$B722)</f>
        <v/>
      </c>
      <c r="M722" s="29" t="str">
        <f aca="false">IF($K722="Open",IF($C722="Conflict","Critical",IF($L722&gt;=DecisionCritical,"Critical",IF($L722&gt;=DecisionWarn,"Warning","On track"))),IF($K722="Unconfirmed",IF($L722&gt;=UnconfirmedWarn,"Warning","On track"),""))</f>
        <v/>
      </c>
      <c r="N722" s="29" t="str">
        <f aca="false">IF($M722="","",IF($M722="Critical",3000,IF($M722="Warning",2000,1000))+$L722+ROW()/100000)</f>
        <v/>
      </c>
      <c r="O722" s="29" t="str">
        <f aca="false">IF($K722="Open",IF($C722="Conflict","decide "&amp;$A722&amp;": &lt;which version stands&gt;","decide "&amp;$A722&amp;": &lt;outcome&gt;"),IF($K722="Unconfirmed","confirm "&amp;$A722,""))</f>
        <v/>
      </c>
    </row>
    <row r="723" customFormat="false" ht="15" hidden="false" customHeight="false" outlineLevel="0" collapsed="false">
      <c r="A723" s="24"/>
      <c r="B723" s="27"/>
      <c r="C723" s="28"/>
      <c r="D723" s="24"/>
      <c r="E723" s="24"/>
      <c r="F723" s="24"/>
      <c r="G723" s="28"/>
      <c r="H723" s="28"/>
      <c r="I723" s="24"/>
      <c r="J723" s="24"/>
      <c r="K723" s="29" t="str">
        <f aca="false">IF($A723="","",IF(OR($C723="Decision",$C723="Conflict"),IF(COUNTIFS($I$2:$I$1001,$A723,$C$2:$C$1001,"Resolved")=0,"Open","Closed"),IF(AND($H723="Unconfirmed",OR($C723="New",$C723="Know")),IF(COUNTIFS($I$2:$I$1001,$A723,$C$2:$C$1001,"Confirmed")=0,"Unconfirmed","Confirmed"),"Logged")))</f>
        <v/>
      </c>
      <c r="L723" s="29" t="str">
        <f aca="false">IF($A723="","",AsOf-$B723)</f>
        <v/>
      </c>
      <c r="M723" s="29" t="str">
        <f aca="false">IF($K723="Open",IF($C723="Conflict","Critical",IF($L723&gt;=DecisionCritical,"Critical",IF($L723&gt;=DecisionWarn,"Warning","On track"))),IF($K723="Unconfirmed",IF($L723&gt;=UnconfirmedWarn,"Warning","On track"),""))</f>
        <v/>
      </c>
      <c r="N723" s="29" t="str">
        <f aca="false">IF($M723="","",IF($M723="Critical",3000,IF($M723="Warning",2000,1000))+$L723+ROW()/100000)</f>
        <v/>
      </c>
      <c r="O723" s="29" t="str">
        <f aca="false">IF($K723="Open",IF($C723="Conflict","decide "&amp;$A723&amp;": &lt;which version stands&gt;","decide "&amp;$A723&amp;": &lt;outcome&gt;"),IF($K723="Unconfirmed","confirm "&amp;$A723,""))</f>
        <v/>
      </c>
    </row>
    <row r="724" customFormat="false" ht="15" hidden="false" customHeight="false" outlineLevel="0" collapsed="false">
      <c r="A724" s="24"/>
      <c r="B724" s="27"/>
      <c r="C724" s="28"/>
      <c r="D724" s="24"/>
      <c r="E724" s="24"/>
      <c r="F724" s="24"/>
      <c r="G724" s="28"/>
      <c r="H724" s="28"/>
      <c r="I724" s="24"/>
      <c r="J724" s="24"/>
      <c r="K724" s="29" t="str">
        <f aca="false">IF($A724="","",IF(OR($C724="Decision",$C724="Conflict"),IF(COUNTIFS($I$2:$I$1001,$A724,$C$2:$C$1001,"Resolved")=0,"Open","Closed"),IF(AND($H724="Unconfirmed",OR($C724="New",$C724="Know")),IF(COUNTIFS($I$2:$I$1001,$A724,$C$2:$C$1001,"Confirmed")=0,"Unconfirmed","Confirmed"),"Logged")))</f>
        <v/>
      </c>
      <c r="L724" s="29" t="str">
        <f aca="false">IF($A724="","",AsOf-$B724)</f>
        <v/>
      </c>
      <c r="M724" s="29" t="str">
        <f aca="false">IF($K724="Open",IF($C724="Conflict","Critical",IF($L724&gt;=DecisionCritical,"Critical",IF($L724&gt;=DecisionWarn,"Warning","On track"))),IF($K724="Unconfirmed",IF($L724&gt;=UnconfirmedWarn,"Warning","On track"),""))</f>
        <v/>
      </c>
      <c r="N724" s="29" t="str">
        <f aca="false">IF($M724="","",IF($M724="Critical",3000,IF($M724="Warning",2000,1000))+$L724+ROW()/100000)</f>
        <v/>
      </c>
      <c r="O724" s="29" t="str">
        <f aca="false">IF($K724="Open",IF($C724="Conflict","decide "&amp;$A724&amp;": &lt;which version stands&gt;","decide "&amp;$A724&amp;": &lt;outcome&gt;"),IF($K724="Unconfirmed","confirm "&amp;$A724,""))</f>
        <v/>
      </c>
    </row>
    <row r="725" customFormat="false" ht="15" hidden="false" customHeight="false" outlineLevel="0" collapsed="false">
      <c r="A725" s="24"/>
      <c r="B725" s="27"/>
      <c r="C725" s="28"/>
      <c r="D725" s="24"/>
      <c r="E725" s="24"/>
      <c r="F725" s="24"/>
      <c r="G725" s="28"/>
      <c r="H725" s="28"/>
      <c r="I725" s="24"/>
      <c r="J725" s="24"/>
      <c r="K725" s="29" t="str">
        <f aca="false">IF($A725="","",IF(OR($C725="Decision",$C725="Conflict"),IF(COUNTIFS($I$2:$I$1001,$A725,$C$2:$C$1001,"Resolved")=0,"Open","Closed"),IF(AND($H725="Unconfirmed",OR($C725="New",$C725="Know")),IF(COUNTIFS($I$2:$I$1001,$A725,$C$2:$C$1001,"Confirmed")=0,"Unconfirmed","Confirmed"),"Logged")))</f>
        <v/>
      </c>
      <c r="L725" s="29" t="str">
        <f aca="false">IF($A725="","",AsOf-$B725)</f>
        <v/>
      </c>
      <c r="M725" s="29" t="str">
        <f aca="false">IF($K725="Open",IF($C725="Conflict","Critical",IF($L725&gt;=DecisionCritical,"Critical",IF($L725&gt;=DecisionWarn,"Warning","On track"))),IF($K725="Unconfirmed",IF($L725&gt;=UnconfirmedWarn,"Warning","On track"),""))</f>
        <v/>
      </c>
      <c r="N725" s="29" t="str">
        <f aca="false">IF($M725="","",IF($M725="Critical",3000,IF($M725="Warning",2000,1000))+$L725+ROW()/100000)</f>
        <v/>
      </c>
      <c r="O725" s="29" t="str">
        <f aca="false">IF($K725="Open",IF($C725="Conflict","decide "&amp;$A725&amp;": &lt;which version stands&gt;","decide "&amp;$A725&amp;": &lt;outcome&gt;"),IF($K725="Unconfirmed","confirm "&amp;$A725,""))</f>
        <v/>
      </c>
    </row>
    <row r="726" customFormat="false" ht="15" hidden="false" customHeight="false" outlineLevel="0" collapsed="false">
      <c r="A726" s="24"/>
      <c r="B726" s="27"/>
      <c r="C726" s="28"/>
      <c r="D726" s="24"/>
      <c r="E726" s="24"/>
      <c r="F726" s="24"/>
      <c r="G726" s="28"/>
      <c r="H726" s="28"/>
      <c r="I726" s="24"/>
      <c r="J726" s="24"/>
      <c r="K726" s="29" t="str">
        <f aca="false">IF($A726="","",IF(OR($C726="Decision",$C726="Conflict"),IF(COUNTIFS($I$2:$I$1001,$A726,$C$2:$C$1001,"Resolved")=0,"Open","Closed"),IF(AND($H726="Unconfirmed",OR($C726="New",$C726="Know")),IF(COUNTIFS($I$2:$I$1001,$A726,$C$2:$C$1001,"Confirmed")=0,"Unconfirmed","Confirmed"),"Logged")))</f>
        <v/>
      </c>
      <c r="L726" s="29" t="str">
        <f aca="false">IF($A726="","",AsOf-$B726)</f>
        <v/>
      </c>
      <c r="M726" s="29" t="str">
        <f aca="false">IF($K726="Open",IF($C726="Conflict","Critical",IF($L726&gt;=DecisionCritical,"Critical",IF($L726&gt;=DecisionWarn,"Warning","On track"))),IF($K726="Unconfirmed",IF($L726&gt;=UnconfirmedWarn,"Warning","On track"),""))</f>
        <v/>
      </c>
      <c r="N726" s="29" t="str">
        <f aca="false">IF($M726="","",IF($M726="Critical",3000,IF($M726="Warning",2000,1000))+$L726+ROW()/100000)</f>
        <v/>
      </c>
      <c r="O726" s="29" t="str">
        <f aca="false">IF($K726="Open",IF($C726="Conflict","decide "&amp;$A726&amp;": &lt;which version stands&gt;","decide "&amp;$A726&amp;": &lt;outcome&gt;"),IF($K726="Unconfirmed","confirm "&amp;$A726,""))</f>
        <v/>
      </c>
    </row>
    <row r="727" customFormat="false" ht="15" hidden="false" customHeight="false" outlineLevel="0" collapsed="false">
      <c r="A727" s="24"/>
      <c r="B727" s="27"/>
      <c r="C727" s="28"/>
      <c r="D727" s="24"/>
      <c r="E727" s="24"/>
      <c r="F727" s="24"/>
      <c r="G727" s="28"/>
      <c r="H727" s="28"/>
      <c r="I727" s="24"/>
      <c r="J727" s="24"/>
      <c r="K727" s="29" t="str">
        <f aca="false">IF($A727="","",IF(OR($C727="Decision",$C727="Conflict"),IF(COUNTIFS($I$2:$I$1001,$A727,$C$2:$C$1001,"Resolved")=0,"Open","Closed"),IF(AND($H727="Unconfirmed",OR($C727="New",$C727="Know")),IF(COUNTIFS($I$2:$I$1001,$A727,$C$2:$C$1001,"Confirmed")=0,"Unconfirmed","Confirmed"),"Logged")))</f>
        <v/>
      </c>
      <c r="L727" s="29" t="str">
        <f aca="false">IF($A727="","",AsOf-$B727)</f>
        <v/>
      </c>
      <c r="M727" s="29" t="str">
        <f aca="false">IF($K727="Open",IF($C727="Conflict","Critical",IF($L727&gt;=DecisionCritical,"Critical",IF($L727&gt;=DecisionWarn,"Warning","On track"))),IF($K727="Unconfirmed",IF($L727&gt;=UnconfirmedWarn,"Warning","On track"),""))</f>
        <v/>
      </c>
      <c r="N727" s="29" t="str">
        <f aca="false">IF($M727="","",IF($M727="Critical",3000,IF($M727="Warning",2000,1000))+$L727+ROW()/100000)</f>
        <v/>
      </c>
      <c r="O727" s="29" t="str">
        <f aca="false">IF($K727="Open",IF($C727="Conflict","decide "&amp;$A727&amp;": &lt;which version stands&gt;","decide "&amp;$A727&amp;": &lt;outcome&gt;"),IF($K727="Unconfirmed","confirm "&amp;$A727,""))</f>
        <v/>
      </c>
    </row>
    <row r="728" customFormat="false" ht="15" hidden="false" customHeight="false" outlineLevel="0" collapsed="false">
      <c r="A728" s="24"/>
      <c r="B728" s="27"/>
      <c r="C728" s="28"/>
      <c r="D728" s="24"/>
      <c r="E728" s="24"/>
      <c r="F728" s="24"/>
      <c r="G728" s="28"/>
      <c r="H728" s="28"/>
      <c r="I728" s="24"/>
      <c r="J728" s="24"/>
      <c r="K728" s="29" t="str">
        <f aca="false">IF($A728="","",IF(OR($C728="Decision",$C728="Conflict"),IF(COUNTIFS($I$2:$I$1001,$A728,$C$2:$C$1001,"Resolved")=0,"Open","Closed"),IF(AND($H728="Unconfirmed",OR($C728="New",$C728="Know")),IF(COUNTIFS($I$2:$I$1001,$A728,$C$2:$C$1001,"Confirmed")=0,"Unconfirmed","Confirmed"),"Logged")))</f>
        <v/>
      </c>
      <c r="L728" s="29" t="str">
        <f aca="false">IF($A728="","",AsOf-$B728)</f>
        <v/>
      </c>
      <c r="M728" s="29" t="str">
        <f aca="false">IF($K728="Open",IF($C728="Conflict","Critical",IF($L728&gt;=DecisionCritical,"Critical",IF($L728&gt;=DecisionWarn,"Warning","On track"))),IF($K728="Unconfirmed",IF($L728&gt;=UnconfirmedWarn,"Warning","On track"),""))</f>
        <v/>
      </c>
      <c r="N728" s="29" t="str">
        <f aca="false">IF($M728="","",IF($M728="Critical",3000,IF($M728="Warning",2000,1000))+$L728+ROW()/100000)</f>
        <v/>
      </c>
      <c r="O728" s="29" t="str">
        <f aca="false">IF($K728="Open",IF($C728="Conflict","decide "&amp;$A728&amp;": &lt;which version stands&gt;","decide "&amp;$A728&amp;": &lt;outcome&gt;"),IF($K728="Unconfirmed","confirm "&amp;$A728,""))</f>
        <v/>
      </c>
    </row>
    <row r="729" customFormat="false" ht="15" hidden="false" customHeight="false" outlineLevel="0" collapsed="false">
      <c r="A729" s="24"/>
      <c r="B729" s="27"/>
      <c r="C729" s="28"/>
      <c r="D729" s="24"/>
      <c r="E729" s="24"/>
      <c r="F729" s="24"/>
      <c r="G729" s="28"/>
      <c r="H729" s="28"/>
      <c r="I729" s="24"/>
      <c r="J729" s="24"/>
      <c r="K729" s="29" t="str">
        <f aca="false">IF($A729="","",IF(OR($C729="Decision",$C729="Conflict"),IF(COUNTIFS($I$2:$I$1001,$A729,$C$2:$C$1001,"Resolved")=0,"Open","Closed"),IF(AND($H729="Unconfirmed",OR($C729="New",$C729="Know")),IF(COUNTIFS($I$2:$I$1001,$A729,$C$2:$C$1001,"Confirmed")=0,"Unconfirmed","Confirmed"),"Logged")))</f>
        <v/>
      </c>
      <c r="L729" s="29" t="str">
        <f aca="false">IF($A729="","",AsOf-$B729)</f>
        <v/>
      </c>
      <c r="M729" s="29" t="str">
        <f aca="false">IF($K729="Open",IF($C729="Conflict","Critical",IF($L729&gt;=DecisionCritical,"Critical",IF($L729&gt;=DecisionWarn,"Warning","On track"))),IF($K729="Unconfirmed",IF($L729&gt;=UnconfirmedWarn,"Warning","On track"),""))</f>
        <v/>
      </c>
      <c r="N729" s="29" t="str">
        <f aca="false">IF($M729="","",IF($M729="Critical",3000,IF($M729="Warning",2000,1000))+$L729+ROW()/100000)</f>
        <v/>
      </c>
      <c r="O729" s="29" t="str">
        <f aca="false">IF($K729="Open",IF($C729="Conflict","decide "&amp;$A729&amp;": &lt;which version stands&gt;","decide "&amp;$A729&amp;": &lt;outcome&gt;"),IF($K729="Unconfirmed","confirm "&amp;$A729,""))</f>
        <v/>
      </c>
    </row>
    <row r="730" customFormat="false" ht="15" hidden="false" customHeight="false" outlineLevel="0" collapsed="false">
      <c r="A730" s="24"/>
      <c r="B730" s="27"/>
      <c r="C730" s="28"/>
      <c r="D730" s="24"/>
      <c r="E730" s="24"/>
      <c r="F730" s="24"/>
      <c r="G730" s="28"/>
      <c r="H730" s="28"/>
      <c r="I730" s="24"/>
      <c r="J730" s="24"/>
      <c r="K730" s="29" t="str">
        <f aca="false">IF($A730="","",IF(OR($C730="Decision",$C730="Conflict"),IF(COUNTIFS($I$2:$I$1001,$A730,$C$2:$C$1001,"Resolved")=0,"Open","Closed"),IF(AND($H730="Unconfirmed",OR($C730="New",$C730="Know")),IF(COUNTIFS($I$2:$I$1001,$A730,$C$2:$C$1001,"Confirmed")=0,"Unconfirmed","Confirmed"),"Logged")))</f>
        <v/>
      </c>
      <c r="L730" s="29" t="str">
        <f aca="false">IF($A730="","",AsOf-$B730)</f>
        <v/>
      </c>
      <c r="M730" s="29" t="str">
        <f aca="false">IF($K730="Open",IF($C730="Conflict","Critical",IF($L730&gt;=DecisionCritical,"Critical",IF($L730&gt;=DecisionWarn,"Warning","On track"))),IF($K730="Unconfirmed",IF($L730&gt;=UnconfirmedWarn,"Warning","On track"),""))</f>
        <v/>
      </c>
      <c r="N730" s="29" t="str">
        <f aca="false">IF($M730="","",IF($M730="Critical",3000,IF($M730="Warning",2000,1000))+$L730+ROW()/100000)</f>
        <v/>
      </c>
      <c r="O730" s="29" t="str">
        <f aca="false">IF($K730="Open",IF($C730="Conflict","decide "&amp;$A730&amp;": &lt;which version stands&gt;","decide "&amp;$A730&amp;": &lt;outcome&gt;"),IF($K730="Unconfirmed","confirm "&amp;$A730,""))</f>
        <v/>
      </c>
    </row>
    <row r="731" customFormat="false" ht="15" hidden="false" customHeight="false" outlineLevel="0" collapsed="false">
      <c r="A731" s="24"/>
      <c r="B731" s="27"/>
      <c r="C731" s="28"/>
      <c r="D731" s="24"/>
      <c r="E731" s="24"/>
      <c r="F731" s="24"/>
      <c r="G731" s="28"/>
      <c r="H731" s="28"/>
      <c r="I731" s="24"/>
      <c r="J731" s="24"/>
      <c r="K731" s="29" t="str">
        <f aca="false">IF($A731="","",IF(OR($C731="Decision",$C731="Conflict"),IF(COUNTIFS($I$2:$I$1001,$A731,$C$2:$C$1001,"Resolved")=0,"Open","Closed"),IF(AND($H731="Unconfirmed",OR($C731="New",$C731="Know")),IF(COUNTIFS($I$2:$I$1001,$A731,$C$2:$C$1001,"Confirmed")=0,"Unconfirmed","Confirmed"),"Logged")))</f>
        <v/>
      </c>
      <c r="L731" s="29" t="str">
        <f aca="false">IF($A731="","",AsOf-$B731)</f>
        <v/>
      </c>
      <c r="M731" s="29" t="str">
        <f aca="false">IF($K731="Open",IF($C731="Conflict","Critical",IF($L731&gt;=DecisionCritical,"Critical",IF($L731&gt;=DecisionWarn,"Warning","On track"))),IF($K731="Unconfirmed",IF($L731&gt;=UnconfirmedWarn,"Warning","On track"),""))</f>
        <v/>
      </c>
      <c r="N731" s="29" t="str">
        <f aca="false">IF($M731="","",IF($M731="Critical",3000,IF($M731="Warning",2000,1000))+$L731+ROW()/100000)</f>
        <v/>
      </c>
      <c r="O731" s="29" t="str">
        <f aca="false">IF($K731="Open",IF($C731="Conflict","decide "&amp;$A731&amp;": &lt;which version stands&gt;","decide "&amp;$A731&amp;": &lt;outcome&gt;"),IF($K731="Unconfirmed","confirm "&amp;$A731,""))</f>
        <v/>
      </c>
    </row>
    <row r="732" customFormat="false" ht="15" hidden="false" customHeight="false" outlineLevel="0" collapsed="false">
      <c r="A732" s="24"/>
      <c r="B732" s="27"/>
      <c r="C732" s="28"/>
      <c r="D732" s="24"/>
      <c r="E732" s="24"/>
      <c r="F732" s="24"/>
      <c r="G732" s="28"/>
      <c r="H732" s="28"/>
      <c r="I732" s="24"/>
      <c r="J732" s="24"/>
      <c r="K732" s="29" t="str">
        <f aca="false">IF($A732="","",IF(OR($C732="Decision",$C732="Conflict"),IF(COUNTIFS($I$2:$I$1001,$A732,$C$2:$C$1001,"Resolved")=0,"Open","Closed"),IF(AND($H732="Unconfirmed",OR($C732="New",$C732="Know")),IF(COUNTIFS($I$2:$I$1001,$A732,$C$2:$C$1001,"Confirmed")=0,"Unconfirmed","Confirmed"),"Logged")))</f>
        <v/>
      </c>
      <c r="L732" s="29" t="str">
        <f aca="false">IF($A732="","",AsOf-$B732)</f>
        <v/>
      </c>
      <c r="M732" s="29" t="str">
        <f aca="false">IF($K732="Open",IF($C732="Conflict","Critical",IF($L732&gt;=DecisionCritical,"Critical",IF($L732&gt;=DecisionWarn,"Warning","On track"))),IF($K732="Unconfirmed",IF($L732&gt;=UnconfirmedWarn,"Warning","On track"),""))</f>
        <v/>
      </c>
      <c r="N732" s="29" t="str">
        <f aca="false">IF($M732="","",IF($M732="Critical",3000,IF($M732="Warning",2000,1000))+$L732+ROW()/100000)</f>
        <v/>
      </c>
      <c r="O732" s="29" t="str">
        <f aca="false">IF($K732="Open",IF($C732="Conflict","decide "&amp;$A732&amp;": &lt;which version stands&gt;","decide "&amp;$A732&amp;": &lt;outcome&gt;"),IF($K732="Unconfirmed","confirm "&amp;$A732,""))</f>
        <v/>
      </c>
    </row>
    <row r="733" customFormat="false" ht="15" hidden="false" customHeight="false" outlineLevel="0" collapsed="false">
      <c r="A733" s="24"/>
      <c r="B733" s="27"/>
      <c r="C733" s="28"/>
      <c r="D733" s="24"/>
      <c r="E733" s="24"/>
      <c r="F733" s="24"/>
      <c r="G733" s="28"/>
      <c r="H733" s="28"/>
      <c r="I733" s="24"/>
      <c r="J733" s="24"/>
      <c r="K733" s="29" t="str">
        <f aca="false">IF($A733="","",IF(OR($C733="Decision",$C733="Conflict"),IF(COUNTIFS($I$2:$I$1001,$A733,$C$2:$C$1001,"Resolved")=0,"Open","Closed"),IF(AND($H733="Unconfirmed",OR($C733="New",$C733="Know")),IF(COUNTIFS($I$2:$I$1001,$A733,$C$2:$C$1001,"Confirmed")=0,"Unconfirmed","Confirmed"),"Logged")))</f>
        <v/>
      </c>
      <c r="L733" s="29" t="str">
        <f aca="false">IF($A733="","",AsOf-$B733)</f>
        <v/>
      </c>
      <c r="M733" s="29" t="str">
        <f aca="false">IF($K733="Open",IF($C733="Conflict","Critical",IF($L733&gt;=DecisionCritical,"Critical",IF($L733&gt;=DecisionWarn,"Warning","On track"))),IF($K733="Unconfirmed",IF($L733&gt;=UnconfirmedWarn,"Warning","On track"),""))</f>
        <v/>
      </c>
      <c r="N733" s="29" t="str">
        <f aca="false">IF($M733="","",IF($M733="Critical",3000,IF($M733="Warning",2000,1000))+$L733+ROW()/100000)</f>
        <v/>
      </c>
      <c r="O733" s="29" t="str">
        <f aca="false">IF($K733="Open",IF($C733="Conflict","decide "&amp;$A733&amp;": &lt;which version stands&gt;","decide "&amp;$A733&amp;": &lt;outcome&gt;"),IF($K733="Unconfirmed","confirm "&amp;$A733,""))</f>
        <v/>
      </c>
    </row>
    <row r="734" customFormat="false" ht="15" hidden="false" customHeight="false" outlineLevel="0" collapsed="false">
      <c r="A734" s="24"/>
      <c r="B734" s="27"/>
      <c r="C734" s="28"/>
      <c r="D734" s="24"/>
      <c r="E734" s="24"/>
      <c r="F734" s="24"/>
      <c r="G734" s="28"/>
      <c r="H734" s="28"/>
      <c r="I734" s="24"/>
      <c r="J734" s="24"/>
      <c r="K734" s="29" t="str">
        <f aca="false">IF($A734="","",IF(OR($C734="Decision",$C734="Conflict"),IF(COUNTIFS($I$2:$I$1001,$A734,$C$2:$C$1001,"Resolved")=0,"Open","Closed"),IF(AND($H734="Unconfirmed",OR($C734="New",$C734="Know")),IF(COUNTIFS($I$2:$I$1001,$A734,$C$2:$C$1001,"Confirmed")=0,"Unconfirmed","Confirmed"),"Logged")))</f>
        <v/>
      </c>
      <c r="L734" s="29" t="str">
        <f aca="false">IF($A734="","",AsOf-$B734)</f>
        <v/>
      </c>
      <c r="M734" s="29" t="str">
        <f aca="false">IF($K734="Open",IF($C734="Conflict","Critical",IF($L734&gt;=DecisionCritical,"Critical",IF($L734&gt;=DecisionWarn,"Warning","On track"))),IF($K734="Unconfirmed",IF($L734&gt;=UnconfirmedWarn,"Warning","On track"),""))</f>
        <v/>
      </c>
      <c r="N734" s="29" t="str">
        <f aca="false">IF($M734="","",IF($M734="Critical",3000,IF($M734="Warning",2000,1000))+$L734+ROW()/100000)</f>
        <v/>
      </c>
      <c r="O734" s="29" t="str">
        <f aca="false">IF($K734="Open",IF($C734="Conflict","decide "&amp;$A734&amp;": &lt;which version stands&gt;","decide "&amp;$A734&amp;": &lt;outcome&gt;"),IF($K734="Unconfirmed","confirm "&amp;$A734,""))</f>
        <v/>
      </c>
    </row>
    <row r="735" customFormat="false" ht="15" hidden="false" customHeight="false" outlineLevel="0" collapsed="false">
      <c r="A735" s="24"/>
      <c r="B735" s="27"/>
      <c r="C735" s="28"/>
      <c r="D735" s="24"/>
      <c r="E735" s="24"/>
      <c r="F735" s="24"/>
      <c r="G735" s="28"/>
      <c r="H735" s="28"/>
      <c r="I735" s="24"/>
      <c r="J735" s="24"/>
      <c r="K735" s="29" t="str">
        <f aca="false">IF($A735="","",IF(OR($C735="Decision",$C735="Conflict"),IF(COUNTIFS($I$2:$I$1001,$A735,$C$2:$C$1001,"Resolved")=0,"Open","Closed"),IF(AND($H735="Unconfirmed",OR($C735="New",$C735="Know")),IF(COUNTIFS($I$2:$I$1001,$A735,$C$2:$C$1001,"Confirmed")=0,"Unconfirmed","Confirmed"),"Logged")))</f>
        <v/>
      </c>
      <c r="L735" s="29" t="str">
        <f aca="false">IF($A735="","",AsOf-$B735)</f>
        <v/>
      </c>
      <c r="M735" s="29" t="str">
        <f aca="false">IF($K735="Open",IF($C735="Conflict","Critical",IF($L735&gt;=DecisionCritical,"Critical",IF($L735&gt;=DecisionWarn,"Warning","On track"))),IF($K735="Unconfirmed",IF($L735&gt;=UnconfirmedWarn,"Warning","On track"),""))</f>
        <v/>
      </c>
      <c r="N735" s="29" t="str">
        <f aca="false">IF($M735="","",IF($M735="Critical",3000,IF($M735="Warning",2000,1000))+$L735+ROW()/100000)</f>
        <v/>
      </c>
      <c r="O735" s="29" t="str">
        <f aca="false">IF($K735="Open",IF($C735="Conflict","decide "&amp;$A735&amp;": &lt;which version stands&gt;","decide "&amp;$A735&amp;": &lt;outcome&gt;"),IF($K735="Unconfirmed","confirm "&amp;$A735,""))</f>
        <v/>
      </c>
    </row>
    <row r="736" customFormat="false" ht="15" hidden="false" customHeight="false" outlineLevel="0" collapsed="false">
      <c r="A736" s="24"/>
      <c r="B736" s="27"/>
      <c r="C736" s="28"/>
      <c r="D736" s="24"/>
      <c r="E736" s="24"/>
      <c r="F736" s="24"/>
      <c r="G736" s="28"/>
      <c r="H736" s="28"/>
      <c r="I736" s="24"/>
      <c r="J736" s="24"/>
      <c r="K736" s="29" t="str">
        <f aca="false">IF($A736="","",IF(OR($C736="Decision",$C736="Conflict"),IF(COUNTIFS($I$2:$I$1001,$A736,$C$2:$C$1001,"Resolved")=0,"Open","Closed"),IF(AND($H736="Unconfirmed",OR($C736="New",$C736="Know")),IF(COUNTIFS($I$2:$I$1001,$A736,$C$2:$C$1001,"Confirmed")=0,"Unconfirmed","Confirmed"),"Logged")))</f>
        <v/>
      </c>
      <c r="L736" s="29" t="str">
        <f aca="false">IF($A736="","",AsOf-$B736)</f>
        <v/>
      </c>
      <c r="M736" s="29" t="str">
        <f aca="false">IF($K736="Open",IF($C736="Conflict","Critical",IF($L736&gt;=DecisionCritical,"Critical",IF($L736&gt;=DecisionWarn,"Warning","On track"))),IF($K736="Unconfirmed",IF($L736&gt;=UnconfirmedWarn,"Warning","On track"),""))</f>
        <v/>
      </c>
      <c r="N736" s="29" t="str">
        <f aca="false">IF($M736="","",IF($M736="Critical",3000,IF($M736="Warning",2000,1000))+$L736+ROW()/100000)</f>
        <v/>
      </c>
      <c r="O736" s="29" t="str">
        <f aca="false">IF($K736="Open",IF($C736="Conflict","decide "&amp;$A736&amp;": &lt;which version stands&gt;","decide "&amp;$A736&amp;": &lt;outcome&gt;"),IF($K736="Unconfirmed","confirm "&amp;$A736,""))</f>
        <v/>
      </c>
    </row>
    <row r="737" customFormat="false" ht="15" hidden="false" customHeight="false" outlineLevel="0" collapsed="false">
      <c r="A737" s="24"/>
      <c r="B737" s="27"/>
      <c r="C737" s="28"/>
      <c r="D737" s="24"/>
      <c r="E737" s="24"/>
      <c r="F737" s="24"/>
      <c r="G737" s="28"/>
      <c r="H737" s="28"/>
      <c r="I737" s="24"/>
      <c r="J737" s="24"/>
      <c r="K737" s="29" t="str">
        <f aca="false">IF($A737="","",IF(OR($C737="Decision",$C737="Conflict"),IF(COUNTIFS($I$2:$I$1001,$A737,$C$2:$C$1001,"Resolved")=0,"Open","Closed"),IF(AND($H737="Unconfirmed",OR($C737="New",$C737="Know")),IF(COUNTIFS($I$2:$I$1001,$A737,$C$2:$C$1001,"Confirmed")=0,"Unconfirmed","Confirmed"),"Logged")))</f>
        <v/>
      </c>
      <c r="L737" s="29" t="str">
        <f aca="false">IF($A737="","",AsOf-$B737)</f>
        <v/>
      </c>
      <c r="M737" s="29" t="str">
        <f aca="false">IF($K737="Open",IF($C737="Conflict","Critical",IF($L737&gt;=DecisionCritical,"Critical",IF($L737&gt;=DecisionWarn,"Warning","On track"))),IF($K737="Unconfirmed",IF($L737&gt;=UnconfirmedWarn,"Warning","On track"),""))</f>
        <v/>
      </c>
      <c r="N737" s="29" t="str">
        <f aca="false">IF($M737="","",IF($M737="Critical",3000,IF($M737="Warning",2000,1000))+$L737+ROW()/100000)</f>
        <v/>
      </c>
      <c r="O737" s="29" t="str">
        <f aca="false">IF($K737="Open",IF($C737="Conflict","decide "&amp;$A737&amp;": &lt;which version stands&gt;","decide "&amp;$A737&amp;": &lt;outcome&gt;"),IF($K737="Unconfirmed","confirm "&amp;$A737,""))</f>
        <v/>
      </c>
    </row>
    <row r="738" customFormat="false" ht="15" hidden="false" customHeight="false" outlineLevel="0" collapsed="false">
      <c r="A738" s="24"/>
      <c r="B738" s="27"/>
      <c r="C738" s="28"/>
      <c r="D738" s="24"/>
      <c r="E738" s="24"/>
      <c r="F738" s="24"/>
      <c r="G738" s="28"/>
      <c r="H738" s="28"/>
      <c r="I738" s="24"/>
      <c r="J738" s="24"/>
      <c r="K738" s="29" t="str">
        <f aca="false">IF($A738="","",IF(OR($C738="Decision",$C738="Conflict"),IF(COUNTIFS($I$2:$I$1001,$A738,$C$2:$C$1001,"Resolved")=0,"Open","Closed"),IF(AND($H738="Unconfirmed",OR($C738="New",$C738="Know")),IF(COUNTIFS($I$2:$I$1001,$A738,$C$2:$C$1001,"Confirmed")=0,"Unconfirmed","Confirmed"),"Logged")))</f>
        <v/>
      </c>
      <c r="L738" s="29" t="str">
        <f aca="false">IF($A738="","",AsOf-$B738)</f>
        <v/>
      </c>
      <c r="M738" s="29" t="str">
        <f aca="false">IF($K738="Open",IF($C738="Conflict","Critical",IF($L738&gt;=DecisionCritical,"Critical",IF($L738&gt;=DecisionWarn,"Warning","On track"))),IF($K738="Unconfirmed",IF($L738&gt;=UnconfirmedWarn,"Warning","On track"),""))</f>
        <v/>
      </c>
      <c r="N738" s="29" t="str">
        <f aca="false">IF($M738="","",IF($M738="Critical",3000,IF($M738="Warning",2000,1000))+$L738+ROW()/100000)</f>
        <v/>
      </c>
      <c r="O738" s="29" t="str">
        <f aca="false">IF($K738="Open",IF($C738="Conflict","decide "&amp;$A738&amp;": &lt;which version stands&gt;","decide "&amp;$A738&amp;": &lt;outcome&gt;"),IF($K738="Unconfirmed","confirm "&amp;$A738,""))</f>
        <v/>
      </c>
    </row>
    <row r="739" customFormat="false" ht="15" hidden="false" customHeight="false" outlineLevel="0" collapsed="false">
      <c r="A739" s="24"/>
      <c r="B739" s="27"/>
      <c r="C739" s="28"/>
      <c r="D739" s="24"/>
      <c r="E739" s="24"/>
      <c r="F739" s="24"/>
      <c r="G739" s="28"/>
      <c r="H739" s="28"/>
      <c r="I739" s="24"/>
      <c r="J739" s="24"/>
      <c r="K739" s="29" t="str">
        <f aca="false">IF($A739="","",IF(OR($C739="Decision",$C739="Conflict"),IF(COUNTIFS($I$2:$I$1001,$A739,$C$2:$C$1001,"Resolved")=0,"Open","Closed"),IF(AND($H739="Unconfirmed",OR($C739="New",$C739="Know")),IF(COUNTIFS($I$2:$I$1001,$A739,$C$2:$C$1001,"Confirmed")=0,"Unconfirmed","Confirmed"),"Logged")))</f>
        <v/>
      </c>
      <c r="L739" s="29" t="str">
        <f aca="false">IF($A739="","",AsOf-$B739)</f>
        <v/>
      </c>
      <c r="M739" s="29" t="str">
        <f aca="false">IF($K739="Open",IF($C739="Conflict","Critical",IF($L739&gt;=DecisionCritical,"Critical",IF($L739&gt;=DecisionWarn,"Warning","On track"))),IF($K739="Unconfirmed",IF($L739&gt;=UnconfirmedWarn,"Warning","On track"),""))</f>
        <v/>
      </c>
      <c r="N739" s="29" t="str">
        <f aca="false">IF($M739="","",IF($M739="Critical",3000,IF($M739="Warning",2000,1000))+$L739+ROW()/100000)</f>
        <v/>
      </c>
      <c r="O739" s="29" t="str">
        <f aca="false">IF($K739="Open",IF($C739="Conflict","decide "&amp;$A739&amp;": &lt;which version stands&gt;","decide "&amp;$A739&amp;": &lt;outcome&gt;"),IF($K739="Unconfirmed","confirm "&amp;$A739,""))</f>
        <v/>
      </c>
    </row>
    <row r="740" customFormat="false" ht="15" hidden="false" customHeight="false" outlineLevel="0" collapsed="false">
      <c r="A740" s="24"/>
      <c r="B740" s="27"/>
      <c r="C740" s="28"/>
      <c r="D740" s="24"/>
      <c r="E740" s="24"/>
      <c r="F740" s="24"/>
      <c r="G740" s="28"/>
      <c r="H740" s="28"/>
      <c r="I740" s="24"/>
      <c r="J740" s="24"/>
      <c r="K740" s="29" t="str">
        <f aca="false">IF($A740="","",IF(OR($C740="Decision",$C740="Conflict"),IF(COUNTIFS($I$2:$I$1001,$A740,$C$2:$C$1001,"Resolved")=0,"Open","Closed"),IF(AND($H740="Unconfirmed",OR($C740="New",$C740="Know")),IF(COUNTIFS($I$2:$I$1001,$A740,$C$2:$C$1001,"Confirmed")=0,"Unconfirmed","Confirmed"),"Logged")))</f>
        <v/>
      </c>
      <c r="L740" s="29" t="str">
        <f aca="false">IF($A740="","",AsOf-$B740)</f>
        <v/>
      </c>
      <c r="M740" s="29" t="str">
        <f aca="false">IF($K740="Open",IF($C740="Conflict","Critical",IF($L740&gt;=DecisionCritical,"Critical",IF($L740&gt;=DecisionWarn,"Warning","On track"))),IF($K740="Unconfirmed",IF($L740&gt;=UnconfirmedWarn,"Warning","On track"),""))</f>
        <v/>
      </c>
      <c r="N740" s="29" t="str">
        <f aca="false">IF($M740="","",IF($M740="Critical",3000,IF($M740="Warning",2000,1000))+$L740+ROW()/100000)</f>
        <v/>
      </c>
      <c r="O740" s="29" t="str">
        <f aca="false">IF($K740="Open",IF($C740="Conflict","decide "&amp;$A740&amp;": &lt;which version stands&gt;","decide "&amp;$A740&amp;": &lt;outcome&gt;"),IF($K740="Unconfirmed","confirm "&amp;$A740,""))</f>
        <v/>
      </c>
    </row>
    <row r="741" customFormat="false" ht="15" hidden="false" customHeight="false" outlineLevel="0" collapsed="false">
      <c r="A741" s="24"/>
      <c r="B741" s="27"/>
      <c r="C741" s="28"/>
      <c r="D741" s="24"/>
      <c r="E741" s="24"/>
      <c r="F741" s="24"/>
      <c r="G741" s="28"/>
      <c r="H741" s="28"/>
      <c r="I741" s="24"/>
      <c r="J741" s="24"/>
      <c r="K741" s="29" t="str">
        <f aca="false">IF($A741="","",IF(OR($C741="Decision",$C741="Conflict"),IF(COUNTIFS($I$2:$I$1001,$A741,$C$2:$C$1001,"Resolved")=0,"Open","Closed"),IF(AND($H741="Unconfirmed",OR($C741="New",$C741="Know")),IF(COUNTIFS($I$2:$I$1001,$A741,$C$2:$C$1001,"Confirmed")=0,"Unconfirmed","Confirmed"),"Logged")))</f>
        <v/>
      </c>
      <c r="L741" s="29" t="str">
        <f aca="false">IF($A741="","",AsOf-$B741)</f>
        <v/>
      </c>
      <c r="M741" s="29" t="str">
        <f aca="false">IF($K741="Open",IF($C741="Conflict","Critical",IF($L741&gt;=DecisionCritical,"Critical",IF($L741&gt;=DecisionWarn,"Warning","On track"))),IF($K741="Unconfirmed",IF($L741&gt;=UnconfirmedWarn,"Warning","On track"),""))</f>
        <v/>
      </c>
      <c r="N741" s="29" t="str">
        <f aca="false">IF($M741="","",IF($M741="Critical",3000,IF($M741="Warning",2000,1000))+$L741+ROW()/100000)</f>
        <v/>
      </c>
      <c r="O741" s="29" t="str">
        <f aca="false">IF($K741="Open",IF($C741="Conflict","decide "&amp;$A741&amp;": &lt;which version stands&gt;","decide "&amp;$A741&amp;": &lt;outcome&gt;"),IF($K741="Unconfirmed","confirm "&amp;$A741,""))</f>
        <v/>
      </c>
    </row>
    <row r="742" customFormat="false" ht="15" hidden="false" customHeight="false" outlineLevel="0" collapsed="false">
      <c r="A742" s="24"/>
      <c r="B742" s="27"/>
      <c r="C742" s="28"/>
      <c r="D742" s="24"/>
      <c r="E742" s="24"/>
      <c r="F742" s="24"/>
      <c r="G742" s="28"/>
      <c r="H742" s="28"/>
      <c r="I742" s="24"/>
      <c r="J742" s="24"/>
      <c r="K742" s="29" t="str">
        <f aca="false">IF($A742="","",IF(OR($C742="Decision",$C742="Conflict"),IF(COUNTIFS($I$2:$I$1001,$A742,$C$2:$C$1001,"Resolved")=0,"Open","Closed"),IF(AND($H742="Unconfirmed",OR($C742="New",$C742="Know")),IF(COUNTIFS($I$2:$I$1001,$A742,$C$2:$C$1001,"Confirmed")=0,"Unconfirmed","Confirmed"),"Logged")))</f>
        <v/>
      </c>
      <c r="L742" s="29" t="str">
        <f aca="false">IF($A742="","",AsOf-$B742)</f>
        <v/>
      </c>
      <c r="M742" s="29" t="str">
        <f aca="false">IF($K742="Open",IF($C742="Conflict","Critical",IF($L742&gt;=DecisionCritical,"Critical",IF($L742&gt;=DecisionWarn,"Warning","On track"))),IF($K742="Unconfirmed",IF($L742&gt;=UnconfirmedWarn,"Warning","On track"),""))</f>
        <v/>
      </c>
      <c r="N742" s="29" t="str">
        <f aca="false">IF($M742="","",IF($M742="Critical",3000,IF($M742="Warning",2000,1000))+$L742+ROW()/100000)</f>
        <v/>
      </c>
      <c r="O742" s="29" t="str">
        <f aca="false">IF($K742="Open",IF($C742="Conflict","decide "&amp;$A742&amp;": &lt;which version stands&gt;","decide "&amp;$A742&amp;": &lt;outcome&gt;"),IF($K742="Unconfirmed","confirm "&amp;$A742,""))</f>
        <v/>
      </c>
    </row>
    <row r="743" customFormat="false" ht="15" hidden="false" customHeight="false" outlineLevel="0" collapsed="false">
      <c r="A743" s="24"/>
      <c r="B743" s="27"/>
      <c r="C743" s="28"/>
      <c r="D743" s="24"/>
      <c r="E743" s="24"/>
      <c r="F743" s="24"/>
      <c r="G743" s="28"/>
      <c r="H743" s="28"/>
      <c r="I743" s="24"/>
      <c r="J743" s="24"/>
      <c r="K743" s="29" t="str">
        <f aca="false">IF($A743="","",IF(OR($C743="Decision",$C743="Conflict"),IF(COUNTIFS($I$2:$I$1001,$A743,$C$2:$C$1001,"Resolved")=0,"Open","Closed"),IF(AND($H743="Unconfirmed",OR($C743="New",$C743="Know")),IF(COUNTIFS($I$2:$I$1001,$A743,$C$2:$C$1001,"Confirmed")=0,"Unconfirmed","Confirmed"),"Logged")))</f>
        <v/>
      </c>
      <c r="L743" s="29" t="str">
        <f aca="false">IF($A743="","",AsOf-$B743)</f>
        <v/>
      </c>
      <c r="M743" s="29" t="str">
        <f aca="false">IF($K743="Open",IF($C743="Conflict","Critical",IF($L743&gt;=DecisionCritical,"Critical",IF($L743&gt;=DecisionWarn,"Warning","On track"))),IF($K743="Unconfirmed",IF($L743&gt;=UnconfirmedWarn,"Warning","On track"),""))</f>
        <v/>
      </c>
      <c r="N743" s="29" t="str">
        <f aca="false">IF($M743="","",IF($M743="Critical",3000,IF($M743="Warning",2000,1000))+$L743+ROW()/100000)</f>
        <v/>
      </c>
      <c r="O743" s="29" t="str">
        <f aca="false">IF($K743="Open",IF($C743="Conflict","decide "&amp;$A743&amp;": &lt;which version stands&gt;","decide "&amp;$A743&amp;": &lt;outcome&gt;"),IF($K743="Unconfirmed","confirm "&amp;$A743,""))</f>
        <v/>
      </c>
    </row>
    <row r="744" customFormat="false" ht="15" hidden="false" customHeight="false" outlineLevel="0" collapsed="false">
      <c r="A744" s="24"/>
      <c r="B744" s="27"/>
      <c r="C744" s="28"/>
      <c r="D744" s="24"/>
      <c r="E744" s="24"/>
      <c r="F744" s="24"/>
      <c r="G744" s="28"/>
      <c r="H744" s="28"/>
      <c r="I744" s="24"/>
      <c r="J744" s="24"/>
      <c r="K744" s="29" t="str">
        <f aca="false">IF($A744="","",IF(OR($C744="Decision",$C744="Conflict"),IF(COUNTIFS($I$2:$I$1001,$A744,$C$2:$C$1001,"Resolved")=0,"Open","Closed"),IF(AND($H744="Unconfirmed",OR($C744="New",$C744="Know")),IF(COUNTIFS($I$2:$I$1001,$A744,$C$2:$C$1001,"Confirmed")=0,"Unconfirmed","Confirmed"),"Logged")))</f>
        <v/>
      </c>
      <c r="L744" s="29" t="str">
        <f aca="false">IF($A744="","",AsOf-$B744)</f>
        <v/>
      </c>
      <c r="M744" s="29" t="str">
        <f aca="false">IF($K744="Open",IF($C744="Conflict","Critical",IF($L744&gt;=DecisionCritical,"Critical",IF($L744&gt;=DecisionWarn,"Warning","On track"))),IF($K744="Unconfirmed",IF($L744&gt;=UnconfirmedWarn,"Warning","On track"),""))</f>
        <v/>
      </c>
      <c r="N744" s="29" t="str">
        <f aca="false">IF($M744="","",IF($M744="Critical",3000,IF($M744="Warning",2000,1000))+$L744+ROW()/100000)</f>
        <v/>
      </c>
      <c r="O744" s="29" t="str">
        <f aca="false">IF($K744="Open",IF($C744="Conflict","decide "&amp;$A744&amp;": &lt;which version stands&gt;","decide "&amp;$A744&amp;": &lt;outcome&gt;"),IF($K744="Unconfirmed","confirm "&amp;$A744,""))</f>
        <v/>
      </c>
    </row>
    <row r="745" customFormat="false" ht="15" hidden="false" customHeight="false" outlineLevel="0" collapsed="false">
      <c r="A745" s="24"/>
      <c r="B745" s="27"/>
      <c r="C745" s="28"/>
      <c r="D745" s="24"/>
      <c r="E745" s="24"/>
      <c r="F745" s="24"/>
      <c r="G745" s="28"/>
      <c r="H745" s="28"/>
      <c r="I745" s="24"/>
      <c r="J745" s="24"/>
      <c r="K745" s="29" t="str">
        <f aca="false">IF($A745="","",IF(OR($C745="Decision",$C745="Conflict"),IF(COUNTIFS($I$2:$I$1001,$A745,$C$2:$C$1001,"Resolved")=0,"Open","Closed"),IF(AND($H745="Unconfirmed",OR($C745="New",$C745="Know")),IF(COUNTIFS($I$2:$I$1001,$A745,$C$2:$C$1001,"Confirmed")=0,"Unconfirmed","Confirmed"),"Logged")))</f>
        <v/>
      </c>
      <c r="L745" s="29" t="str">
        <f aca="false">IF($A745="","",AsOf-$B745)</f>
        <v/>
      </c>
      <c r="M745" s="29" t="str">
        <f aca="false">IF($K745="Open",IF($C745="Conflict","Critical",IF($L745&gt;=DecisionCritical,"Critical",IF($L745&gt;=DecisionWarn,"Warning","On track"))),IF($K745="Unconfirmed",IF($L745&gt;=UnconfirmedWarn,"Warning","On track"),""))</f>
        <v/>
      </c>
      <c r="N745" s="29" t="str">
        <f aca="false">IF($M745="","",IF($M745="Critical",3000,IF($M745="Warning",2000,1000))+$L745+ROW()/100000)</f>
        <v/>
      </c>
      <c r="O745" s="29" t="str">
        <f aca="false">IF($K745="Open",IF($C745="Conflict","decide "&amp;$A745&amp;": &lt;which version stands&gt;","decide "&amp;$A745&amp;": &lt;outcome&gt;"),IF($K745="Unconfirmed","confirm "&amp;$A745,""))</f>
        <v/>
      </c>
    </row>
    <row r="746" customFormat="false" ht="15" hidden="false" customHeight="false" outlineLevel="0" collapsed="false">
      <c r="A746" s="24"/>
      <c r="B746" s="27"/>
      <c r="C746" s="28"/>
      <c r="D746" s="24"/>
      <c r="E746" s="24"/>
      <c r="F746" s="24"/>
      <c r="G746" s="28"/>
      <c r="H746" s="28"/>
      <c r="I746" s="24"/>
      <c r="J746" s="24"/>
      <c r="K746" s="29" t="str">
        <f aca="false">IF($A746="","",IF(OR($C746="Decision",$C746="Conflict"),IF(COUNTIFS($I$2:$I$1001,$A746,$C$2:$C$1001,"Resolved")=0,"Open","Closed"),IF(AND($H746="Unconfirmed",OR($C746="New",$C746="Know")),IF(COUNTIFS($I$2:$I$1001,$A746,$C$2:$C$1001,"Confirmed")=0,"Unconfirmed","Confirmed"),"Logged")))</f>
        <v/>
      </c>
      <c r="L746" s="29" t="str">
        <f aca="false">IF($A746="","",AsOf-$B746)</f>
        <v/>
      </c>
      <c r="M746" s="29" t="str">
        <f aca="false">IF($K746="Open",IF($C746="Conflict","Critical",IF($L746&gt;=DecisionCritical,"Critical",IF($L746&gt;=DecisionWarn,"Warning","On track"))),IF($K746="Unconfirmed",IF($L746&gt;=UnconfirmedWarn,"Warning","On track"),""))</f>
        <v/>
      </c>
      <c r="N746" s="29" t="str">
        <f aca="false">IF($M746="","",IF($M746="Critical",3000,IF($M746="Warning",2000,1000))+$L746+ROW()/100000)</f>
        <v/>
      </c>
      <c r="O746" s="29" t="str">
        <f aca="false">IF($K746="Open",IF($C746="Conflict","decide "&amp;$A746&amp;": &lt;which version stands&gt;","decide "&amp;$A746&amp;": &lt;outcome&gt;"),IF($K746="Unconfirmed","confirm "&amp;$A746,""))</f>
        <v/>
      </c>
    </row>
    <row r="747" customFormat="false" ht="15" hidden="false" customHeight="false" outlineLevel="0" collapsed="false">
      <c r="A747" s="24"/>
      <c r="B747" s="27"/>
      <c r="C747" s="28"/>
      <c r="D747" s="24"/>
      <c r="E747" s="24"/>
      <c r="F747" s="24"/>
      <c r="G747" s="28"/>
      <c r="H747" s="28"/>
      <c r="I747" s="24"/>
      <c r="J747" s="24"/>
      <c r="K747" s="29" t="str">
        <f aca="false">IF($A747="","",IF(OR($C747="Decision",$C747="Conflict"),IF(COUNTIFS($I$2:$I$1001,$A747,$C$2:$C$1001,"Resolved")=0,"Open","Closed"),IF(AND($H747="Unconfirmed",OR($C747="New",$C747="Know")),IF(COUNTIFS($I$2:$I$1001,$A747,$C$2:$C$1001,"Confirmed")=0,"Unconfirmed","Confirmed"),"Logged")))</f>
        <v/>
      </c>
      <c r="L747" s="29" t="str">
        <f aca="false">IF($A747="","",AsOf-$B747)</f>
        <v/>
      </c>
      <c r="M747" s="29" t="str">
        <f aca="false">IF($K747="Open",IF($C747="Conflict","Critical",IF($L747&gt;=DecisionCritical,"Critical",IF($L747&gt;=DecisionWarn,"Warning","On track"))),IF($K747="Unconfirmed",IF($L747&gt;=UnconfirmedWarn,"Warning","On track"),""))</f>
        <v/>
      </c>
      <c r="N747" s="29" t="str">
        <f aca="false">IF($M747="","",IF($M747="Critical",3000,IF($M747="Warning",2000,1000))+$L747+ROW()/100000)</f>
        <v/>
      </c>
      <c r="O747" s="29" t="str">
        <f aca="false">IF($K747="Open",IF($C747="Conflict","decide "&amp;$A747&amp;": &lt;which version stands&gt;","decide "&amp;$A747&amp;": &lt;outcome&gt;"),IF($K747="Unconfirmed","confirm "&amp;$A747,""))</f>
        <v/>
      </c>
    </row>
    <row r="748" customFormat="false" ht="15" hidden="false" customHeight="false" outlineLevel="0" collapsed="false">
      <c r="A748" s="24"/>
      <c r="B748" s="27"/>
      <c r="C748" s="28"/>
      <c r="D748" s="24"/>
      <c r="E748" s="24"/>
      <c r="F748" s="24"/>
      <c r="G748" s="28"/>
      <c r="H748" s="28"/>
      <c r="I748" s="24"/>
      <c r="J748" s="24"/>
      <c r="K748" s="29" t="str">
        <f aca="false">IF($A748="","",IF(OR($C748="Decision",$C748="Conflict"),IF(COUNTIFS($I$2:$I$1001,$A748,$C$2:$C$1001,"Resolved")=0,"Open","Closed"),IF(AND($H748="Unconfirmed",OR($C748="New",$C748="Know")),IF(COUNTIFS($I$2:$I$1001,$A748,$C$2:$C$1001,"Confirmed")=0,"Unconfirmed","Confirmed"),"Logged")))</f>
        <v/>
      </c>
      <c r="L748" s="29" t="str">
        <f aca="false">IF($A748="","",AsOf-$B748)</f>
        <v/>
      </c>
      <c r="M748" s="29" t="str">
        <f aca="false">IF($K748="Open",IF($C748="Conflict","Critical",IF($L748&gt;=DecisionCritical,"Critical",IF($L748&gt;=DecisionWarn,"Warning","On track"))),IF($K748="Unconfirmed",IF($L748&gt;=UnconfirmedWarn,"Warning","On track"),""))</f>
        <v/>
      </c>
      <c r="N748" s="29" t="str">
        <f aca="false">IF($M748="","",IF($M748="Critical",3000,IF($M748="Warning",2000,1000))+$L748+ROW()/100000)</f>
        <v/>
      </c>
      <c r="O748" s="29" t="str">
        <f aca="false">IF($K748="Open",IF($C748="Conflict","decide "&amp;$A748&amp;": &lt;which version stands&gt;","decide "&amp;$A748&amp;": &lt;outcome&gt;"),IF($K748="Unconfirmed","confirm "&amp;$A748,""))</f>
        <v/>
      </c>
    </row>
    <row r="749" customFormat="false" ht="15" hidden="false" customHeight="false" outlineLevel="0" collapsed="false">
      <c r="A749" s="24"/>
      <c r="B749" s="27"/>
      <c r="C749" s="28"/>
      <c r="D749" s="24"/>
      <c r="E749" s="24"/>
      <c r="F749" s="24"/>
      <c r="G749" s="28"/>
      <c r="H749" s="28"/>
      <c r="I749" s="24"/>
      <c r="J749" s="24"/>
      <c r="K749" s="29" t="str">
        <f aca="false">IF($A749="","",IF(OR($C749="Decision",$C749="Conflict"),IF(COUNTIFS($I$2:$I$1001,$A749,$C$2:$C$1001,"Resolved")=0,"Open","Closed"),IF(AND($H749="Unconfirmed",OR($C749="New",$C749="Know")),IF(COUNTIFS($I$2:$I$1001,$A749,$C$2:$C$1001,"Confirmed")=0,"Unconfirmed","Confirmed"),"Logged")))</f>
        <v/>
      </c>
      <c r="L749" s="29" t="str">
        <f aca="false">IF($A749="","",AsOf-$B749)</f>
        <v/>
      </c>
      <c r="M749" s="29" t="str">
        <f aca="false">IF($K749="Open",IF($C749="Conflict","Critical",IF($L749&gt;=DecisionCritical,"Critical",IF($L749&gt;=DecisionWarn,"Warning","On track"))),IF($K749="Unconfirmed",IF($L749&gt;=UnconfirmedWarn,"Warning","On track"),""))</f>
        <v/>
      </c>
      <c r="N749" s="29" t="str">
        <f aca="false">IF($M749="","",IF($M749="Critical",3000,IF($M749="Warning",2000,1000))+$L749+ROW()/100000)</f>
        <v/>
      </c>
      <c r="O749" s="29" t="str">
        <f aca="false">IF($K749="Open",IF($C749="Conflict","decide "&amp;$A749&amp;": &lt;which version stands&gt;","decide "&amp;$A749&amp;": &lt;outcome&gt;"),IF($K749="Unconfirmed","confirm "&amp;$A749,""))</f>
        <v/>
      </c>
    </row>
    <row r="750" customFormat="false" ht="15" hidden="false" customHeight="false" outlineLevel="0" collapsed="false">
      <c r="A750" s="24"/>
      <c r="B750" s="27"/>
      <c r="C750" s="28"/>
      <c r="D750" s="24"/>
      <c r="E750" s="24"/>
      <c r="F750" s="24"/>
      <c r="G750" s="28"/>
      <c r="H750" s="28"/>
      <c r="I750" s="24"/>
      <c r="J750" s="24"/>
      <c r="K750" s="29" t="str">
        <f aca="false">IF($A750="","",IF(OR($C750="Decision",$C750="Conflict"),IF(COUNTIFS($I$2:$I$1001,$A750,$C$2:$C$1001,"Resolved")=0,"Open","Closed"),IF(AND($H750="Unconfirmed",OR($C750="New",$C750="Know")),IF(COUNTIFS($I$2:$I$1001,$A750,$C$2:$C$1001,"Confirmed")=0,"Unconfirmed","Confirmed"),"Logged")))</f>
        <v/>
      </c>
      <c r="L750" s="29" t="str">
        <f aca="false">IF($A750="","",AsOf-$B750)</f>
        <v/>
      </c>
      <c r="M750" s="29" t="str">
        <f aca="false">IF($K750="Open",IF($C750="Conflict","Critical",IF($L750&gt;=DecisionCritical,"Critical",IF($L750&gt;=DecisionWarn,"Warning","On track"))),IF($K750="Unconfirmed",IF($L750&gt;=UnconfirmedWarn,"Warning","On track"),""))</f>
        <v/>
      </c>
      <c r="N750" s="29" t="str">
        <f aca="false">IF($M750="","",IF($M750="Critical",3000,IF($M750="Warning",2000,1000))+$L750+ROW()/100000)</f>
        <v/>
      </c>
      <c r="O750" s="29" t="str">
        <f aca="false">IF($K750="Open",IF($C750="Conflict","decide "&amp;$A750&amp;": &lt;which version stands&gt;","decide "&amp;$A750&amp;": &lt;outcome&gt;"),IF($K750="Unconfirmed","confirm "&amp;$A750,""))</f>
        <v/>
      </c>
    </row>
    <row r="751" customFormat="false" ht="15" hidden="false" customHeight="false" outlineLevel="0" collapsed="false">
      <c r="A751" s="24"/>
      <c r="B751" s="27"/>
      <c r="C751" s="28"/>
      <c r="D751" s="24"/>
      <c r="E751" s="24"/>
      <c r="F751" s="24"/>
      <c r="G751" s="28"/>
      <c r="H751" s="28"/>
      <c r="I751" s="24"/>
      <c r="J751" s="24"/>
      <c r="K751" s="29" t="str">
        <f aca="false">IF($A751="","",IF(OR($C751="Decision",$C751="Conflict"),IF(COUNTIFS($I$2:$I$1001,$A751,$C$2:$C$1001,"Resolved")=0,"Open","Closed"),IF(AND($H751="Unconfirmed",OR($C751="New",$C751="Know")),IF(COUNTIFS($I$2:$I$1001,$A751,$C$2:$C$1001,"Confirmed")=0,"Unconfirmed","Confirmed"),"Logged")))</f>
        <v/>
      </c>
      <c r="L751" s="29" t="str">
        <f aca="false">IF($A751="","",AsOf-$B751)</f>
        <v/>
      </c>
      <c r="M751" s="29" t="str">
        <f aca="false">IF($K751="Open",IF($C751="Conflict","Critical",IF($L751&gt;=DecisionCritical,"Critical",IF($L751&gt;=DecisionWarn,"Warning","On track"))),IF($K751="Unconfirmed",IF($L751&gt;=UnconfirmedWarn,"Warning","On track"),""))</f>
        <v/>
      </c>
      <c r="N751" s="29" t="str">
        <f aca="false">IF($M751="","",IF($M751="Critical",3000,IF($M751="Warning",2000,1000))+$L751+ROW()/100000)</f>
        <v/>
      </c>
      <c r="O751" s="29" t="str">
        <f aca="false">IF($K751="Open",IF($C751="Conflict","decide "&amp;$A751&amp;": &lt;which version stands&gt;","decide "&amp;$A751&amp;": &lt;outcome&gt;"),IF($K751="Unconfirmed","confirm "&amp;$A751,""))</f>
        <v/>
      </c>
    </row>
    <row r="752" customFormat="false" ht="15" hidden="false" customHeight="false" outlineLevel="0" collapsed="false">
      <c r="A752" s="24"/>
      <c r="B752" s="27"/>
      <c r="C752" s="28"/>
      <c r="D752" s="24"/>
      <c r="E752" s="24"/>
      <c r="F752" s="24"/>
      <c r="G752" s="28"/>
      <c r="H752" s="28"/>
      <c r="I752" s="24"/>
      <c r="J752" s="24"/>
      <c r="K752" s="29" t="str">
        <f aca="false">IF($A752="","",IF(OR($C752="Decision",$C752="Conflict"),IF(COUNTIFS($I$2:$I$1001,$A752,$C$2:$C$1001,"Resolved")=0,"Open","Closed"),IF(AND($H752="Unconfirmed",OR($C752="New",$C752="Know")),IF(COUNTIFS($I$2:$I$1001,$A752,$C$2:$C$1001,"Confirmed")=0,"Unconfirmed","Confirmed"),"Logged")))</f>
        <v/>
      </c>
      <c r="L752" s="29" t="str">
        <f aca="false">IF($A752="","",AsOf-$B752)</f>
        <v/>
      </c>
      <c r="M752" s="29" t="str">
        <f aca="false">IF($K752="Open",IF($C752="Conflict","Critical",IF($L752&gt;=DecisionCritical,"Critical",IF($L752&gt;=DecisionWarn,"Warning","On track"))),IF($K752="Unconfirmed",IF($L752&gt;=UnconfirmedWarn,"Warning","On track"),""))</f>
        <v/>
      </c>
      <c r="N752" s="29" t="str">
        <f aca="false">IF($M752="","",IF($M752="Critical",3000,IF($M752="Warning",2000,1000))+$L752+ROW()/100000)</f>
        <v/>
      </c>
      <c r="O752" s="29" t="str">
        <f aca="false">IF($K752="Open",IF($C752="Conflict","decide "&amp;$A752&amp;": &lt;which version stands&gt;","decide "&amp;$A752&amp;": &lt;outcome&gt;"),IF($K752="Unconfirmed","confirm "&amp;$A752,""))</f>
        <v/>
      </c>
    </row>
    <row r="753" customFormat="false" ht="15" hidden="false" customHeight="false" outlineLevel="0" collapsed="false">
      <c r="A753" s="24"/>
      <c r="B753" s="27"/>
      <c r="C753" s="28"/>
      <c r="D753" s="24"/>
      <c r="E753" s="24"/>
      <c r="F753" s="24"/>
      <c r="G753" s="28"/>
      <c r="H753" s="28"/>
      <c r="I753" s="24"/>
      <c r="J753" s="24"/>
      <c r="K753" s="29" t="str">
        <f aca="false">IF($A753="","",IF(OR($C753="Decision",$C753="Conflict"),IF(COUNTIFS($I$2:$I$1001,$A753,$C$2:$C$1001,"Resolved")=0,"Open","Closed"),IF(AND($H753="Unconfirmed",OR($C753="New",$C753="Know")),IF(COUNTIFS($I$2:$I$1001,$A753,$C$2:$C$1001,"Confirmed")=0,"Unconfirmed","Confirmed"),"Logged")))</f>
        <v/>
      </c>
      <c r="L753" s="29" t="str">
        <f aca="false">IF($A753="","",AsOf-$B753)</f>
        <v/>
      </c>
      <c r="M753" s="29" t="str">
        <f aca="false">IF($K753="Open",IF($C753="Conflict","Critical",IF($L753&gt;=DecisionCritical,"Critical",IF($L753&gt;=DecisionWarn,"Warning","On track"))),IF($K753="Unconfirmed",IF($L753&gt;=UnconfirmedWarn,"Warning","On track"),""))</f>
        <v/>
      </c>
      <c r="N753" s="29" t="str">
        <f aca="false">IF($M753="","",IF($M753="Critical",3000,IF($M753="Warning",2000,1000))+$L753+ROW()/100000)</f>
        <v/>
      </c>
      <c r="O753" s="29" t="str">
        <f aca="false">IF($K753="Open",IF($C753="Conflict","decide "&amp;$A753&amp;": &lt;which version stands&gt;","decide "&amp;$A753&amp;": &lt;outcome&gt;"),IF($K753="Unconfirmed","confirm "&amp;$A753,""))</f>
        <v/>
      </c>
    </row>
    <row r="754" customFormat="false" ht="15" hidden="false" customHeight="false" outlineLevel="0" collapsed="false">
      <c r="A754" s="24"/>
      <c r="B754" s="27"/>
      <c r="C754" s="28"/>
      <c r="D754" s="24"/>
      <c r="E754" s="24"/>
      <c r="F754" s="24"/>
      <c r="G754" s="28"/>
      <c r="H754" s="28"/>
      <c r="I754" s="24"/>
      <c r="J754" s="24"/>
      <c r="K754" s="29" t="str">
        <f aca="false">IF($A754="","",IF(OR($C754="Decision",$C754="Conflict"),IF(COUNTIFS($I$2:$I$1001,$A754,$C$2:$C$1001,"Resolved")=0,"Open","Closed"),IF(AND($H754="Unconfirmed",OR($C754="New",$C754="Know")),IF(COUNTIFS($I$2:$I$1001,$A754,$C$2:$C$1001,"Confirmed")=0,"Unconfirmed","Confirmed"),"Logged")))</f>
        <v/>
      </c>
      <c r="L754" s="29" t="str">
        <f aca="false">IF($A754="","",AsOf-$B754)</f>
        <v/>
      </c>
      <c r="M754" s="29" t="str">
        <f aca="false">IF($K754="Open",IF($C754="Conflict","Critical",IF($L754&gt;=DecisionCritical,"Critical",IF($L754&gt;=DecisionWarn,"Warning","On track"))),IF($K754="Unconfirmed",IF($L754&gt;=UnconfirmedWarn,"Warning","On track"),""))</f>
        <v/>
      </c>
      <c r="N754" s="29" t="str">
        <f aca="false">IF($M754="","",IF($M754="Critical",3000,IF($M754="Warning",2000,1000))+$L754+ROW()/100000)</f>
        <v/>
      </c>
      <c r="O754" s="29" t="str">
        <f aca="false">IF($K754="Open",IF($C754="Conflict","decide "&amp;$A754&amp;": &lt;which version stands&gt;","decide "&amp;$A754&amp;": &lt;outcome&gt;"),IF($K754="Unconfirmed","confirm "&amp;$A754,""))</f>
        <v/>
      </c>
    </row>
    <row r="755" customFormat="false" ht="15" hidden="false" customHeight="false" outlineLevel="0" collapsed="false">
      <c r="A755" s="24"/>
      <c r="B755" s="27"/>
      <c r="C755" s="28"/>
      <c r="D755" s="24"/>
      <c r="E755" s="24"/>
      <c r="F755" s="24"/>
      <c r="G755" s="28"/>
      <c r="H755" s="28"/>
      <c r="I755" s="24"/>
      <c r="J755" s="24"/>
      <c r="K755" s="29" t="str">
        <f aca="false">IF($A755="","",IF(OR($C755="Decision",$C755="Conflict"),IF(COUNTIFS($I$2:$I$1001,$A755,$C$2:$C$1001,"Resolved")=0,"Open","Closed"),IF(AND($H755="Unconfirmed",OR($C755="New",$C755="Know")),IF(COUNTIFS($I$2:$I$1001,$A755,$C$2:$C$1001,"Confirmed")=0,"Unconfirmed","Confirmed"),"Logged")))</f>
        <v/>
      </c>
      <c r="L755" s="29" t="str">
        <f aca="false">IF($A755="","",AsOf-$B755)</f>
        <v/>
      </c>
      <c r="M755" s="29" t="str">
        <f aca="false">IF($K755="Open",IF($C755="Conflict","Critical",IF($L755&gt;=DecisionCritical,"Critical",IF($L755&gt;=DecisionWarn,"Warning","On track"))),IF($K755="Unconfirmed",IF($L755&gt;=UnconfirmedWarn,"Warning","On track"),""))</f>
        <v/>
      </c>
      <c r="N755" s="29" t="str">
        <f aca="false">IF($M755="","",IF($M755="Critical",3000,IF($M755="Warning",2000,1000))+$L755+ROW()/100000)</f>
        <v/>
      </c>
      <c r="O755" s="29" t="str">
        <f aca="false">IF($K755="Open",IF($C755="Conflict","decide "&amp;$A755&amp;": &lt;which version stands&gt;","decide "&amp;$A755&amp;": &lt;outcome&gt;"),IF($K755="Unconfirmed","confirm "&amp;$A755,""))</f>
        <v/>
      </c>
    </row>
    <row r="756" customFormat="false" ht="15" hidden="false" customHeight="false" outlineLevel="0" collapsed="false">
      <c r="A756" s="24"/>
      <c r="B756" s="27"/>
      <c r="C756" s="28"/>
      <c r="D756" s="24"/>
      <c r="E756" s="24"/>
      <c r="F756" s="24"/>
      <c r="G756" s="28"/>
      <c r="H756" s="28"/>
      <c r="I756" s="24"/>
      <c r="J756" s="24"/>
      <c r="K756" s="29" t="str">
        <f aca="false">IF($A756="","",IF(OR($C756="Decision",$C756="Conflict"),IF(COUNTIFS($I$2:$I$1001,$A756,$C$2:$C$1001,"Resolved")=0,"Open","Closed"),IF(AND($H756="Unconfirmed",OR($C756="New",$C756="Know")),IF(COUNTIFS($I$2:$I$1001,$A756,$C$2:$C$1001,"Confirmed")=0,"Unconfirmed","Confirmed"),"Logged")))</f>
        <v/>
      </c>
      <c r="L756" s="29" t="str">
        <f aca="false">IF($A756="","",AsOf-$B756)</f>
        <v/>
      </c>
      <c r="M756" s="29" t="str">
        <f aca="false">IF($K756="Open",IF($C756="Conflict","Critical",IF($L756&gt;=DecisionCritical,"Critical",IF($L756&gt;=DecisionWarn,"Warning","On track"))),IF($K756="Unconfirmed",IF($L756&gt;=UnconfirmedWarn,"Warning","On track"),""))</f>
        <v/>
      </c>
      <c r="N756" s="29" t="str">
        <f aca="false">IF($M756="","",IF($M756="Critical",3000,IF($M756="Warning",2000,1000))+$L756+ROW()/100000)</f>
        <v/>
      </c>
      <c r="O756" s="29" t="str">
        <f aca="false">IF($K756="Open",IF($C756="Conflict","decide "&amp;$A756&amp;": &lt;which version stands&gt;","decide "&amp;$A756&amp;": &lt;outcome&gt;"),IF($K756="Unconfirmed","confirm "&amp;$A756,""))</f>
        <v/>
      </c>
    </row>
    <row r="757" customFormat="false" ht="15" hidden="false" customHeight="false" outlineLevel="0" collapsed="false">
      <c r="A757" s="24"/>
      <c r="B757" s="27"/>
      <c r="C757" s="28"/>
      <c r="D757" s="24"/>
      <c r="E757" s="24"/>
      <c r="F757" s="24"/>
      <c r="G757" s="28"/>
      <c r="H757" s="28"/>
      <c r="I757" s="24"/>
      <c r="J757" s="24"/>
      <c r="K757" s="29" t="str">
        <f aca="false">IF($A757="","",IF(OR($C757="Decision",$C757="Conflict"),IF(COUNTIFS($I$2:$I$1001,$A757,$C$2:$C$1001,"Resolved")=0,"Open","Closed"),IF(AND($H757="Unconfirmed",OR($C757="New",$C757="Know")),IF(COUNTIFS($I$2:$I$1001,$A757,$C$2:$C$1001,"Confirmed")=0,"Unconfirmed","Confirmed"),"Logged")))</f>
        <v/>
      </c>
      <c r="L757" s="29" t="str">
        <f aca="false">IF($A757="","",AsOf-$B757)</f>
        <v/>
      </c>
      <c r="M757" s="29" t="str">
        <f aca="false">IF($K757="Open",IF($C757="Conflict","Critical",IF($L757&gt;=DecisionCritical,"Critical",IF($L757&gt;=DecisionWarn,"Warning","On track"))),IF($K757="Unconfirmed",IF($L757&gt;=UnconfirmedWarn,"Warning","On track"),""))</f>
        <v/>
      </c>
      <c r="N757" s="29" t="str">
        <f aca="false">IF($M757="","",IF($M757="Critical",3000,IF($M757="Warning",2000,1000))+$L757+ROW()/100000)</f>
        <v/>
      </c>
      <c r="O757" s="29" t="str">
        <f aca="false">IF($K757="Open",IF($C757="Conflict","decide "&amp;$A757&amp;": &lt;which version stands&gt;","decide "&amp;$A757&amp;": &lt;outcome&gt;"),IF($K757="Unconfirmed","confirm "&amp;$A757,""))</f>
        <v/>
      </c>
    </row>
    <row r="758" customFormat="false" ht="15" hidden="false" customHeight="false" outlineLevel="0" collapsed="false">
      <c r="A758" s="24"/>
      <c r="B758" s="27"/>
      <c r="C758" s="28"/>
      <c r="D758" s="24"/>
      <c r="E758" s="24"/>
      <c r="F758" s="24"/>
      <c r="G758" s="28"/>
      <c r="H758" s="28"/>
      <c r="I758" s="24"/>
      <c r="J758" s="24"/>
      <c r="K758" s="29" t="str">
        <f aca="false">IF($A758="","",IF(OR($C758="Decision",$C758="Conflict"),IF(COUNTIFS($I$2:$I$1001,$A758,$C$2:$C$1001,"Resolved")=0,"Open","Closed"),IF(AND($H758="Unconfirmed",OR($C758="New",$C758="Know")),IF(COUNTIFS($I$2:$I$1001,$A758,$C$2:$C$1001,"Confirmed")=0,"Unconfirmed","Confirmed"),"Logged")))</f>
        <v/>
      </c>
      <c r="L758" s="29" t="str">
        <f aca="false">IF($A758="","",AsOf-$B758)</f>
        <v/>
      </c>
      <c r="M758" s="29" t="str">
        <f aca="false">IF($K758="Open",IF($C758="Conflict","Critical",IF($L758&gt;=DecisionCritical,"Critical",IF($L758&gt;=DecisionWarn,"Warning","On track"))),IF($K758="Unconfirmed",IF($L758&gt;=UnconfirmedWarn,"Warning","On track"),""))</f>
        <v/>
      </c>
      <c r="N758" s="29" t="str">
        <f aca="false">IF($M758="","",IF($M758="Critical",3000,IF($M758="Warning",2000,1000))+$L758+ROW()/100000)</f>
        <v/>
      </c>
      <c r="O758" s="29" t="str">
        <f aca="false">IF($K758="Open",IF($C758="Conflict","decide "&amp;$A758&amp;": &lt;which version stands&gt;","decide "&amp;$A758&amp;": &lt;outcome&gt;"),IF($K758="Unconfirmed","confirm "&amp;$A758,""))</f>
        <v/>
      </c>
    </row>
    <row r="759" customFormat="false" ht="15" hidden="false" customHeight="false" outlineLevel="0" collapsed="false">
      <c r="A759" s="24"/>
      <c r="B759" s="27"/>
      <c r="C759" s="28"/>
      <c r="D759" s="24"/>
      <c r="E759" s="24"/>
      <c r="F759" s="24"/>
      <c r="G759" s="28"/>
      <c r="H759" s="28"/>
      <c r="I759" s="24"/>
      <c r="J759" s="24"/>
      <c r="K759" s="29" t="str">
        <f aca="false">IF($A759="","",IF(OR($C759="Decision",$C759="Conflict"),IF(COUNTIFS($I$2:$I$1001,$A759,$C$2:$C$1001,"Resolved")=0,"Open","Closed"),IF(AND($H759="Unconfirmed",OR($C759="New",$C759="Know")),IF(COUNTIFS($I$2:$I$1001,$A759,$C$2:$C$1001,"Confirmed")=0,"Unconfirmed","Confirmed"),"Logged")))</f>
        <v/>
      </c>
      <c r="L759" s="29" t="str">
        <f aca="false">IF($A759="","",AsOf-$B759)</f>
        <v/>
      </c>
      <c r="M759" s="29" t="str">
        <f aca="false">IF($K759="Open",IF($C759="Conflict","Critical",IF($L759&gt;=DecisionCritical,"Critical",IF($L759&gt;=DecisionWarn,"Warning","On track"))),IF($K759="Unconfirmed",IF($L759&gt;=UnconfirmedWarn,"Warning","On track"),""))</f>
        <v/>
      </c>
      <c r="N759" s="29" t="str">
        <f aca="false">IF($M759="","",IF($M759="Critical",3000,IF($M759="Warning",2000,1000))+$L759+ROW()/100000)</f>
        <v/>
      </c>
      <c r="O759" s="29" t="str">
        <f aca="false">IF($K759="Open",IF($C759="Conflict","decide "&amp;$A759&amp;": &lt;which version stands&gt;","decide "&amp;$A759&amp;": &lt;outcome&gt;"),IF($K759="Unconfirmed","confirm "&amp;$A759,""))</f>
        <v/>
      </c>
    </row>
    <row r="760" customFormat="false" ht="15" hidden="false" customHeight="false" outlineLevel="0" collapsed="false">
      <c r="A760" s="24"/>
      <c r="B760" s="27"/>
      <c r="C760" s="28"/>
      <c r="D760" s="24"/>
      <c r="E760" s="24"/>
      <c r="F760" s="24"/>
      <c r="G760" s="28"/>
      <c r="H760" s="28"/>
      <c r="I760" s="24"/>
      <c r="J760" s="24"/>
      <c r="K760" s="29" t="str">
        <f aca="false">IF($A760="","",IF(OR($C760="Decision",$C760="Conflict"),IF(COUNTIFS($I$2:$I$1001,$A760,$C$2:$C$1001,"Resolved")=0,"Open","Closed"),IF(AND($H760="Unconfirmed",OR($C760="New",$C760="Know")),IF(COUNTIFS($I$2:$I$1001,$A760,$C$2:$C$1001,"Confirmed")=0,"Unconfirmed","Confirmed"),"Logged")))</f>
        <v/>
      </c>
      <c r="L760" s="29" t="str">
        <f aca="false">IF($A760="","",AsOf-$B760)</f>
        <v/>
      </c>
      <c r="M760" s="29" t="str">
        <f aca="false">IF($K760="Open",IF($C760="Conflict","Critical",IF($L760&gt;=DecisionCritical,"Critical",IF($L760&gt;=DecisionWarn,"Warning","On track"))),IF($K760="Unconfirmed",IF($L760&gt;=UnconfirmedWarn,"Warning","On track"),""))</f>
        <v/>
      </c>
      <c r="N760" s="29" t="str">
        <f aca="false">IF($M760="","",IF($M760="Critical",3000,IF($M760="Warning",2000,1000))+$L760+ROW()/100000)</f>
        <v/>
      </c>
      <c r="O760" s="29" t="str">
        <f aca="false">IF($K760="Open",IF($C760="Conflict","decide "&amp;$A760&amp;": &lt;which version stands&gt;","decide "&amp;$A760&amp;": &lt;outcome&gt;"),IF($K760="Unconfirmed","confirm "&amp;$A760,""))</f>
        <v/>
      </c>
    </row>
    <row r="761" customFormat="false" ht="15" hidden="false" customHeight="false" outlineLevel="0" collapsed="false">
      <c r="A761" s="24"/>
      <c r="B761" s="27"/>
      <c r="C761" s="28"/>
      <c r="D761" s="24"/>
      <c r="E761" s="24"/>
      <c r="F761" s="24"/>
      <c r="G761" s="28"/>
      <c r="H761" s="28"/>
      <c r="I761" s="24"/>
      <c r="J761" s="24"/>
      <c r="K761" s="29" t="str">
        <f aca="false">IF($A761="","",IF(OR($C761="Decision",$C761="Conflict"),IF(COUNTIFS($I$2:$I$1001,$A761,$C$2:$C$1001,"Resolved")=0,"Open","Closed"),IF(AND($H761="Unconfirmed",OR($C761="New",$C761="Know")),IF(COUNTIFS($I$2:$I$1001,$A761,$C$2:$C$1001,"Confirmed")=0,"Unconfirmed","Confirmed"),"Logged")))</f>
        <v/>
      </c>
      <c r="L761" s="29" t="str">
        <f aca="false">IF($A761="","",AsOf-$B761)</f>
        <v/>
      </c>
      <c r="M761" s="29" t="str">
        <f aca="false">IF($K761="Open",IF($C761="Conflict","Critical",IF($L761&gt;=DecisionCritical,"Critical",IF($L761&gt;=DecisionWarn,"Warning","On track"))),IF($K761="Unconfirmed",IF($L761&gt;=UnconfirmedWarn,"Warning","On track"),""))</f>
        <v/>
      </c>
      <c r="N761" s="29" t="str">
        <f aca="false">IF($M761="","",IF($M761="Critical",3000,IF($M761="Warning",2000,1000))+$L761+ROW()/100000)</f>
        <v/>
      </c>
      <c r="O761" s="29" t="str">
        <f aca="false">IF($K761="Open",IF($C761="Conflict","decide "&amp;$A761&amp;": &lt;which version stands&gt;","decide "&amp;$A761&amp;": &lt;outcome&gt;"),IF($K761="Unconfirmed","confirm "&amp;$A761,""))</f>
        <v/>
      </c>
    </row>
    <row r="762" customFormat="false" ht="15" hidden="false" customHeight="false" outlineLevel="0" collapsed="false">
      <c r="A762" s="24"/>
      <c r="B762" s="27"/>
      <c r="C762" s="28"/>
      <c r="D762" s="24"/>
      <c r="E762" s="24"/>
      <c r="F762" s="24"/>
      <c r="G762" s="28"/>
      <c r="H762" s="28"/>
      <c r="I762" s="24"/>
      <c r="J762" s="24"/>
      <c r="K762" s="29" t="str">
        <f aca="false">IF($A762="","",IF(OR($C762="Decision",$C762="Conflict"),IF(COUNTIFS($I$2:$I$1001,$A762,$C$2:$C$1001,"Resolved")=0,"Open","Closed"),IF(AND($H762="Unconfirmed",OR($C762="New",$C762="Know")),IF(COUNTIFS($I$2:$I$1001,$A762,$C$2:$C$1001,"Confirmed")=0,"Unconfirmed","Confirmed"),"Logged")))</f>
        <v/>
      </c>
      <c r="L762" s="29" t="str">
        <f aca="false">IF($A762="","",AsOf-$B762)</f>
        <v/>
      </c>
      <c r="M762" s="29" t="str">
        <f aca="false">IF($K762="Open",IF($C762="Conflict","Critical",IF($L762&gt;=DecisionCritical,"Critical",IF($L762&gt;=DecisionWarn,"Warning","On track"))),IF($K762="Unconfirmed",IF($L762&gt;=UnconfirmedWarn,"Warning","On track"),""))</f>
        <v/>
      </c>
      <c r="N762" s="29" t="str">
        <f aca="false">IF($M762="","",IF($M762="Critical",3000,IF($M762="Warning",2000,1000))+$L762+ROW()/100000)</f>
        <v/>
      </c>
      <c r="O762" s="29" t="str">
        <f aca="false">IF($K762="Open",IF($C762="Conflict","decide "&amp;$A762&amp;": &lt;which version stands&gt;","decide "&amp;$A762&amp;": &lt;outcome&gt;"),IF($K762="Unconfirmed","confirm "&amp;$A762,""))</f>
        <v/>
      </c>
    </row>
    <row r="763" customFormat="false" ht="15" hidden="false" customHeight="false" outlineLevel="0" collapsed="false">
      <c r="A763" s="24"/>
      <c r="B763" s="27"/>
      <c r="C763" s="28"/>
      <c r="D763" s="24"/>
      <c r="E763" s="24"/>
      <c r="F763" s="24"/>
      <c r="G763" s="28"/>
      <c r="H763" s="28"/>
      <c r="I763" s="24"/>
      <c r="J763" s="24"/>
      <c r="K763" s="29" t="str">
        <f aca="false">IF($A763="","",IF(OR($C763="Decision",$C763="Conflict"),IF(COUNTIFS($I$2:$I$1001,$A763,$C$2:$C$1001,"Resolved")=0,"Open","Closed"),IF(AND($H763="Unconfirmed",OR($C763="New",$C763="Know")),IF(COUNTIFS($I$2:$I$1001,$A763,$C$2:$C$1001,"Confirmed")=0,"Unconfirmed","Confirmed"),"Logged")))</f>
        <v/>
      </c>
      <c r="L763" s="29" t="str">
        <f aca="false">IF($A763="","",AsOf-$B763)</f>
        <v/>
      </c>
      <c r="M763" s="29" t="str">
        <f aca="false">IF($K763="Open",IF($C763="Conflict","Critical",IF($L763&gt;=DecisionCritical,"Critical",IF($L763&gt;=DecisionWarn,"Warning","On track"))),IF($K763="Unconfirmed",IF($L763&gt;=UnconfirmedWarn,"Warning","On track"),""))</f>
        <v/>
      </c>
      <c r="N763" s="29" t="str">
        <f aca="false">IF($M763="","",IF($M763="Critical",3000,IF($M763="Warning",2000,1000))+$L763+ROW()/100000)</f>
        <v/>
      </c>
      <c r="O763" s="29" t="str">
        <f aca="false">IF($K763="Open",IF($C763="Conflict","decide "&amp;$A763&amp;": &lt;which version stands&gt;","decide "&amp;$A763&amp;": &lt;outcome&gt;"),IF($K763="Unconfirmed","confirm "&amp;$A763,""))</f>
        <v/>
      </c>
    </row>
    <row r="764" customFormat="false" ht="15" hidden="false" customHeight="false" outlineLevel="0" collapsed="false">
      <c r="A764" s="24"/>
      <c r="B764" s="27"/>
      <c r="C764" s="28"/>
      <c r="D764" s="24"/>
      <c r="E764" s="24"/>
      <c r="F764" s="24"/>
      <c r="G764" s="28"/>
      <c r="H764" s="28"/>
      <c r="I764" s="24"/>
      <c r="J764" s="24"/>
      <c r="K764" s="29" t="str">
        <f aca="false">IF($A764="","",IF(OR($C764="Decision",$C764="Conflict"),IF(COUNTIFS($I$2:$I$1001,$A764,$C$2:$C$1001,"Resolved")=0,"Open","Closed"),IF(AND($H764="Unconfirmed",OR($C764="New",$C764="Know")),IF(COUNTIFS($I$2:$I$1001,$A764,$C$2:$C$1001,"Confirmed")=0,"Unconfirmed","Confirmed"),"Logged")))</f>
        <v/>
      </c>
      <c r="L764" s="29" t="str">
        <f aca="false">IF($A764="","",AsOf-$B764)</f>
        <v/>
      </c>
      <c r="M764" s="29" t="str">
        <f aca="false">IF($K764="Open",IF($C764="Conflict","Critical",IF($L764&gt;=DecisionCritical,"Critical",IF($L764&gt;=DecisionWarn,"Warning","On track"))),IF($K764="Unconfirmed",IF($L764&gt;=UnconfirmedWarn,"Warning","On track"),""))</f>
        <v/>
      </c>
      <c r="N764" s="29" t="str">
        <f aca="false">IF($M764="","",IF($M764="Critical",3000,IF($M764="Warning",2000,1000))+$L764+ROW()/100000)</f>
        <v/>
      </c>
      <c r="O764" s="29" t="str">
        <f aca="false">IF($K764="Open",IF($C764="Conflict","decide "&amp;$A764&amp;": &lt;which version stands&gt;","decide "&amp;$A764&amp;": &lt;outcome&gt;"),IF($K764="Unconfirmed","confirm "&amp;$A764,""))</f>
        <v/>
      </c>
    </row>
    <row r="765" customFormat="false" ht="15" hidden="false" customHeight="false" outlineLevel="0" collapsed="false">
      <c r="A765" s="24"/>
      <c r="B765" s="27"/>
      <c r="C765" s="28"/>
      <c r="D765" s="24"/>
      <c r="E765" s="24"/>
      <c r="F765" s="24"/>
      <c r="G765" s="28"/>
      <c r="H765" s="28"/>
      <c r="I765" s="24"/>
      <c r="J765" s="24"/>
      <c r="K765" s="29" t="str">
        <f aca="false">IF($A765="","",IF(OR($C765="Decision",$C765="Conflict"),IF(COUNTIFS($I$2:$I$1001,$A765,$C$2:$C$1001,"Resolved")=0,"Open","Closed"),IF(AND($H765="Unconfirmed",OR($C765="New",$C765="Know")),IF(COUNTIFS($I$2:$I$1001,$A765,$C$2:$C$1001,"Confirmed")=0,"Unconfirmed","Confirmed"),"Logged")))</f>
        <v/>
      </c>
      <c r="L765" s="29" t="str">
        <f aca="false">IF($A765="","",AsOf-$B765)</f>
        <v/>
      </c>
      <c r="M765" s="29" t="str">
        <f aca="false">IF($K765="Open",IF($C765="Conflict","Critical",IF($L765&gt;=DecisionCritical,"Critical",IF($L765&gt;=DecisionWarn,"Warning","On track"))),IF($K765="Unconfirmed",IF($L765&gt;=UnconfirmedWarn,"Warning","On track"),""))</f>
        <v/>
      </c>
      <c r="N765" s="29" t="str">
        <f aca="false">IF($M765="","",IF($M765="Critical",3000,IF($M765="Warning",2000,1000))+$L765+ROW()/100000)</f>
        <v/>
      </c>
      <c r="O765" s="29" t="str">
        <f aca="false">IF($K765="Open",IF($C765="Conflict","decide "&amp;$A765&amp;": &lt;which version stands&gt;","decide "&amp;$A765&amp;": &lt;outcome&gt;"),IF($K765="Unconfirmed","confirm "&amp;$A765,""))</f>
        <v/>
      </c>
    </row>
    <row r="766" customFormat="false" ht="15" hidden="false" customHeight="false" outlineLevel="0" collapsed="false">
      <c r="A766" s="24"/>
      <c r="B766" s="27"/>
      <c r="C766" s="28"/>
      <c r="D766" s="24"/>
      <c r="E766" s="24"/>
      <c r="F766" s="24"/>
      <c r="G766" s="28"/>
      <c r="H766" s="28"/>
      <c r="I766" s="24"/>
      <c r="J766" s="24"/>
      <c r="K766" s="29" t="str">
        <f aca="false">IF($A766="","",IF(OR($C766="Decision",$C766="Conflict"),IF(COUNTIFS($I$2:$I$1001,$A766,$C$2:$C$1001,"Resolved")=0,"Open","Closed"),IF(AND($H766="Unconfirmed",OR($C766="New",$C766="Know")),IF(COUNTIFS($I$2:$I$1001,$A766,$C$2:$C$1001,"Confirmed")=0,"Unconfirmed","Confirmed"),"Logged")))</f>
        <v/>
      </c>
      <c r="L766" s="29" t="str">
        <f aca="false">IF($A766="","",AsOf-$B766)</f>
        <v/>
      </c>
      <c r="M766" s="29" t="str">
        <f aca="false">IF($K766="Open",IF($C766="Conflict","Critical",IF($L766&gt;=DecisionCritical,"Critical",IF($L766&gt;=DecisionWarn,"Warning","On track"))),IF($K766="Unconfirmed",IF($L766&gt;=UnconfirmedWarn,"Warning","On track"),""))</f>
        <v/>
      </c>
      <c r="N766" s="29" t="str">
        <f aca="false">IF($M766="","",IF($M766="Critical",3000,IF($M766="Warning",2000,1000))+$L766+ROW()/100000)</f>
        <v/>
      </c>
      <c r="O766" s="29" t="str">
        <f aca="false">IF($K766="Open",IF($C766="Conflict","decide "&amp;$A766&amp;": &lt;which version stands&gt;","decide "&amp;$A766&amp;": &lt;outcome&gt;"),IF($K766="Unconfirmed","confirm "&amp;$A766,""))</f>
        <v/>
      </c>
    </row>
    <row r="767" customFormat="false" ht="15" hidden="false" customHeight="false" outlineLevel="0" collapsed="false">
      <c r="A767" s="24"/>
      <c r="B767" s="27"/>
      <c r="C767" s="28"/>
      <c r="D767" s="24"/>
      <c r="E767" s="24"/>
      <c r="F767" s="24"/>
      <c r="G767" s="28"/>
      <c r="H767" s="28"/>
      <c r="I767" s="24"/>
      <c r="J767" s="24"/>
      <c r="K767" s="29" t="str">
        <f aca="false">IF($A767="","",IF(OR($C767="Decision",$C767="Conflict"),IF(COUNTIFS($I$2:$I$1001,$A767,$C$2:$C$1001,"Resolved")=0,"Open","Closed"),IF(AND($H767="Unconfirmed",OR($C767="New",$C767="Know")),IF(COUNTIFS($I$2:$I$1001,$A767,$C$2:$C$1001,"Confirmed")=0,"Unconfirmed","Confirmed"),"Logged")))</f>
        <v/>
      </c>
      <c r="L767" s="29" t="str">
        <f aca="false">IF($A767="","",AsOf-$B767)</f>
        <v/>
      </c>
      <c r="M767" s="29" t="str">
        <f aca="false">IF($K767="Open",IF($C767="Conflict","Critical",IF($L767&gt;=DecisionCritical,"Critical",IF($L767&gt;=DecisionWarn,"Warning","On track"))),IF($K767="Unconfirmed",IF($L767&gt;=UnconfirmedWarn,"Warning","On track"),""))</f>
        <v/>
      </c>
      <c r="N767" s="29" t="str">
        <f aca="false">IF($M767="","",IF($M767="Critical",3000,IF($M767="Warning",2000,1000))+$L767+ROW()/100000)</f>
        <v/>
      </c>
      <c r="O767" s="29" t="str">
        <f aca="false">IF($K767="Open",IF($C767="Conflict","decide "&amp;$A767&amp;": &lt;which version stands&gt;","decide "&amp;$A767&amp;": &lt;outcome&gt;"),IF($K767="Unconfirmed","confirm "&amp;$A767,""))</f>
        <v/>
      </c>
    </row>
    <row r="768" customFormat="false" ht="15" hidden="false" customHeight="false" outlineLevel="0" collapsed="false">
      <c r="A768" s="24"/>
      <c r="B768" s="27"/>
      <c r="C768" s="28"/>
      <c r="D768" s="24"/>
      <c r="E768" s="24"/>
      <c r="F768" s="24"/>
      <c r="G768" s="28"/>
      <c r="H768" s="28"/>
      <c r="I768" s="24"/>
      <c r="J768" s="24"/>
      <c r="K768" s="29" t="str">
        <f aca="false">IF($A768="","",IF(OR($C768="Decision",$C768="Conflict"),IF(COUNTIFS($I$2:$I$1001,$A768,$C$2:$C$1001,"Resolved")=0,"Open","Closed"),IF(AND($H768="Unconfirmed",OR($C768="New",$C768="Know")),IF(COUNTIFS($I$2:$I$1001,$A768,$C$2:$C$1001,"Confirmed")=0,"Unconfirmed","Confirmed"),"Logged")))</f>
        <v/>
      </c>
      <c r="L768" s="29" t="str">
        <f aca="false">IF($A768="","",AsOf-$B768)</f>
        <v/>
      </c>
      <c r="M768" s="29" t="str">
        <f aca="false">IF($K768="Open",IF($C768="Conflict","Critical",IF($L768&gt;=DecisionCritical,"Critical",IF($L768&gt;=DecisionWarn,"Warning","On track"))),IF($K768="Unconfirmed",IF($L768&gt;=UnconfirmedWarn,"Warning","On track"),""))</f>
        <v/>
      </c>
      <c r="N768" s="29" t="str">
        <f aca="false">IF($M768="","",IF($M768="Critical",3000,IF($M768="Warning",2000,1000))+$L768+ROW()/100000)</f>
        <v/>
      </c>
      <c r="O768" s="29" t="str">
        <f aca="false">IF($K768="Open",IF($C768="Conflict","decide "&amp;$A768&amp;": &lt;which version stands&gt;","decide "&amp;$A768&amp;": &lt;outcome&gt;"),IF($K768="Unconfirmed","confirm "&amp;$A768,""))</f>
        <v/>
      </c>
    </row>
    <row r="769" customFormat="false" ht="15" hidden="false" customHeight="false" outlineLevel="0" collapsed="false">
      <c r="A769" s="24"/>
      <c r="B769" s="27"/>
      <c r="C769" s="28"/>
      <c r="D769" s="24"/>
      <c r="E769" s="24"/>
      <c r="F769" s="24"/>
      <c r="G769" s="28"/>
      <c r="H769" s="28"/>
      <c r="I769" s="24"/>
      <c r="J769" s="24"/>
      <c r="K769" s="29" t="str">
        <f aca="false">IF($A769="","",IF(OR($C769="Decision",$C769="Conflict"),IF(COUNTIFS($I$2:$I$1001,$A769,$C$2:$C$1001,"Resolved")=0,"Open","Closed"),IF(AND($H769="Unconfirmed",OR($C769="New",$C769="Know")),IF(COUNTIFS($I$2:$I$1001,$A769,$C$2:$C$1001,"Confirmed")=0,"Unconfirmed","Confirmed"),"Logged")))</f>
        <v/>
      </c>
      <c r="L769" s="29" t="str">
        <f aca="false">IF($A769="","",AsOf-$B769)</f>
        <v/>
      </c>
      <c r="M769" s="29" t="str">
        <f aca="false">IF($K769="Open",IF($C769="Conflict","Critical",IF($L769&gt;=DecisionCritical,"Critical",IF($L769&gt;=DecisionWarn,"Warning","On track"))),IF($K769="Unconfirmed",IF($L769&gt;=UnconfirmedWarn,"Warning","On track"),""))</f>
        <v/>
      </c>
      <c r="N769" s="29" t="str">
        <f aca="false">IF($M769="","",IF($M769="Critical",3000,IF($M769="Warning",2000,1000))+$L769+ROW()/100000)</f>
        <v/>
      </c>
      <c r="O769" s="29" t="str">
        <f aca="false">IF($K769="Open",IF($C769="Conflict","decide "&amp;$A769&amp;": &lt;which version stands&gt;","decide "&amp;$A769&amp;": &lt;outcome&gt;"),IF($K769="Unconfirmed","confirm "&amp;$A769,""))</f>
        <v/>
      </c>
    </row>
    <row r="770" customFormat="false" ht="15" hidden="false" customHeight="false" outlineLevel="0" collapsed="false">
      <c r="A770" s="24"/>
      <c r="B770" s="27"/>
      <c r="C770" s="28"/>
      <c r="D770" s="24"/>
      <c r="E770" s="24"/>
      <c r="F770" s="24"/>
      <c r="G770" s="28"/>
      <c r="H770" s="28"/>
      <c r="I770" s="24"/>
      <c r="J770" s="24"/>
      <c r="K770" s="29" t="str">
        <f aca="false">IF($A770="","",IF(OR($C770="Decision",$C770="Conflict"),IF(COUNTIFS($I$2:$I$1001,$A770,$C$2:$C$1001,"Resolved")=0,"Open","Closed"),IF(AND($H770="Unconfirmed",OR($C770="New",$C770="Know")),IF(COUNTIFS($I$2:$I$1001,$A770,$C$2:$C$1001,"Confirmed")=0,"Unconfirmed","Confirmed"),"Logged")))</f>
        <v/>
      </c>
      <c r="L770" s="29" t="str">
        <f aca="false">IF($A770="","",AsOf-$B770)</f>
        <v/>
      </c>
      <c r="M770" s="29" t="str">
        <f aca="false">IF($K770="Open",IF($C770="Conflict","Critical",IF($L770&gt;=DecisionCritical,"Critical",IF($L770&gt;=DecisionWarn,"Warning","On track"))),IF($K770="Unconfirmed",IF($L770&gt;=UnconfirmedWarn,"Warning","On track"),""))</f>
        <v/>
      </c>
      <c r="N770" s="29" t="str">
        <f aca="false">IF($M770="","",IF($M770="Critical",3000,IF($M770="Warning",2000,1000))+$L770+ROW()/100000)</f>
        <v/>
      </c>
      <c r="O770" s="29" t="str">
        <f aca="false">IF($K770="Open",IF($C770="Conflict","decide "&amp;$A770&amp;": &lt;which version stands&gt;","decide "&amp;$A770&amp;": &lt;outcome&gt;"),IF($K770="Unconfirmed","confirm "&amp;$A770,""))</f>
        <v/>
      </c>
    </row>
    <row r="771" customFormat="false" ht="15" hidden="false" customHeight="false" outlineLevel="0" collapsed="false">
      <c r="A771" s="24"/>
      <c r="B771" s="27"/>
      <c r="C771" s="28"/>
      <c r="D771" s="24"/>
      <c r="E771" s="24"/>
      <c r="F771" s="24"/>
      <c r="G771" s="28"/>
      <c r="H771" s="28"/>
      <c r="I771" s="24"/>
      <c r="J771" s="24"/>
      <c r="K771" s="29" t="str">
        <f aca="false">IF($A771="","",IF(OR($C771="Decision",$C771="Conflict"),IF(COUNTIFS($I$2:$I$1001,$A771,$C$2:$C$1001,"Resolved")=0,"Open","Closed"),IF(AND($H771="Unconfirmed",OR($C771="New",$C771="Know")),IF(COUNTIFS($I$2:$I$1001,$A771,$C$2:$C$1001,"Confirmed")=0,"Unconfirmed","Confirmed"),"Logged")))</f>
        <v/>
      </c>
      <c r="L771" s="29" t="str">
        <f aca="false">IF($A771="","",AsOf-$B771)</f>
        <v/>
      </c>
      <c r="M771" s="29" t="str">
        <f aca="false">IF($K771="Open",IF($C771="Conflict","Critical",IF($L771&gt;=DecisionCritical,"Critical",IF($L771&gt;=DecisionWarn,"Warning","On track"))),IF($K771="Unconfirmed",IF($L771&gt;=UnconfirmedWarn,"Warning","On track"),""))</f>
        <v/>
      </c>
      <c r="N771" s="29" t="str">
        <f aca="false">IF($M771="","",IF($M771="Critical",3000,IF($M771="Warning",2000,1000))+$L771+ROW()/100000)</f>
        <v/>
      </c>
      <c r="O771" s="29" t="str">
        <f aca="false">IF($K771="Open",IF($C771="Conflict","decide "&amp;$A771&amp;": &lt;which version stands&gt;","decide "&amp;$A771&amp;": &lt;outcome&gt;"),IF($K771="Unconfirmed","confirm "&amp;$A771,""))</f>
        <v/>
      </c>
    </row>
    <row r="772" customFormat="false" ht="15" hidden="false" customHeight="false" outlineLevel="0" collapsed="false">
      <c r="A772" s="24"/>
      <c r="B772" s="27"/>
      <c r="C772" s="28"/>
      <c r="D772" s="24"/>
      <c r="E772" s="24"/>
      <c r="F772" s="24"/>
      <c r="G772" s="28"/>
      <c r="H772" s="28"/>
      <c r="I772" s="24"/>
      <c r="J772" s="24"/>
      <c r="K772" s="29" t="str">
        <f aca="false">IF($A772="","",IF(OR($C772="Decision",$C772="Conflict"),IF(COUNTIFS($I$2:$I$1001,$A772,$C$2:$C$1001,"Resolved")=0,"Open","Closed"),IF(AND($H772="Unconfirmed",OR($C772="New",$C772="Know")),IF(COUNTIFS($I$2:$I$1001,$A772,$C$2:$C$1001,"Confirmed")=0,"Unconfirmed","Confirmed"),"Logged")))</f>
        <v/>
      </c>
      <c r="L772" s="29" t="str">
        <f aca="false">IF($A772="","",AsOf-$B772)</f>
        <v/>
      </c>
      <c r="M772" s="29" t="str">
        <f aca="false">IF($K772="Open",IF($C772="Conflict","Critical",IF($L772&gt;=DecisionCritical,"Critical",IF($L772&gt;=DecisionWarn,"Warning","On track"))),IF($K772="Unconfirmed",IF($L772&gt;=UnconfirmedWarn,"Warning","On track"),""))</f>
        <v/>
      </c>
      <c r="N772" s="29" t="str">
        <f aca="false">IF($M772="","",IF($M772="Critical",3000,IF($M772="Warning",2000,1000))+$L772+ROW()/100000)</f>
        <v/>
      </c>
      <c r="O772" s="29" t="str">
        <f aca="false">IF($K772="Open",IF($C772="Conflict","decide "&amp;$A772&amp;": &lt;which version stands&gt;","decide "&amp;$A772&amp;": &lt;outcome&gt;"),IF($K772="Unconfirmed","confirm "&amp;$A772,""))</f>
        <v/>
      </c>
    </row>
    <row r="773" customFormat="false" ht="15" hidden="false" customHeight="false" outlineLevel="0" collapsed="false">
      <c r="A773" s="24"/>
      <c r="B773" s="27"/>
      <c r="C773" s="28"/>
      <c r="D773" s="24"/>
      <c r="E773" s="24"/>
      <c r="F773" s="24"/>
      <c r="G773" s="28"/>
      <c r="H773" s="28"/>
      <c r="I773" s="24"/>
      <c r="J773" s="24"/>
      <c r="K773" s="29" t="str">
        <f aca="false">IF($A773="","",IF(OR($C773="Decision",$C773="Conflict"),IF(COUNTIFS($I$2:$I$1001,$A773,$C$2:$C$1001,"Resolved")=0,"Open","Closed"),IF(AND($H773="Unconfirmed",OR($C773="New",$C773="Know")),IF(COUNTIFS($I$2:$I$1001,$A773,$C$2:$C$1001,"Confirmed")=0,"Unconfirmed","Confirmed"),"Logged")))</f>
        <v/>
      </c>
      <c r="L773" s="29" t="str">
        <f aca="false">IF($A773="","",AsOf-$B773)</f>
        <v/>
      </c>
      <c r="M773" s="29" t="str">
        <f aca="false">IF($K773="Open",IF($C773="Conflict","Critical",IF($L773&gt;=DecisionCritical,"Critical",IF($L773&gt;=DecisionWarn,"Warning","On track"))),IF($K773="Unconfirmed",IF($L773&gt;=UnconfirmedWarn,"Warning","On track"),""))</f>
        <v/>
      </c>
      <c r="N773" s="29" t="str">
        <f aca="false">IF($M773="","",IF($M773="Critical",3000,IF($M773="Warning",2000,1000))+$L773+ROW()/100000)</f>
        <v/>
      </c>
      <c r="O773" s="29" t="str">
        <f aca="false">IF($K773="Open",IF($C773="Conflict","decide "&amp;$A773&amp;": &lt;which version stands&gt;","decide "&amp;$A773&amp;": &lt;outcome&gt;"),IF($K773="Unconfirmed","confirm "&amp;$A773,""))</f>
        <v/>
      </c>
    </row>
    <row r="774" customFormat="false" ht="15" hidden="false" customHeight="false" outlineLevel="0" collapsed="false">
      <c r="A774" s="24"/>
      <c r="B774" s="27"/>
      <c r="C774" s="28"/>
      <c r="D774" s="24"/>
      <c r="E774" s="24"/>
      <c r="F774" s="24"/>
      <c r="G774" s="28"/>
      <c r="H774" s="28"/>
      <c r="I774" s="24"/>
      <c r="J774" s="24"/>
      <c r="K774" s="29" t="str">
        <f aca="false">IF($A774="","",IF(OR($C774="Decision",$C774="Conflict"),IF(COUNTIFS($I$2:$I$1001,$A774,$C$2:$C$1001,"Resolved")=0,"Open","Closed"),IF(AND($H774="Unconfirmed",OR($C774="New",$C774="Know")),IF(COUNTIFS($I$2:$I$1001,$A774,$C$2:$C$1001,"Confirmed")=0,"Unconfirmed","Confirmed"),"Logged")))</f>
        <v/>
      </c>
      <c r="L774" s="29" t="str">
        <f aca="false">IF($A774="","",AsOf-$B774)</f>
        <v/>
      </c>
      <c r="M774" s="29" t="str">
        <f aca="false">IF($K774="Open",IF($C774="Conflict","Critical",IF($L774&gt;=DecisionCritical,"Critical",IF($L774&gt;=DecisionWarn,"Warning","On track"))),IF($K774="Unconfirmed",IF($L774&gt;=UnconfirmedWarn,"Warning","On track"),""))</f>
        <v/>
      </c>
      <c r="N774" s="29" t="str">
        <f aca="false">IF($M774="","",IF($M774="Critical",3000,IF($M774="Warning",2000,1000))+$L774+ROW()/100000)</f>
        <v/>
      </c>
      <c r="O774" s="29" t="str">
        <f aca="false">IF($K774="Open",IF($C774="Conflict","decide "&amp;$A774&amp;": &lt;which version stands&gt;","decide "&amp;$A774&amp;": &lt;outcome&gt;"),IF($K774="Unconfirmed","confirm "&amp;$A774,""))</f>
        <v/>
      </c>
    </row>
    <row r="775" customFormat="false" ht="15" hidden="false" customHeight="false" outlineLevel="0" collapsed="false">
      <c r="A775" s="24"/>
      <c r="B775" s="27"/>
      <c r="C775" s="28"/>
      <c r="D775" s="24"/>
      <c r="E775" s="24"/>
      <c r="F775" s="24"/>
      <c r="G775" s="28"/>
      <c r="H775" s="28"/>
      <c r="I775" s="24"/>
      <c r="J775" s="24"/>
      <c r="K775" s="29" t="str">
        <f aca="false">IF($A775="","",IF(OR($C775="Decision",$C775="Conflict"),IF(COUNTIFS($I$2:$I$1001,$A775,$C$2:$C$1001,"Resolved")=0,"Open","Closed"),IF(AND($H775="Unconfirmed",OR($C775="New",$C775="Know")),IF(COUNTIFS($I$2:$I$1001,$A775,$C$2:$C$1001,"Confirmed")=0,"Unconfirmed","Confirmed"),"Logged")))</f>
        <v/>
      </c>
      <c r="L775" s="29" t="str">
        <f aca="false">IF($A775="","",AsOf-$B775)</f>
        <v/>
      </c>
      <c r="M775" s="29" t="str">
        <f aca="false">IF($K775="Open",IF($C775="Conflict","Critical",IF($L775&gt;=DecisionCritical,"Critical",IF($L775&gt;=DecisionWarn,"Warning","On track"))),IF($K775="Unconfirmed",IF($L775&gt;=UnconfirmedWarn,"Warning","On track"),""))</f>
        <v/>
      </c>
      <c r="N775" s="29" t="str">
        <f aca="false">IF($M775="","",IF($M775="Critical",3000,IF($M775="Warning",2000,1000))+$L775+ROW()/100000)</f>
        <v/>
      </c>
      <c r="O775" s="29" t="str">
        <f aca="false">IF($K775="Open",IF($C775="Conflict","decide "&amp;$A775&amp;": &lt;which version stands&gt;","decide "&amp;$A775&amp;": &lt;outcome&gt;"),IF($K775="Unconfirmed","confirm "&amp;$A775,""))</f>
        <v/>
      </c>
    </row>
    <row r="776" customFormat="false" ht="15" hidden="false" customHeight="false" outlineLevel="0" collapsed="false">
      <c r="A776" s="24"/>
      <c r="B776" s="27"/>
      <c r="C776" s="28"/>
      <c r="D776" s="24"/>
      <c r="E776" s="24"/>
      <c r="F776" s="24"/>
      <c r="G776" s="28"/>
      <c r="H776" s="28"/>
      <c r="I776" s="24"/>
      <c r="J776" s="24"/>
      <c r="K776" s="29" t="str">
        <f aca="false">IF($A776="","",IF(OR($C776="Decision",$C776="Conflict"),IF(COUNTIFS($I$2:$I$1001,$A776,$C$2:$C$1001,"Resolved")=0,"Open","Closed"),IF(AND($H776="Unconfirmed",OR($C776="New",$C776="Know")),IF(COUNTIFS($I$2:$I$1001,$A776,$C$2:$C$1001,"Confirmed")=0,"Unconfirmed","Confirmed"),"Logged")))</f>
        <v/>
      </c>
      <c r="L776" s="29" t="str">
        <f aca="false">IF($A776="","",AsOf-$B776)</f>
        <v/>
      </c>
      <c r="M776" s="29" t="str">
        <f aca="false">IF($K776="Open",IF($C776="Conflict","Critical",IF($L776&gt;=DecisionCritical,"Critical",IF($L776&gt;=DecisionWarn,"Warning","On track"))),IF($K776="Unconfirmed",IF($L776&gt;=UnconfirmedWarn,"Warning","On track"),""))</f>
        <v/>
      </c>
      <c r="N776" s="29" t="str">
        <f aca="false">IF($M776="","",IF($M776="Critical",3000,IF($M776="Warning",2000,1000))+$L776+ROW()/100000)</f>
        <v/>
      </c>
      <c r="O776" s="29" t="str">
        <f aca="false">IF($K776="Open",IF($C776="Conflict","decide "&amp;$A776&amp;": &lt;which version stands&gt;","decide "&amp;$A776&amp;": &lt;outcome&gt;"),IF($K776="Unconfirmed","confirm "&amp;$A776,""))</f>
        <v/>
      </c>
    </row>
    <row r="777" customFormat="false" ht="15" hidden="false" customHeight="false" outlineLevel="0" collapsed="false">
      <c r="A777" s="24"/>
      <c r="B777" s="27"/>
      <c r="C777" s="28"/>
      <c r="D777" s="24"/>
      <c r="E777" s="24"/>
      <c r="F777" s="24"/>
      <c r="G777" s="28"/>
      <c r="H777" s="28"/>
      <c r="I777" s="24"/>
      <c r="J777" s="24"/>
      <c r="K777" s="29" t="str">
        <f aca="false">IF($A777="","",IF(OR($C777="Decision",$C777="Conflict"),IF(COUNTIFS($I$2:$I$1001,$A777,$C$2:$C$1001,"Resolved")=0,"Open","Closed"),IF(AND($H777="Unconfirmed",OR($C777="New",$C777="Know")),IF(COUNTIFS($I$2:$I$1001,$A777,$C$2:$C$1001,"Confirmed")=0,"Unconfirmed","Confirmed"),"Logged")))</f>
        <v/>
      </c>
      <c r="L777" s="29" t="str">
        <f aca="false">IF($A777="","",AsOf-$B777)</f>
        <v/>
      </c>
      <c r="M777" s="29" t="str">
        <f aca="false">IF($K777="Open",IF($C777="Conflict","Critical",IF($L777&gt;=DecisionCritical,"Critical",IF($L777&gt;=DecisionWarn,"Warning","On track"))),IF($K777="Unconfirmed",IF($L777&gt;=UnconfirmedWarn,"Warning","On track"),""))</f>
        <v/>
      </c>
      <c r="N777" s="29" t="str">
        <f aca="false">IF($M777="","",IF($M777="Critical",3000,IF($M777="Warning",2000,1000))+$L777+ROW()/100000)</f>
        <v/>
      </c>
      <c r="O777" s="29" t="str">
        <f aca="false">IF($K777="Open",IF($C777="Conflict","decide "&amp;$A777&amp;": &lt;which version stands&gt;","decide "&amp;$A777&amp;": &lt;outcome&gt;"),IF($K777="Unconfirmed","confirm "&amp;$A777,""))</f>
        <v/>
      </c>
    </row>
    <row r="778" customFormat="false" ht="15" hidden="false" customHeight="false" outlineLevel="0" collapsed="false">
      <c r="A778" s="24"/>
      <c r="B778" s="27"/>
      <c r="C778" s="28"/>
      <c r="D778" s="24"/>
      <c r="E778" s="24"/>
      <c r="F778" s="24"/>
      <c r="G778" s="28"/>
      <c r="H778" s="28"/>
      <c r="I778" s="24"/>
      <c r="J778" s="24"/>
      <c r="K778" s="29" t="str">
        <f aca="false">IF($A778="","",IF(OR($C778="Decision",$C778="Conflict"),IF(COUNTIFS($I$2:$I$1001,$A778,$C$2:$C$1001,"Resolved")=0,"Open","Closed"),IF(AND($H778="Unconfirmed",OR($C778="New",$C778="Know")),IF(COUNTIFS($I$2:$I$1001,$A778,$C$2:$C$1001,"Confirmed")=0,"Unconfirmed","Confirmed"),"Logged")))</f>
        <v/>
      </c>
      <c r="L778" s="29" t="str">
        <f aca="false">IF($A778="","",AsOf-$B778)</f>
        <v/>
      </c>
      <c r="M778" s="29" t="str">
        <f aca="false">IF($K778="Open",IF($C778="Conflict","Critical",IF($L778&gt;=DecisionCritical,"Critical",IF($L778&gt;=DecisionWarn,"Warning","On track"))),IF($K778="Unconfirmed",IF($L778&gt;=UnconfirmedWarn,"Warning","On track"),""))</f>
        <v/>
      </c>
      <c r="N778" s="29" t="str">
        <f aca="false">IF($M778="","",IF($M778="Critical",3000,IF($M778="Warning",2000,1000))+$L778+ROW()/100000)</f>
        <v/>
      </c>
      <c r="O778" s="29" t="str">
        <f aca="false">IF($K778="Open",IF($C778="Conflict","decide "&amp;$A778&amp;": &lt;which version stands&gt;","decide "&amp;$A778&amp;": &lt;outcome&gt;"),IF($K778="Unconfirmed","confirm "&amp;$A778,""))</f>
        <v/>
      </c>
    </row>
    <row r="779" customFormat="false" ht="15" hidden="false" customHeight="false" outlineLevel="0" collapsed="false">
      <c r="A779" s="24"/>
      <c r="B779" s="27"/>
      <c r="C779" s="28"/>
      <c r="D779" s="24"/>
      <c r="E779" s="24"/>
      <c r="F779" s="24"/>
      <c r="G779" s="28"/>
      <c r="H779" s="28"/>
      <c r="I779" s="24"/>
      <c r="J779" s="24"/>
      <c r="K779" s="29" t="str">
        <f aca="false">IF($A779="","",IF(OR($C779="Decision",$C779="Conflict"),IF(COUNTIFS($I$2:$I$1001,$A779,$C$2:$C$1001,"Resolved")=0,"Open","Closed"),IF(AND($H779="Unconfirmed",OR($C779="New",$C779="Know")),IF(COUNTIFS($I$2:$I$1001,$A779,$C$2:$C$1001,"Confirmed")=0,"Unconfirmed","Confirmed"),"Logged")))</f>
        <v/>
      </c>
      <c r="L779" s="29" t="str">
        <f aca="false">IF($A779="","",AsOf-$B779)</f>
        <v/>
      </c>
      <c r="M779" s="29" t="str">
        <f aca="false">IF($K779="Open",IF($C779="Conflict","Critical",IF($L779&gt;=DecisionCritical,"Critical",IF($L779&gt;=DecisionWarn,"Warning","On track"))),IF($K779="Unconfirmed",IF($L779&gt;=UnconfirmedWarn,"Warning","On track"),""))</f>
        <v/>
      </c>
      <c r="N779" s="29" t="str">
        <f aca="false">IF($M779="","",IF($M779="Critical",3000,IF($M779="Warning",2000,1000))+$L779+ROW()/100000)</f>
        <v/>
      </c>
      <c r="O779" s="29" t="str">
        <f aca="false">IF($K779="Open",IF($C779="Conflict","decide "&amp;$A779&amp;": &lt;which version stands&gt;","decide "&amp;$A779&amp;": &lt;outcome&gt;"),IF($K779="Unconfirmed","confirm "&amp;$A779,""))</f>
        <v/>
      </c>
    </row>
    <row r="780" customFormat="false" ht="15" hidden="false" customHeight="false" outlineLevel="0" collapsed="false">
      <c r="A780" s="24"/>
      <c r="B780" s="27"/>
      <c r="C780" s="28"/>
      <c r="D780" s="24"/>
      <c r="E780" s="24"/>
      <c r="F780" s="24"/>
      <c r="G780" s="28"/>
      <c r="H780" s="28"/>
      <c r="I780" s="24"/>
      <c r="J780" s="24"/>
      <c r="K780" s="29" t="str">
        <f aca="false">IF($A780="","",IF(OR($C780="Decision",$C780="Conflict"),IF(COUNTIFS($I$2:$I$1001,$A780,$C$2:$C$1001,"Resolved")=0,"Open","Closed"),IF(AND($H780="Unconfirmed",OR($C780="New",$C780="Know")),IF(COUNTIFS($I$2:$I$1001,$A780,$C$2:$C$1001,"Confirmed")=0,"Unconfirmed","Confirmed"),"Logged")))</f>
        <v/>
      </c>
      <c r="L780" s="29" t="str">
        <f aca="false">IF($A780="","",AsOf-$B780)</f>
        <v/>
      </c>
      <c r="M780" s="29" t="str">
        <f aca="false">IF($K780="Open",IF($C780="Conflict","Critical",IF($L780&gt;=DecisionCritical,"Critical",IF($L780&gt;=DecisionWarn,"Warning","On track"))),IF($K780="Unconfirmed",IF($L780&gt;=UnconfirmedWarn,"Warning","On track"),""))</f>
        <v/>
      </c>
      <c r="N780" s="29" t="str">
        <f aca="false">IF($M780="","",IF($M780="Critical",3000,IF($M780="Warning",2000,1000))+$L780+ROW()/100000)</f>
        <v/>
      </c>
      <c r="O780" s="29" t="str">
        <f aca="false">IF($K780="Open",IF($C780="Conflict","decide "&amp;$A780&amp;": &lt;which version stands&gt;","decide "&amp;$A780&amp;": &lt;outcome&gt;"),IF($K780="Unconfirmed","confirm "&amp;$A780,""))</f>
        <v/>
      </c>
    </row>
    <row r="781" customFormat="false" ht="15" hidden="false" customHeight="false" outlineLevel="0" collapsed="false">
      <c r="A781" s="24"/>
      <c r="B781" s="27"/>
      <c r="C781" s="28"/>
      <c r="D781" s="24"/>
      <c r="E781" s="24"/>
      <c r="F781" s="24"/>
      <c r="G781" s="28"/>
      <c r="H781" s="28"/>
      <c r="I781" s="24"/>
      <c r="J781" s="24"/>
      <c r="K781" s="29" t="str">
        <f aca="false">IF($A781="","",IF(OR($C781="Decision",$C781="Conflict"),IF(COUNTIFS($I$2:$I$1001,$A781,$C$2:$C$1001,"Resolved")=0,"Open","Closed"),IF(AND($H781="Unconfirmed",OR($C781="New",$C781="Know")),IF(COUNTIFS($I$2:$I$1001,$A781,$C$2:$C$1001,"Confirmed")=0,"Unconfirmed","Confirmed"),"Logged")))</f>
        <v/>
      </c>
      <c r="L781" s="29" t="str">
        <f aca="false">IF($A781="","",AsOf-$B781)</f>
        <v/>
      </c>
      <c r="M781" s="29" t="str">
        <f aca="false">IF($K781="Open",IF($C781="Conflict","Critical",IF($L781&gt;=DecisionCritical,"Critical",IF($L781&gt;=DecisionWarn,"Warning","On track"))),IF($K781="Unconfirmed",IF($L781&gt;=UnconfirmedWarn,"Warning","On track"),""))</f>
        <v/>
      </c>
      <c r="N781" s="29" t="str">
        <f aca="false">IF($M781="","",IF($M781="Critical",3000,IF($M781="Warning",2000,1000))+$L781+ROW()/100000)</f>
        <v/>
      </c>
      <c r="O781" s="29" t="str">
        <f aca="false">IF($K781="Open",IF($C781="Conflict","decide "&amp;$A781&amp;": &lt;which version stands&gt;","decide "&amp;$A781&amp;": &lt;outcome&gt;"),IF($K781="Unconfirmed","confirm "&amp;$A781,""))</f>
        <v/>
      </c>
    </row>
    <row r="782" customFormat="false" ht="15" hidden="false" customHeight="false" outlineLevel="0" collapsed="false">
      <c r="A782" s="24"/>
      <c r="B782" s="27"/>
      <c r="C782" s="28"/>
      <c r="D782" s="24"/>
      <c r="E782" s="24"/>
      <c r="F782" s="24"/>
      <c r="G782" s="28"/>
      <c r="H782" s="28"/>
      <c r="I782" s="24"/>
      <c r="J782" s="24"/>
      <c r="K782" s="29" t="str">
        <f aca="false">IF($A782="","",IF(OR($C782="Decision",$C782="Conflict"),IF(COUNTIFS($I$2:$I$1001,$A782,$C$2:$C$1001,"Resolved")=0,"Open","Closed"),IF(AND($H782="Unconfirmed",OR($C782="New",$C782="Know")),IF(COUNTIFS($I$2:$I$1001,$A782,$C$2:$C$1001,"Confirmed")=0,"Unconfirmed","Confirmed"),"Logged")))</f>
        <v/>
      </c>
      <c r="L782" s="29" t="str">
        <f aca="false">IF($A782="","",AsOf-$B782)</f>
        <v/>
      </c>
      <c r="M782" s="29" t="str">
        <f aca="false">IF($K782="Open",IF($C782="Conflict","Critical",IF($L782&gt;=DecisionCritical,"Critical",IF($L782&gt;=DecisionWarn,"Warning","On track"))),IF($K782="Unconfirmed",IF($L782&gt;=UnconfirmedWarn,"Warning","On track"),""))</f>
        <v/>
      </c>
      <c r="N782" s="29" t="str">
        <f aca="false">IF($M782="","",IF($M782="Critical",3000,IF($M782="Warning",2000,1000))+$L782+ROW()/100000)</f>
        <v/>
      </c>
      <c r="O782" s="29" t="str">
        <f aca="false">IF($K782="Open",IF($C782="Conflict","decide "&amp;$A782&amp;": &lt;which version stands&gt;","decide "&amp;$A782&amp;": &lt;outcome&gt;"),IF($K782="Unconfirmed","confirm "&amp;$A782,""))</f>
        <v/>
      </c>
    </row>
    <row r="783" customFormat="false" ht="15" hidden="false" customHeight="false" outlineLevel="0" collapsed="false">
      <c r="A783" s="24"/>
      <c r="B783" s="27"/>
      <c r="C783" s="28"/>
      <c r="D783" s="24"/>
      <c r="E783" s="24"/>
      <c r="F783" s="24"/>
      <c r="G783" s="28"/>
      <c r="H783" s="28"/>
      <c r="I783" s="24"/>
      <c r="J783" s="24"/>
      <c r="K783" s="29" t="str">
        <f aca="false">IF($A783="","",IF(OR($C783="Decision",$C783="Conflict"),IF(COUNTIFS($I$2:$I$1001,$A783,$C$2:$C$1001,"Resolved")=0,"Open","Closed"),IF(AND($H783="Unconfirmed",OR($C783="New",$C783="Know")),IF(COUNTIFS($I$2:$I$1001,$A783,$C$2:$C$1001,"Confirmed")=0,"Unconfirmed","Confirmed"),"Logged")))</f>
        <v/>
      </c>
      <c r="L783" s="29" t="str">
        <f aca="false">IF($A783="","",AsOf-$B783)</f>
        <v/>
      </c>
      <c r="M783" s="29" t="str">
        <f aca="false">IF($K783="Open",IF($C783="Conflict","Critical",IF($L783&gt;=DecisionCritical,"Critical",IF($L783&gt;=DecisionWarn,"Warning","On track"))),IF($K783="Unconfirmed",IF($L783&gt;=UnconfirmedWarn,"Warning","On track"),""))</f>
        <v/>
      </c>
      <c r="N783" s="29" t="str">
        <f aca="false">IF($M783="","",IF($M783="Critical",3000,IF($M783="Warning",2000,1000))+$L783+ROW()/100000)</f>
        <v/>
      </c>
      <c r="O783" s="29" t="str">
        <f aca="false">IF($K783="Open",IF($C783="Conflict","decide "&amp;$A783&amp;": &lt;which version stands&gt;","decide "&amp;$A783&amp;": &lt;outcome&gt;"),IF($K783="Unconfirmed","confirm "&amp;$A783,""))</f>
        <v/>
      </c>
    </row>
    <row r="784" customFormat="false" ht="15" hidden="false" customHeight="false" outlineLevel="0" collapsed="false">
      <c r="A784" s="24"/>
      <c r="B784" s="27"/>
      <c r="C784" s="28"/>
      <c r="D784" s="24"/>
      <c r="E784" s="24"/>
      <c r="F784" s="24"/>
      <c r="G784" s="28"/>
      <c r="H784" s="28"/>
      <c r="I784" s="24"/>
      <c r="J784" s="24"/>
      <c r="K784" s="29" t="str">
        <f aca="false">IF($A784="","",IF(OR($C784="Decision",$C784="Conflict"),IF(COUNTIFS($I$2:$I$1001,$A784,$C$2:$C$1001,"Resolved")=0,"Open","Closed"),IF(AND($H784="Unconfirmed",OR($C784="New",$C784="Know")),IF(COUNTIFS($I$2:$I$1001,$A784,$C$2:$C$1001,"Confirmed")=0,"Unconfirmed","Confirmed"),"Logged")))</f>
        <v/>
      </c>
      <c r="L784" s="29" t="str">
        <f aca="false">IF($A784="","",AsOf-$B784)</f>
        <v/>
      </c>
      <c r="M784" s="29" t="str">
        <f aca="false">IF($K784="Open",IF($C784="Conflict","Critical",IF($L784&gt;=DecisionCritical,"Critical",IF($L784&gt;=DecisionWarn,"Warning","On track"))),IF($K784="Unconfirmed",IF($L784&gt;=UnconfirmedWarn,"Warning","On track"),""))</f>
        <v/>
      </c>
      <c r="N784" s="29" t="str">
        <f aca="false">IF($M784="","",IF($M784="Critical",3000,IF($M784="Warning",2000,1000))+$L784+ROW()/100000)</f>
        <v/>
      </c>
      <c r="O784" s="29" t="str">
        <f aca="false">IF($K784="Open",IF($C784="Conflict","decide "&amp;$A784&amp;": &lt;which version stands&gt;","decide "&amp;$A784&amp;": &lt;outcome&gt;"),IF($K784="Unconfirmed","confirm "&amp;$A784,""))</f>
        <v/>
      </c>
    </row>
    <row r="785" customFormat="false" ht="15" hidden="false" customHeight="false" outlineLevel="0" collapsed="false">
      <c r="A785" s="24"/>
      <c r="B785" s="27"/>
      <c r="C785" s="28"/>
      <c r="D785" s="24"/>
      <c r="E785" s="24"/>
      <c r="F785" s="24"/>
      <c r="G785" s="28"/>
      <c r="H785" s="28"/>
      <c r="I785" s="24"/>
      <c r="J785" s="24"/>
      <c r="K785" s="29" t="str">
        <f aca="false">IF($A785="","",IF(OR($C785="Decision",$C785="Conflict"),IF(COUNTIFS($I$2:$I$1001,$A785,$C$2:$C$1001,"Resolved")=0,"Open","Closed"),IF(AND($H785="Unconfirmed",OR($C785="New",$C785="Know")),IF(COUNTIFS($I$2:$I$1001,$A785,$C$2:$C$1001,"Confirmed")=0,"Unconfirmed","Confirmed"),"Logged")))</f>
        <v/>
      </c>
      <c r="L785" s="29" t="str">
        <f aca="false">IF($A785="","",AsOf-$B785)</f>
        <v/>
      </c>
      <c r="M785" s="29" t="str">
        <f aca="false">IF($K785="Open",IF($C785="Conflict","Critical",IF($L785&gt;=DecisionCritical,"Critical",IF($L785&gt;=DecisionWarn,"Warning","On track"))),IF($K785="Unconfirmed",IF($L785&gt;=UnconfirmedWarn,"Warning","On track"),""))</f>
        <v/>
      </c>
      <c r="N785" s="29" t="str">
        <f aca="false">IF($M785="","",IF($M785="Critical",3000,IF($M785="Warning",2000,1000))+$L785+ROW()/100000)</f>
        <v/>
      </c>
      <c r="O785" s="29" t="str">
        <f aca="false">IF($K785="Open",IF($C785="Conflict","decide "&amp;$A785&amp;": &lt;which version stands&gt;","decide "&amp;$A785&amp;": &lt;outcome&gt;"),IF($K785="Unconfirmed","confirm "&amp;$A785,""))</f>
        <v/>
      </c>
    </row>
    <row r="786" customFormat="false" ht="15" hidden="false" customHeight="false" outlineLevel="0" collapsed="false">
      <c r="A786" s="24"/>
      <c r="B786" s="27"/>
      <c r="C786" s="28"/>
      <c r="D786" s="24"/>
      <c r="E786" s="24"/>
      <c r="F786" s="24"/>
      <c r="G786" s="28"/>
      <c r="H786" s="28"/>
      <c r="I786" s="24"/>
      <c r="J786" s="24"/>
      <c r="K786" s="29" t="str">
        <f aca="false">IF($A786="","",IF(OR($C786="Decision",$C786="Conflict"),IF(COUNTIFS($I$2:$I$1001,$A786,$C$2:$C$1001,"Resolved")=0,"Open","Closed"),IF(AND($H786="Unconfirmed",OR($C786="New",$C786="Know")),IF(COUNTIFS($I$2:$I$1001,$A786,$C$2:$C$1001,"Confirmed")=0,"Unconfirmed","Confirmed"),"Logged")))</f>
        <v/>
      </c>
      <c r="L786" s="29" t="str">
        <f aca="false">IF($A786="","",AsOf-$B786)</f>
        <v/>
      </c>
      <c r="M786" s="29" t="str">
        <f aca="false">IF($K786="Open",IF($C786="Conflict","Critical",IF($L786&gt;=DecisionCritical,"Critical",IF($L786&gt;=DecisionWarn,"Warning","On track"))),IF($K786="Unconfirmed",IF($L786&gt;=UnconfirmedWarn,"Warning","On track"),""))</f>
        <v/>
      </c>
      <c r="N786" s="29" t="str">
        <f aca="false">IF($M786="","",IF($M786="Critical",3000,IF($M786="Warning",2000,1000))+$L786+ROW()/100000)</f>
        <v/>
      </c>
      <c r="O786" s="29" t="str">
        <f aca="false">IF($K786="Open",IF($C786="Conflict","decide "&amp;$A786&amp;": &lt;which version stands&gt;","decide "&amp;$A786&amp;": &lt;outcome&gt;"),IF($K786="Unconfirmed","confirm "&amp;$A786,""))</f>
        <v/>
      </c>
    </row>
    <row r="787" customFormat="false" ht="15" hidden="false" customHeight="false" outlineLevel="0" collapsed="false">
      <c r="A787" s="24"/>
      <c r="B787" s="27"/>
      <c r="C787" s="28"/>
      <c r="D787" s="24"/>
      <c r="E787" s="24"/>
      <c r="F787" s="24"/>
      <c r="G787" s="28"/>
      <c r="H787" s="28"/>
      <c r="I787" s="24"/>
      <c r="J787" s="24"/>
      <c r="K787" s="29" t="str">
        <f aca="false">IF($A787="","",IF(OR($C787="Decision",$C787="Conflict"),IF(COUNTIFS($I$2:$I$1001,$A787,$C$2:$C$1001,"Resolved")=0,"Open","Closed"),IF(AND($H787="Unconfirmed",OR($C787="New",$C787="Know")),IF(COUNTIFS($I$2:$I$1001,$A787,$C$2:$C$1001,"Confirmed")=0,"Unconfirmed","Confirmed"),"Logged")))</f>
        <v/>
      </c>
      <c r="L787" s="29" t="str">
        <f aca="false">IF($A787="","",AsOf-$B787)</f>
        <v/>
      </c>
      <c r="M787" s="29" t="str">
        <f aca="false">IF($K787="Open",IF($C787="Conflict","Critical",IF($L787&gt;=DecisionCritical,"Critical",IF($L787&gt;=DecisionWarn,"Warning","On track"))),IF($K787="Unconfirmed",IF($L787&gt;=UnconfirmedWarn,"Warning","On track"),""))</f>
        <v/>
      </c>
      <c r="N787" s="29" t="str">
        <f aca="false">IF($M787="","",IF($M787="Critical",3000,IF($M787="Warning",2000,1000))+$L787+ROW()/100000)</f>
        <v/>
      </c>
      <c r="O787" s="29" t="str">
        <f aca="false">IF($K787="Open",IF($C787="Conflict","decide "&amp;$A787&amp;": &lt;which version stands&gt;","decide "&amp;$A787&amp;": &lt;outcome&gt;"),IF($K787="Unconfirmed","confirm "&amp;$A787,""))</f>
        <v/>
      </c>
    </row>
    <row r="788" customFormat="false" ht="15" hidden="false" customHeight="false" outlineLevel="0" collapsed="false">
      <c r="A788" s="24"/>
      <c r="B788" s="27"/>
      <c r="C788" s="28"/>
      <c r="D788" s="24"/>
      <c r="E788" s="24"/>
      <c r="F788" s="24"/>
      <c r="G788" s="28"/>
      <c r="H788" s="28"/>
      <c r="I788" s="24"/>
      <c r="J788" s="24"/>
      <c r="K788" s="29" t="str">
        <f aca="false">IF($A788="","",IF(OR($C788="Decision",$C788="Conflict"),IF(COUNTIFS($I$2:$I$1001,$A788,$C$2:$C$1001,"Resolved")=0,"Open","Closed"),IF(AND($H788="Unconfirmed",OR($C788="New",$C788="Know")),IF(COUNTIFS($I$2:$I$1001,$A788,$C$2:$C$1001,"Confirmed")=0,"Unconfirmed","Confirmed"),"Logged")))</f>
        <v/>
      </c>
      <c r="L788" s="29" t="str">
        <f aca="false">IF($A788="","",AsOf-$B788)</f>
        <v/>
      </c>
      <c r="M788" s="29" t="str">
        <f aca="false">IF($K788="Open",IF($C788="Conflict","Critical",IF($L788&gt;=DecisionCritical,"Critical",IF($L788&gt;=DecisionWarn,"Warning","On track"))),IF($K788="Unconfirmed",IF($L788&gt;=UnconfirmedWarn,"Warning","On track"),""))</f>
        <v/>
      </c>
      <c r="N788" s="29" t="str">
        <f aca="false">IF($M788="","",IF($M788="Critical",3000,IF($M788="Warning",2000,1000))+$L788+ROW()/100000)</f>
        <v/>
      </c>
      <c r="O788" s="29" t="str">
        <f aca="false">IF($K788="Open",IF($C788="Conflict","decide "&amp;$A788&amp;": &lt;which version stands&gt;","decide "&amp;$A788&amp;": &lt;outcome&gt;"),IF($K788="Unconfirmed","confirm "&amp;$A788,""))</f>
        <v/>
      </c>
    </row>
    <row r="789" customFormat="false" ht="15" hidden="false" customHeight="false" outlineLevel="0" collapsed="false">
      <c r="A789" s="24"/>
      <c r="B789" s="27"/>
      <c r="C789" s="28"/>
      <c r="D789" s="24"/>
      <c r="E789" s="24"/>
      <c r="F789" s="24"/>
      <c r="G789" s="28"/>
      <c r="H789" s="28"/>
      <c r="I789" s="24"/>
      <c r="J789" s="24"/>
      <c r="K789" s="29" t="str">
        <f aca="false">IF($A789="","",IF(OR($C789="Decision",$C789="Conflict"),IF(COUNTIFS($I$2:$I$1001,$A789,$C$2:$C$1001,"Resolved")=0,"Open","Closed"),IF(AND($H789="Unconfirmed",OR($C789="New",$C789="Know")),IF(COUNTIFS($I$2:$I$1001,$A789,$C$2:$C$1001,"Confirmed")=0,"Unconfirmed","Confirmed"),"Logged")))</f>
        <v/>
      </c>
      <c r="L789" s="29" t="str">
        <f aca="false">IF($A789="","",AsOf-$B789)</f>
        <v/>
      </c>
      <c r="M789" s="29" t="str">
        <f aca="false">IF($K789="Open",IF($C789="Conflict","Critical",IF($L789&gt;=DecisionCritical,"Critical",IF($L789&gt;=DecisionWarn,"Warning","On track"))),IF($K789="Unconfirmed",IF($L789&gt;=UnconfirmedWarn,"Warning","On track"),""))</f>
        <v/>
      </c>
      <c r="N789" s="29" t="str">
        <f aca="false">IF($M789="","",IF($M789="Critical",3000,IF($M789="Warning",2000,1000))+$L789+ROW()/100000)</f>
        <v/>
      </c>
      <c r="O789" s="29" t="str">
        <f aca="false">IF($K789="Open",IF($C789="Conflict","decide "&amp;$A789&amp;": &lt;which version stands&gt;","decide "&amp;$A789&amp;": &lt;outcome&gt;"),IF($K789="Unconfirmed","confirm "&amp;$A789,""))</f>
        <v/>
      </c>
    </row>
    <row r="790" customFormat="false" ht="15" hidden="false" customHeight="false" outlineLevel="0" collapsed="false">
      <c r="A790" s="24"/>
      <c r="B790" s="27"/>
      <c r="C790" s="28"/>
      <c r="D790" s="24"/>
      <c r="E790" s="24"/>
      <c r="F790" s="24"/>
      <c r="G790" s="28"/>
      <c r="H790" s="28"/>
      <c r="I790" s="24"/>
      <c r="J790" s="24"/>
      <c r="K790" s="29" t="str">
        <f aca="false">IF($A790="","",IF(OR($C790="Decision",$C790="Conflict"),IF(COUNTIFS($I$2:$I$1001,$A790,$C$2:$C$1001,"Resolved")=0,"Open","Closed"),IF(AND($H790="Unconfirmed",OR($C790="New",$C790="Know")),IF(COUNTIFS($I$2:$I$1001,$A790,$C$2:$C$1001,"Confirmed")=0,"Unconfirmed","Confirmed"),"Logged")))</f>
        <v/>
      </c>
      <c r="L790" s="29" t="str">
        <f aca="false">IF($A790="","",AsOf-$B790)</f>
        <v/>
      </c>
      <c r="M790" s="29" t="str">
        <f aca="false">IF($K790="Open",IF($C790="Conflict","Critical",IF($L790&gt;=DecisionCritical,"Critical",IF($L790&gt;=DecisionWarn,"Warning","On track"))),IF($K790="Unconfirmed",IF($L790&gt;=UnconfirmedWarn,"Warning","On track"),""))</f>
        <v/>
      </c>
      <c r="N790" s="29" t="str">
        <f aca="false">IF($M790="","",IF($M790="Critical",3000,IF($M790="Warning",2000,1000))+$L790+ROW()/100000)</f>
        <v/>
      </c>
      <c r="O790" s="29" t="str">
        <f aca="false">IF($K790="Open",IF($C790="Conflict","decide "&amp;$A790&amp;": &lt;which version stands&gt;","decide "&amp;$A790&amp;": &lt;outcome&gt;"),IF($K790="Unconfirmed","confirm "&amp;$A790,""))</f>
        <v/>
      </c>
    </row>
    <row r="791" customFormat="false" ht="15" hidden="false" customHeight="false" outlineLevel="0" collapsed="false">
      <c r="A791" s="24"/>
      <c r="B791" s="27"/>
      <c r="C791" s="28"/>
      <c r="D791" s="24"/>
      <c r="E791" s="24"/>
      <c r="F791" s="24"/>
      <c r="G791" s="28"/>
      <c r="H791" s="28"/>
      <c r="I791" s="24"/>
      <c r="J791" s="24"/>
      <c r="K791" s="29" t="str">
        <f aca="false">IF($A791="","",IF(OR($C791="Decision",$C791="Conflict"),IF(COUNTIFS($I$2:$I$1001,$A791,$C$2:$C$1001,"Resolved")=0,"Open","Closed"),IF(AND($H791="Unconfirmed",OR($C791="New",$C791="Know")),IF(COUNTIFS($I$2:$I$1001,$A791,$C$2:$C$1001,"Confirmed")=0,"Unconfirmed","Confirmed"),"Logged")))</f>
        <v/>
      </c>
      <c r="L791" s="29" t="str">
        <f aca="false">IF($A791="","",AsOf-$B791)</f>
        <v/>
      </c>
      <c r="M791" s="29" t="str">
        <f aca="false">IF($K791="Open",IF($C791="Conflict","Critical",IF($L791&gt;=DecisionCritical,"Critical",IF($L791&gt;=DecisionWarn,"Warning","On track"))),IF($K791="Unconfirmed",IF($L791&gt;=UnconfirmedWarn,"Warning","On track"),""))</f>
        <v/>
      </c>
      <c r="N791" s="29" t="str">
        <f aca="false">IF($M791="","",IF($M791="Critical",3000,IF($M791="Warning",2000,1000))+$L791+ROW()/100000)</f>
        <v/>
      </c>
      <c r="O791" s="29" t="str">
        <f aca="false">IF($K791="Open",IF($C791="Conflict","decide "&amp;$A791&amp;": &lt;which version stands&gt;","decide "&amp;$A791&amp;": &lt;outcome&gt;"),IF($K791="Unconfirmed","confirm "&amp;$A791,""))</f>
        <v/>
      </c>
    </row>
    <row r="792" customFormat="false" ht="15" hidden="false" customHeight="false" outlineLevel="0" collapsed="false">
      <c r="A792" s="24"/>
      <c r="B792" s="27"/>
      <c r="C792" s="28"/>
      <c r="D792" s="24"/>
      <c r="E792" s="24"/>
      <c r="F792" s="24"/>
      <c r="G792" s="28"/>
      <c r="H792" s="28"/>
      <c r="I792" s="24"/>
      <c r="J792" s="24"/>
      <c r="K792" s="29" t="str">
        <f aca="false">IF($A792="","",IF(OR($C792="Decision",$C792="Conflict"),IF(COUNTIFS($I$2:$I$1001,$A792,$C$2:$C$1001,"Resolved")=0,"Open","Closed"),IF(AND($H792="Unconfirmed",OR($C792="New",$C792="Know")),IF(COUNTIFS($I$2:$I$1001,$A792,$C$2:$C$1001,"Confirmed")=0,"Unconfirmed","Confirmed"),"Logged")))</f>
        <v/>
      </c>
      <c r="L792" s="29" t="str">
        <f aca="false">IF($A792="","",AsOf-$B792)</f>
        <v/>
      </c>
      <c r="M792" s="29" t="str">
        <f aca="false">IF($K792="Open",IF($C792="Conflict","Critical",IF($L792&gt;=DecisionCritical,"Critical",IF($L792&gt;=DecisionWarn,"Warning","On track"))),IF($K792="Unconfirmed",IF($L792&gt;=UnconfirmedWarn,"Warning","On track"),""))</f>
        <v/>
      </c>
      <c r="N792" s="29" t="str">
        <f aca="false">IF($M792="","",IF($M792="Critical",3000,IF($M792="Warning",2000,1000))+$L792+ROW()/100000)</f>
        <v/>
      </c>
      <c r="O792" s="29" t="str">
        <f aca="false">IF($K792="Open",IF($C792="Conflict","decide "&amp;$A792&amp;": &lt;which version stands&gt;","decide "&amp;$A792&amp;": &lt;outcome&gt;"),IF($K792="Unconfirmed","confirm "&amp;$A792,""))</f>
        <v/>
      </c>
    </row>
    <row r="793" customFormat="false" ht="15" hidden="false" customHeight="false" outlineLevel="0" collapsed="false">
      <c r="A793" s="24"/>
      <c r="B793" s="27"/>
      <c r="C793" s="28"/>
      <c r="D793" s="24"/>
      <c r="E793" s="24"/>
      <c r="F793" s="24"/>
      <c r="G793" s="28"/>
      <c r="H793" s="28"/>
      <c r="I793" s="24"/>
      <c r="J793" s="24"/>
      <c r="K793" s="29" t="str">
        <f aca="false">IF($A793="","",IF(OR($C793="Decision",$C793="Conflict"),IF(COUNTIFS($I$2:$I$1001,$A793,$C$2:$C$1001,"Resolved")=0,"Open","Closed"),IF(AND($H793="Unconfirmed",OR($C793="New",$C793="Know")),IF(COUNTIFS($I$2:$I$1001,$A793,$C$2:$C$1001,"Confirmed")=0,"Unconfirmed","Confirmed"),"Logged")))</f>
        <v/>
      </c>
      <c r="L793" s="29" t="str">
        <f aca="false">IF($A793="","",AsOf-$B793)</f>
        <v/>
      </c>
      <c r="M793" s="29" t="str">
        <f aca="false">IF($K793="Open",IF($C793="Conflict","Critical",IF($L793&gt;=DecisionCritical,"Critical",IF($L793&gt;=DecisionWarn,"Warning","On track"))),IF($K793="Unconfirmed",IF($L793&gt;=UnconfirmedWarn,"Warning","On track"),""))</f>
        <v/>
      </c>
      <c r="N793" s="29" t="str">
        <f aca="false">IF($M793="","",IF($M793="Critical",3000,IF($M793="Warning",2000,1000))+$L793+ROW()/100000)</f>
        <v/>
      </c>
      <c r="O793" s="29" t="str">
        <f aca="false">IF($K793="Open",IF($C793="Conflict","decide "&amp;$A793&amp;": &lt;which version stands&gt;","decide "&amp;$A793&amp;": &lt;outcome&gt;"),IF($K793="Unconfirmed","confirm "&amp;$A793,""))</f>
        <v/>
      </c>
    </row>
    <row r="794" customFormat="false" ht="15" hidden="false" customHeight="false" outlineLevel="0" collapsed="false">
      <c r="A794" s="24"/>
      <c r="B794" s="27"/>
      <c r="C794" s="28"/>
      <c r="D794" s="24"/>
      <c r="E794" s="24"/>
      <c r="F794" s="24"/>
      <c r="G794" s="28"/>
      <c r="H794" s="28"/>
      <c r="I794" s="24"/>
      <c r="J794" s="24"/>
      <c r="K794" s="29" t="str">
        <f aca="false">IF($A794="","",IF(OR($C794="Decision",$C794="Conflict"),IF(COUNTIFS($I$2:$I$1001,$A794,$C$2:$C$1001,"Resolved")=0,"Open","Closed"),IF(AND($H794="Unconfirmed",OR($C794="New",$C794="Know")),IF(COUNTIFS($I$2:$I$1001,$A794,$C$2:$C$1001,"Confirmed")=0,"Unconfirmed","Confirmed"),"Logged")))</f>
        <v/>
      </c>
      <c r="L794" s="29" t="str">
        <f aca="false">IF($A794="","",AsOf-$B794)</f>
        <v/>
      </c>
      <c r="M794" s="29" t="str">
        <f aca="false">IF($K794="Open",IF($C794="Conflict","Critical",IF($L794&gt;=DecisionCritical,"Critical",IF($L794&gt;=DecisionWarn,"Warning","On track"))),IF($K794="Unconfirmed",IF($L794&gt;=UnconfirmedWarn,"Warning","On track"),""))</f>
        <v/>
      </c>
      <c r="N794" s="29" t="str">
        <f aca="false">IF($M794="","",IF($M794="Critical",3000,IF($M794="Warning",2000,1000))+$L794+ROW()/100000)</f>
        <v/>
      </c>
      <c r="O794" s="29" t="str">
        <f aca="false">IF($K794="Open",IF($C794="Conflict","decide "&amp;$A794&amp;": &lt;which version stands&gt;","decide "&amp;$A794&amp;": &lt;outcome&gt;"),IF($K794="Unconfirmed","confirm "&amp;$A794,""))</f>
        <v/>
      </c>
    </row>
    <row r="795" customFormat="false" ht="15" hidden="false" customHeight="false" outlineLevel="0" collapsed="false">
      <c r="A795" s="24"/>
      <c r="B795" s="27"/>
      <c r="C795" s="28"/>
      <c r="D795" s="24"/>
      <c r="E795" s="24"/>
      <c r="F795" s="24"/>
      <c r="G795" s="28"/>
      <c r="H795" s="28"/>
      <c r="I795" s="24"/>
      <c r="J795" s="24"/>
      <c r="K795" s="29" t="str">
        <f aca="false">IF($A795="","",IF(OR($C795="Decision",$C795="Conflict"),IF(COUNTIFS($I$2:$I$1001,$A795,$C$2:$C$1001,"Resolved")=0,"Open","Closed"),IF(AND($H795="Unconfirmed",OR($C795="New",$C795="Know")),IF(COUNTIFS($I$2:$I$1001,$A795,$C$2:$C$1001,"Confirmed")=0,"Unconfirmed","Confirmed"),"Logged")))</f>
        <v/>
      </c>
      <c r="L795" s="29" t="str">
        <f aca="false">IF($A795="","",AsOf-$B795)</f>
        <v/>
      </c>
      <c r="M795" s="29" t="str">
        <f aca="false">IF($K795="Open",IF($C795="Conflict","Critical",IF($L795&gt;=DecisionCritical,"Critical",IF($L795&gt;=DecisionWarn,"Warning","On track"))),IF($K795="Unconfirmed",IF($L795&gt;=UnconfirmedWarn,"Warning","On track"),""))</f>
        <v/>
      </c>
      <c r="N795" s="29" t="str">
        <f aca="false">IF($M795="","",IF($M795="Critical",3000,IF($M795="Warning",2000,1000))+$L795+ROW()/100000)</f>
        <v/>
      </c>
      <c r="O795" s="29" t="str">
        <f aca="false">IF($K795="Open",IF($C795="Conflict","decide "&amp;$A795&amp;": &lt;which version stands&gt;","decide "&amp;$A795&amp;": &lt;outcome&gt;"),IF($K795="Unconfirmed","confirm "&amp;$A795,""))</f>
        <v/>
      </c>
    </row>
    <row r="796" customFormat="false" ht="15" hidden="false" customHeight="false" outlineLevel="0" collapsed="false">
      <c r="A796" s="24"/>
      <c r="B796" s="27"/>
      <c r="C796" s="28"/>
      <c r="D796" s="24"/>
      <c r="E796" s="24"/>
      <c r="F796" s="24"/>
      <c r="G796" s="28"/>
      <c r="H796" s="28"/>
      <c r="I796" s="24"/>
      <c r="J796" s="24"/>
      <c r="K796" s="29" t="str">
        <f aca="false">IF($A796="","",IF(OR($C796="Decision",$C796="Conflict"),IF(COUNTIFS($I$2:$I$1001,$A796,$C$2:$C$1001,"Resolved")=0,"Open","Closed"),IF(AND($H796="Unconfirmed",OR($C796="New",$C796="Know")),IF(COUNTIFS($I$2:$I$1001,$A796,$C$2:$C$1001,"Confirmed")=0,"Unconfirmed","Confirmed"),"Logged")))</f>
        <v/>
      </c>
      <c r="L796" s="29" t="str">
        <f aca="false">IF($A796="","",AsOf-$B796)</f>
        <v/>
      </c>
      <c r="M796" s="29" t="str">
        <f aca="false">IF($K796="Open",IF($C796="Conflict","Critical",IF($L796&gt;=DecisionCritical,"Critical",IF($L796&gt;=DecisionWarn,"Warning","On track"))),IF($K796="Unconfirmed",IF($L796&gt;=UnconfirmedWarn,"Warning","On track"),""))</f>
        <v/>
      </c>
      <c r="N796" s="29" t="str">
        <f aca="false">IF($M796="","",IF($M796="Critical",3000,IF($M796="Warning",2000,1000))+$L796+ROW()/100000)</f>
        <v/>
      </c>
      <c r="O796" s="29" t="str">
        <f aca="false">IF($K796="Open",IF($C796="Conflict","decide "&amp;$A796&amp;": &lt;which version stands&gt;","decide "&amp;$A796&amp;": &lt;outcome&gt;"),IF($K796="Unconfirmed","confirm "&amp;$A796,""))</f>
        <v/>
      </c>
    </row>
    <row r="797" customFormat="false" ht="15" hidden="false" customHeight="false" outlineLevel="0" collapsed="false">
      <c r="A797" s="24"/>
      <c r="B797" s="27"/>
      <c r="C797" s="28"/>
      <c r="D797" s="24"/>
      <c r="E797" s="24"/>
      <c r="F797" s="24"/>
      <c r="G797" s="28"/>
      <c r="H797" s="28"/>
      <c r="I797" s="24"/>
      <c r="J797" s="24"/>
      <c r="K797" s="29" t="str">
        <f aca="false">IF($A797="","",IF(OR($C797="Decision",$C797="Conflict"),IF(COUNTIFS($I$2:$I$1001,$A797,$C$2:$C$1001,"Resolved")=0,"Open","Closed"),IF(AND($H797="Unconfirmed",OR($C797="New",$C797="Know")),IF(COUNTIFS($I$2:$I$1001,$A797,$C$2:$C$1001,"Confirmed")=0,"Unconfirmed","Confirmed"),"Logged")))</f>
        <v/>
      </c>
      <c r="L797" s="29" t="str">
        <f aca="false">IF($A797="","",AsOf-$B797)</f>
        <v/>
      </c>
      <c r="M797" s="29" t="str">
        <f aca="false">IF($K797="Open",IF($C797="Conflict","Critical",IF($L797&gt;=DecisionCritical,"Critical",IF($L797&gt;=DecisionWarn,"Warning","On track"))),IF($K797="Unconfirmed",IF($L797&gt;=UnconfirmedWarn,"Warning","On track"),""))</f>
        <v/>
      </c>
      <c r="N797" s="29" t="str">
        <f aca="false">IF($M797="","",IF($M797="Critical",3000,IF($M797="Warning",2000,1000))+$L797+ROW()/100000)</f>
        <v/>
      </c>
      <c r="O797" s="29" t="str">
        <f aca="false">IF($K797="Open",IF($C797="Conflict","decide "&amp;$A797&amp;": &lt;which version stands&gt;","decide "&amp;$A797&amp;": &lt;outcome&gt;"),IF($K797="Unconfirmed","confirm "&amp;$A797,""))</f>
        <v/>
      </c>
    </row>
    <row r="798" customFormat="false" ht="15" hidden="false" customHeight="false" outlineLevel="0" collapsed="false">
      <c r="A798" s="24"/>
      <c r="B798" s="27"/>
      <c r="C798" s="28"/>
      <c r="D798" s="24"/>
      <c r="E798" s="24"/>
      <c r="F798" s="24"/>
      <c r="G798" s="28"/>
      <c r="H798" s="28"/>
      <c r="I798" s="24"/>
      <c r="J798" s="24"/>
      <c r="K798" s="29" t="str">
        <f aca="false">IF($A798="","",IF(OR($C798="Decision",$C798="Conflict"),IF(COUNTIFS($I$2:$I$1001,$A798,$C$2:$C$1001,"Resolved")=0,"Open","Closed"),IF(AND($H798="Unconfirmed",OR($C798="New",$C798="Know")),IF(COUNTIFS($I$2:$I$1001,$A798,$C$2:$C$1001,"Confirmed")=0,"Unconfirmed","Confirmed"),"Logged")))</f>
        <v/>
      </c>
      <c r="L798" s="29" t="str">
        <f aca="false">IF($A798="","",AsOf-$B798)</f>
        <v/>
      </c>
      <c r="M798" s="29" t="str">
        <f aca="false">IF($K798="Open",IF($C798="Conflict","Critical",IF($L798&gt;=DecisionCritical,"Critical",IF($L798&gt;=DecisionWarn,"Warning","On track"))),IF($K798="Unconfirmed",IF($L798&gt;=UnconfirmedWarn,"Warning","On track"),""))</f>
        <v/>
      </c>
      <c r="N798" s="29" t="str">
        <f aca="false">IF($M798="","",IF($M798="Critical",3000,IF($M798="Warning",2000,1000))+$L798+ROW()/100000)</f>
        <v/>
      </c>
      <c r="O798" s="29" t="str">
        <f aca="false">IF($K798="Open",IF($C798="Conflict","decide "&amp;$A798&amp;": &lt;which version stands&gt;","decide "&amp;$A798&amp;": &lt;outcome&gt;"),IF($K798="Unconfirmed","confirm "&amp;$A798,""))</f>
        <v/>
      </c>
    </row>
    <row r="799" customFormat="false" ht="15" hidden="false" customHeight="false" outlineLevel="0" collapsed="false">
      <c r="A799" s="24"/>
      <c r="B799" s="27"/>
      <c r="C799" s="28"/>
      <c r="D799" s="24"/>
      <c r="E799" s="24"/>
      <c r="F799" s="24"/>
      <c r="G799" s="28"/>
      <c r="H799" s="28"/>
      <c r="I799" s="24"/>
      <c r="J799" s="24"/>
      <c r="K799" s="29" t="str">
        <f aca="false">IF($A799="","",IF(OR($C799="Decision",$C799="Conflict"),IF(COUNTIFS($I$2:$I$1001,$A799,$C$2:$C$1001,"Resolved")=0,"Open","Closed"),IF(AND($H799="Unconfirmed",OR($C799="New",$C799="Know")),IF(COUNTIFS($I$2:$I$1001,$A799,$C$2:$C$1001,"Confirmed")=0,"Unconfirmed","Confirmed"),"Logged")))</f>
        <v/>
      </c>
      <c r="L799" s="29" t="str">
        <f aca="false">IF($A799="","",AsOf-$B799)</f>
        <v/>
      </c>
      <c r="M799" s="29" t="str">
        <f aca="false">IF($K799="Open",IF($C799="Conflict","Critical",IF($L799&gt;=DecisionCritical,"Critical",IF($L799&gt;=DecisionWarn,"Warning","On track"))),IF($K799="Unconfirmed",IF($L799&gt;=UnconfirmedWarn,"Warning","On track"),""))</f>
        <v/>
      </c>
      <c r="N799" s="29" t="str">
        <f aca="false">IF($M799="","",IF($M799="Critical",3000,IF($M799="Warning",2000,1000))+$L799+ROW()/100000)</f>
        <v/>
      </c>
      <c r="O799" s="29" t="str">
        <f aca="false">IF($K799="Open",IF($C799="Conflict","decide "&amp;$A799&amp;": &lt;which version stands&gt;","decide "&amp;$A799&amp;": &lt;outcome&gt;"),IF($K799="Unconfirmed","confirm "&amp;$A799,""))</f>
        <v/>
      </c>
    </row>
    <row r="800" customFormat="false" ht="15" hidden="false" customHeight="false" outlineLevel="0" collapsed="false">
      <c r="A800" s="24"/>
      <c r="B800" s="27"/>
      <c r="C800" s="28"/>
      <c r="D800" s="24"/>
      <c r="E800" s="24"/>
      <c r="F800" s="24"/>
      <c r="G800" s="28"/>
      <c r="H800" s="28"/>
      <c r="I800" s="24"/>
      <c r="J800" s="24"/>
      <c r="K800" s="29" t="str">
        <f aca="false">IF($A800="","",IF(OR($C800="Decision",$C800="Conflict"),IF(COUNTIFS($I$2:$I$1001,$A800,$C$2:$C$1001,"Resolved")=0,"Open","Closed"),IF(AND($H800="Unconfirmed",OR($C800="New",$C800="Know")),IF(COUNTIFS($I$2:$I$1001,$A800,$C$2:$C$1001,"Confirmed")=0,"Unconfirmed","Confirmed"),"Logged")))</f>
        <v/>
      </c>
      <c r="L800" s="29" t="str">
        <f aca="false">IF($A800="","",AsOf-$B800)</f>
        <v/>
      </c>
      <c r="M800" s="29" t="str">
        <f aca="false">IF($K800="Open",IF($C800="Conflict","Critical",IF($L800&gt;=DecisionCritical,"Critical",IF($L800&gt;=DecisionWarn,"Warning","On track"))),IF($K800="Unconfirmed",IF($L800&gt;=UnconfirmedWarn,"Warning","On track"),""))</f>
        <v/>
      </c>
      <c r="N800" s="29" t="str">
        <f aca="false">IF($M800="","",IF($M800="Critical",3000,IF($M800="Warning",2000,1000))+$L800+ROW()/100000)</f>
        <v/>
      </c>
      <c r="O800" s="29" t="str">
        <f aca="false">IF($K800="Open",IF($C800="Conflict","decide "&amp;$A800&amp;": &lt;which version stands&gt;","decide "&amp;$A800&amp;": &lt;outcome&gt;"),IF($K800="Unconfirmed","confirm "&amp;$A800,""))</f>
        <v/>
      </c>
    </row>
    <row r="801" customFormat="false" ht="15" hidden="false" customHeight="false" outlineLevel="0" collapsed="false">
      <c r="A801" s="24"/>
      <c r="B801" s="27"/>
      <c r="C801" s="28"/>
      <c r="D801" s="24"/>
      <c r="E801" s="24"/>
      <c r="F801" s="24"/>
      <c r="G801" s="28"/>
      <c r="H801" s="28"/>
      <c r="I801" s="24"/>
      <c r="J801" s="24"/>
      <c r="K801" s="29" t="str">
        <f aca="false">IF($A801="","",IF(OR($C801="Decision",$C801="Conflict"),IF(COUNTIFS($I$2:$I$1001,$A801,$C$2:$C$1001,"Resolved")=0,"Open","Closed"),IF(AND($H801="Unconfirmed",OR($C801="New",$C801="Know")),IF(COUNTIFS($I$2:$I$1001,$A801,$C$2:$C$1001,"Confirmed")=0,"Unconfirmed","Confirmed"),"Logged")))</f>
        <v/>
      </c>
      <c r="L801" s="29" t="str">
        <f aca="false">IF($A801="","",AsOf-$B801)</f>
        <v/>
      </c>
      <c r="M801" s="29" t="str">
        <f aca="false">IF($K801="Open",IF($C801="Conflict","Critical",IF($L801&gt;=DecisionCritical,"Critical",IF($L801&gt;=DecisionWarn,"Warning","On track"))),IF($K801="Unconfirmed",IF($L801&gt;=UnconfirmedWarn,"Warning","On track"),""))</f>
        <v/>
      </c>
      <c r="N801" s="29" t="str">
        <f aca="false">IF($M801="","",IF($M801="Critical",3000,IF($M801="Warning",2000,1000))+$L801+ROW()/100000)</f>
        <v/>
      </c>
      <c r="O801" s="29" t="str">
        <f aca="false">IF($K801="Open",IF($C801="Conflict","decide "&amp;$A801&amp;": &lt;which version stands&gt;","decide "&amp;$A801&amp;": &lt;outcome&gt;"),IF($K801="Unconfirmed","confirm "&amp;$A801,""))</f>
        <v/>
      </c>
    </row>
    <row r="802" customFormat="false" ht="15" hidden="false" customHeight="false" outlineLevel="0" collapsed="false">
      <c r="A802" s="24"/>
      <c r="B802" s="27"/>
      <c r="C802" s="28"/>
      <c r="D802" s="24"/>
      <c r="E802" s="24"/>
      <c r="F802" s="24"/>
      <c r="G802" s="28"/>
      <c r="H802" s="28"/>
      <c r="I802" s="24"/>
      <c r="J802" s="24"/>
      <c r="K802" s="29" t="str">
        <f aca="false">IF($A802="","",IF(OR($C802="Decision",$C802="Conflict"),IF(COUNTIFS($I$2:$I$1001,$A802,$C$2:$C$1001,"Resolved")=0,"Open","Closed"),IF(AND($H802="Unconfirmed",OR($C802="New",$C802="Know")),IF(COUNTIFS($I$2:$I$1001,$A802,$C$2:$C$1001,"Confirmed")=0,"Unconfirmed","Confirmed"),"Logged")))</f>
        <v/>
      </c>
      <c r="L802" s="29" t="str">
        <f aca="false">IF($A802="","",AsOf-$B802)</f>
        <v/>
      </c>
      <c r="M802" s="29" t="str">
        <f aca="false">IF($K802="Open",IF($C802="Conflict","Critical",IF($L802&gt;=DecisionCritical,"Critical",IF($L802&gt;=DecisionWarn,"Warning","On track"))),IF($K802="Unconfirmed",IF($L802&gt;=UnconfirmedWarn,"Warning","On track"),""))</f>
        <v/>
      </c>
      <c r="N802" s="29" t="str">
        <f aca="false">IF($M802="","",IF($M802="Critical",3000,IF($M802="Warning",2000,1000))+$L802+ROW()/100000)</f>
        <v/>
      </c>
      <c r="O802" s="29" t="str">
        <f aca="false">IF($K802="Open",IF($C802="Conflict","decide "&amp;$A802&amp;": &lt;which version stands&gt;","decide "&amp;$A802&amp;": &lt;outcome&gt;"),IF($K802="Unconfirmed","confirm "&amp;$A802,""))</f>
        <v/>
      </c>
    </row>
    <row r="803" customFormat="false" ht="15" hidden="false" customHeight="false" outlineLevel="0" collapsed="false">
      <c r="A803" s="24"/>
      <c r="B803" s="27"/>
      <c r="C803" s="28"/>
      <c r="D803" s="24"/>
      <c r="E803" s="24"/>
      <c r="F803" s="24"/>
      <c r="G803" s="28"/>
      <c r="H803" s="28"/>
      <c r="I803" s="24"/>
      <c r="J803" s="24"/>
      <c r="K803" s="29" t="str">
        <f aca="false">IF($A803="","",IF(OR($C803="Decision",$C803="Conflict"),IF(COUNTIFS($I$2:$I$1001,$A803,$C$2:$C$1001,"Resolved")=0,"Open","Closed"),IF(AND($H803="Unconfirmed",OR($C803="New",$C803="Know")),IF(COUNTIFS($I$2:$I$1001,$A803,$C$2:$C$1001,"Confirmed")=0,"Unconfirmed","Confirmed"),"Logged")))</f>
        <v/>
      </c>
      <c r="L803" s="29" t="str">
        <f aca="false">IF($A803="","",AsOf-$B803)</f>
        <v/>
      </c>
      <c r="M803" s="29" t="str">
        <f aca="false">IF($K803="Open",IF($C803="Conflict","Critical",IF($L803&gt;=DecisionCritical,"Critical",IF($L803&gt;=DecisionWarn,"Warning","On track"))),IF($K803="Unconfirmed",IF($L803&gt;=UnconfirmedWarn,"Warning","On track"),""))</f>
        <v/>
      </c>
      <c r="N803" s="29" t="str">
        <f aca="false">IF($M803="","",IF($M803="Critical",3000,IF($M803="Warning",2000,1000))+$L803+ROW()/100000)</f>
        <v/>
      </c>
      <c r="O803" s="29" t="str">
        <f aca="false">IF($K803="Open",IF($C803="Conflict","decide "&amp;$A803&amp;": &lt;which version stands&gt;","decide "&amp;$A803&amp;": &lt;outcome&gt;"),IF($K803="Unconfirmed","confirm "&amp;$A803,""))</f>
        <v/>
      </c>
    </row>
    <row r="804" customFormat="false" ht="15" hidden="false" customHeight="false" outlineLevel="0" collapsed="false">
      <c r="A804" s="24"/>
      <c r="B804" s="27"/>
      <c r="C804" s="28"/>
      <c r="D804" s="24"/>
      <c r="E804" s="24"/>
      <c r="F804" s="24"/>
      <c r="G804" s="28"/>
      <c r="H804" s="28"/>
      <c r="I804" s="24"/>
      <c r="J804" s="24"/>
      <c r="K804" s="29" t="str">
        <f aca="false">IF($A804="","",IF(OR($C804="Decision",$C804="Conflict"),IF(COUNTIFS($I$2:$I$1001,$A804,$C$2:$C$1001,"Resolved")=0,"Open","Closed"),IF(AND($H804="Unconfirmed",OR($C804="New",$C804="Know")),IF(COUNTIFS($I$2:$I$1001,$A804,$C$2:$C$1001,"Confirmed")=0,"Unconfirmed","Confirmed"),"Logged")))</f>
        <v/>
      </c>
      <c r="L804" s="29" t="str">
        <f aca="false">IF($A804="","",AsOf-$B804)</f>
        <v/>
      </c>
      <c r="M804" s="29" t="str">
        <f aca="false">IF($K804="Open",IF($C804="Conflict","Critical",IF($L804&gt;=DecisionCritical,"Critical",IF($L804&gt;=DecisionWarn,"Warning","On track"))),IF($K804="Unconfirmed",IF($L804&gt;=UnconfirmedWarn,"Warning","On track"),""))</f>
        <v/>
      </c>
      <c r="N804" s="29" t="str">
        <f aca="false">IF($M804="","",IF($M804="Critical",3000,IF($M804="Warning",2000,1000))+$L804+ROW()/100000)</f>
        <v/>
      </c>
      <c r="O804" s="29" t="str">
        <f aca="false">IF($K804="Open",IF($C804="Conflict","decide "&amp;$A804&amp;": &lt;which version stands&gt;","decide "&amp;$A804&amp;": &lt;outcome&gt;"),IF($K804="Unconfirmed","confirm "&amp;$A804,""))</f>
        <v/>
      </c>
    </row>
    <row r="805" customFormat="false" ht="15" hidden="false" customHeight="false" outlineLevel="0" collapsed="false">
      <c r="A805" s="24"/>
      <c r="B805" s="27"/>
      <c r="C805" s="28"/>
      <c r="D805" s="24"/>
      <c r="E805" s="24"/>
      <c r="F805" s="24"/>
      <c r="G805" s="28"/>
      <c r="H805" s="28"/>
      <c r="I805" s="24"/>
      <c r="J805" s="24"/>
      <c r="K805" s="29" t="str">
        <f aca="false">IF($A805="","",IF(OR($C805="Decision",$C805="Conflict"),IF(COUNTIFS($I$2:$I$1001,$A805,$C$2:$C$1001,"Resolved")=0,"Open","Closed"),IF(AND($H805="Unconfirmed",OR($C805="New",$C805="Know")),IF(COUNTIFS($I$2:$I$1001,$A805,$C$2:$C$1001,"Confirmed")=0,"Unconfirmed","Confirmed"),"Logged")))</f>
        <v/>
      </c>
      <c r="L805" s="29" t="str">
        <f aca="false">IF($A805="","",AsOf-$B805)</f>
        <v/>
      </c>
      <c r="M805" s="29" t="str">
        <f aca="false">IF($K805="Open",IF($C805="Conflict","Critical",IF($L805&gt;=DecisionCritical,"Critical",IF($L805&gt;=DecisionWarn,"Warning","On track"))),IF($K805="Unconfirmed",IF($L805&gt;=UnconfirmedWarn,"Warning","On track"),""))</f>
        <v/>
      </c>
      <c r="N805" s="29" t="str">
        <f aca="false">IF($M805="","",IF($M805="Critical",3000,IF($M805="Warning",2000,1000))+$L805+ROW()/100000)</f>
        <v/>
      </c>
      <c r="O805" s="29" t="str">
        <f aca="false">IF($K805="Open",IF($C805="Conflict","decide "&amp;$A805&amp;": &lt;which version stands&gt;","decide "&amp;$A805&amp;": &lt;outcome&gt;"),IF($K805="Unconfirmed","confirm "&amp;$A805,""))</f>
        <v/>
      </c>
    </row>
    <row r="806" customFormat="false" ht="15" hidden="false" customHeight="false" outlineLevel="0" collapsed="false">
      <c r="A806" s="24"/>
      <c r="B806" s="27"/>
      <c r="C806" s="28"/>
      <c r="D806" s="24"/>
      <c r="E806" s="24"/>
      <c r="F806" s="24"/>
      <c r="G806" s="28"/>
      <c r="H806" s="28"/>
      <c r="I806" s="24"/>
      <c r="J806" s="24"/>
      <c r="K806" s="29" t="str">
        <f aca="false">IF($A806="","",IF(OR($C806="Decision",$C806="Conflict"),IF(COUNTIFS($I$2:$I$1001,$A806,$C$2:$C$1001,"Resolved")=0,"Open","Closed"),IF(AND($H806="Unconfirmed",OR($C806="New",$C806="Know")),IF(COUNTIFS($I$2:$I$1001,$A806,$C$2:$C$1001,"Confirmed")=0,"Unconfirmed","Confirmed"),"Logged")))</f>
        <v/>
      </c>
      <c r="L806" s="29" t="str">
        <f aca="false">IF($A806="","",AsOf-$B806)</f>
        <v/>
      </c>
      <c r="M806" s="29" t="str">
        <f aca="false">IF($K806="Open",IF($C806="Conflict","Critical",IF($L806&gt;=DecisionCritical,"Critical",IF($L806&gt;=DecisionWarn,"Warning","On track"))),IF($K806="Unconfirmed",IF($L806&gt;=UnconfirmedWarn,"Warning","On track"),""))</f>
        <v/>
      </c>
      <c r="N806" s="29" t="str">
        <f aca="false">IF($M806="","",IF($M806="Critical",3000,IF($M806="Warning",2000,1000))+$L806+ROW()/100000)</f>
        <v/>
      </c>
      <c r="O806" s="29" t="str">
        <f aca="false">IF($K806="Open",IF($C806="Conflict","decide "&amp;$A806&amp;": &lt;which version stands&gt;","decide "&amp;$A806&amp;": &lt;outcome&gt;"),IF($K806="Unconfirmed","confirm "&amp;$A806,""))</f>
        <v/>
      </c>
    </row>
    <row r="807" customFormat="false" ht="15" hidden="false" customHeight="false" outlineLevel="0" collapsed="false">
      <c r="A807" s="24"/>
      <c r="B807" s="27"/>
      <c r="C807" s="28"/>
      <c r="D807" s="24"/>
      <c r="E807" s="24"/>
      <c r="F807" s="24"/>
      <c r="G807" s="28"/>
      <c r="H807" s="28"/>
      <c r="I807" s="24"/>
      <c r="J807" s="24"/>
      <c r="K807" s="29" t="str">
        <f aca="false">IF($A807="","",IF(OR($C807="Decision",$C807="Conflict"),IF(COUNTIFS($I$2:$I$1001,$A807,$C$2:$C$1001,"Resolved")=0,"Open","Closed"),IF(AND($H807="Unconfirmed",OR($C807="New",$C807="Know")),IF(COUNTIFS($I$2:$I$1001,$A807,$C$2:$C$1001,"Confirmed")=0,"Unconfirmed","Confirmed"),"Logged")))</f>
        <v/>
      </c>
      <c r="L807" s="29" t="str">
        <f aca="false">IF($A807="","",AsOf-$B807)</f>
        <v/>
      </c>
      <c r="M807" s="29" t="str">
        <f aca="false">IF($K807="Open",IF($C807="Conflict","Critical",IF($L807&gt;=DecisionCritical,"Critical",IF($L807&gt;=DecisionWarn,"Warning","On track"))),IF($K807="Unconfirmed",IF($L807&gt;=UnconfirmedWarn,"Warning","On track"),""))</f>
        <v/>
      </c>
      <c r="N807" s="29" t="str">
        <f aca="false">IF($M807="","",IF($M807="Critical",3000,IF($M807="Warning",2000,1000))+$L807+ROW()/100000)</f>
        <v/>
      </c>
      <c r="O807" s="29" t="str">
        <f aca="false">IF($K807="Open",IF($C807="Conflict","decide "&amp;$A807&amp;": &lt;which version stands&gt;","decide "&amp;$A807&amp;": &lt;outcome&gt;"),IF($K807="Unconfirmed","confirm "&amp;$A807,""))</f>
        <v/>
      </c>
    </row>
    <row r="808" customFormat="false" ht="15" hidden="false" customHeight="false" outlineLevel="0" collapsed="false">
      <c r="A808" s="24"/>
      <c r="B808" s="27"/>
      <c r="C808" s="28"/>
      <c r="D808" s="24"/>
      <c r="E808" s="24"/>
      <c r="F808" s="24"/>
      <c r="G808" s="28"/>
      <c r="H808" s="28"/>
      <c r="I808" s="24"/>
      <c r="J808" s="24"/>
      <c r="K808" s="29" t="str">
        <f aca="false">IF($A808="","",IF(OR($C808="Decision",$C808="Conflict"),IF(COUNTIFS($I$2:$I$1001,$A808,$C$2:$C$1001,"Resolved")=0,"Open","Closed"),IF(AND($H808="Unconfirmed",OR($C808="New",$C808="Know")),IF(COUNTIFS($I$2:$I$1001,$A808,$C$2:$C$1001,"Confirmed")=0,"Unconfirmed","Confirmed"),"Logged")))</f>
        <v/>
      </c>
      <c r="L808" s="29" t="str">
        <f aca="false">IF($A808="","",AsOf-$B808)</f>
        <v/>
      </c>
      <c r="M808" s="29" t="str">
        <f aca="false">IF($K808="Open",IF($C808="Conflict","Critical",IF($L808&gt;=DecisionCritical,"Critical",IF($L808&gt;=DecisionWarn,"Warning","On track"))),IF($K808="Unconfirmed",IF($L808&gt;=UnconfirmedWarn,"Warning","On track"),""))</f>
        <v/>
      </c>
      <c r="N808" s="29" t="str">
        <f aca="false">IF($M808="","",IF($M808="Critical",3000,IF($M808="Warning",2000,1000))+$L808+ROW()/100000)</f>
        <v/>
      </c>
      <c r="O808" s="29" t="str">
        <f aca="false">IF($K808="Open",IF($C808="Conflict","decide "&amp;$A808&amp;": &lt;which version stands&gt;","decide "&amp;$A808&amp;": &lt;outcome&gt;"),IF($K808="Unconfirmed","confirm "&amp;$A808,""))</f>
        <v/>
      </c>
    </row>
    <row r="809" customFormat="false" ht="15" hidden="false" customHeight="false" outlineLevel="0" collapsed="false">
      <c r="A809" s="24"/>
      <c r="B809" s="27"/>
      <c r="C809" s="28"/>
      <c r="D809" s="24"/>
      <c r="E809" s="24"/>
      <c r="F809" s="24"/>
      <c r="G809" s="28"/>
      <c r="H809" s="28"/>
      <c r="I809" s="24"/>
      <c r="J809" s="24"/>
      <c r="K809" s="29" t="str">
        <f aca="false">IF($A809="","",IF(OR($C809="Decision",$C809="Conflict"),IF(COUNTIFS($I$2:$I$1001,$A809,$C$2:$C$1001,"Resolved")=0,"Open","Closed"),IF(AND($H809="Unconfirmed",OR($C809="New",$C809="Know")),IF(COUNTIFS($I$2:$I$1001,$A809,$C$2:$C$1001,"Confirmed")=0,"Unconfirmed","Confirmed"),"Logged")))</f>
        <v/>
      </c>
      <c r="L809" s="29" t="str">
        <f aca="false">IF($A809="","",AsOf-$B809)</f>
        <v/>
      </c>
      <c r="M809" s="29" t="str">
        <f aca="false">IF($K809="Open",IF($C809="Conflict","Critical",IF($L809&gt;=DecisionCritical,"Critical",IF($L809&gt;=DecisionWarn,"Warning","On track"))),IF($K809="Unconfirmed",IF($L809&gt;=UnconfirmedWarn,"Warning","On track"),""))</f>
        <v/>
      </c>
      <c r="N809" s="29" t="str">
        <f aca="false">IF($M809="","",IF($M809="Critical",3000,IF($M809="Warning",2000,1000))+$L809+ROW()/100000)</f>
        <v/>
      </c>
      <c r="O809" s="29" t="str">
        <f aca="false">IF($K809="Open",IF($C809="Conflict","decide "&amp;$A809&amp;": &lt;which version stands&gt;","decide "&amp;$A809&amp;": &lt;outcome&gt;"),IF($K809="Unconfirmed","confirm "&amp;$A809,""))</f>
        <v/>
      </c>
    </row>
    <row r="810" customFormat="false" ht="15" hidden="false" customHeight="false" outlineLevel="0" collapsed="false">
      <c r="A810" s="24"/>
      <c r="B810" s="27"/>
      <c r="C810" s="28"/>
      <c r="D810" s="24"/>
      <c r="E810" s="24"/>
      <c r="F810" s="24"/>
      <c r="G810" s="28"/>
      <c r="H810" s="28"/>
      <c r="I810" s="24"/>
      <c r="J810" s="24"/>
      <c r="K810" s="29" t="str">
        <f aca="false">IF($A810="","",IF(OR($C810="Decision",$C810="Conflict"),IF(COUNTIFS($I$2:$I$1001,$A810,$C$2:$C$1001,"Resolved")=0,"Open","Closed"),IF(AND($H810="Unconfirmed",OR($C810="New",$C810="Know")),IF(COUNTIFS($I$2:$I$1001,$A810,$C$2:$C$1001,"Confirmed")=0,"Unconfirmed","Confirmed"),"Logged")))</f>
        <v/>
      </c>
      <c r="L810" s="29" t="str">
        <f aca="false">IF($A810="","",AsOf-$B810)</f>
        <v/>
      </c>
      <c r="M810" s="29" t="str">
        <f aca="false">IF($K810="Open",IF($C810="Conflict","Critical",IF($L810&gt;=DecisionCritical,"Critical",IF($L810&gt;=DecisionWarn,"Warning","On track"))),IF($K810="Unconfirmed",IF($L810&gt;=UnconfirmedWarn,"Warning","On track"),""))</f>
        <v/>
      </c>
      <c r="N810" s="29" t="str">
        <f aca="false">IF($M810="","",IF($M810="Critical",3000,IF($M810="Warning",2000,1000))+$L810+ROW()/100000)</f>
        <v/>
      </c>
      <c r="O810" s="29" t="str">
        <f aca="false">IF($K810="Open",IF($C810="Conflict","decide "&amp;$A810&amp;": &lt;which version stands&gt;","decide "&amp;$A810&amp;": &lt;outcome&gt;"),IF($K810="Unconfirmed","confirm "&amp;$A810,""))</f>
        <v/>
      </c>
    </row>
    <row r="811" customFormat="false" ht="15" hidden="false" customHeight="false" outlineLevel="0" collapsed="false">
      <c r="A811" s="24"/>
      <c r="B811" s="27"/>
      <c r="C811" s="28"/>
      <c r="D811" s="24"/>
      <c r="E811" s="24"/>
      <c r="F811" s="24"/>
      <c r="G811" s="28"/>
      <c r="H811" s="28"/>
      <c r="I811" s="24"/>
      <c r="J811" s="24"/>
      <c r="K811" s="29" t="str">
        <f aca="false">IF($A811="","",IF(OR($C811="Decision",$C811="Conflict"),IF(COUNTIFS($I$2:$I$1001,$A811,$C$2:$C$1001,"Resolved")=0,"Open","Closed"),IF(AND($H811="Unconfirmed",OR($C811="New",$C811="Know")),IF(COUNTIFS($I$2:$I$1001,$A811,$C$2:$C$1001,"Confirmed")=0,"Unconfirmed","Confirmed"),"Logged")))</f>
        <v/>
      </c>
      <c r="L811" s="29" t="str">
        <f aca="false">IF($A811="","",AsOf-$B811)</f>
        <v/>
      </c>
      <c r="M811" s="29" t="str">
        <f aca="false">IF($K811="Open",IF($C811="Conflict","Critical",IF($L811&gt;=DecisionCritical,"Critical",IF($L811&gt;=DecisionWarn,"Warning","On track"))),IF($K811="Unconfirmed",IF($L811&gt;=UnconfirmedWarn,"Warning","On track"),""))</f>
        <v/>
      </c>
      <c r="N811" s="29" t="str">
        <f aca="false">IF($M811="","",IF($M811="Critical",3000,IF($M811="Warning",2000,1000))+$L811+ROW()/100000)</f>
        <v/>
      </c>
      <c r="O811" s="29" t="str">
        <f aca="false">IF($K811="Open",IF($C811="Conflict","decide "&amp;$A811&amp;": &lt;which version stands&gt;","decide "&amp;$A811&amp;": &lt;outcome&gt;"),IF($K811="Unconfirmed","confirm "&amp;$A811,""))</f>
        <v/>
      </c>
    </row>
    <row r="812" customFormat="false" ht="15" hidden="false" customHeight="false" outlineLevel="0" collapsed="false">
      <c r="A812" s="24"/>
      <c r="B812" s="27"/>
      <c r="C812" s="28"/>
      <c r="D812" s="24"/>
      <c r="E812" s="24"/>
      <c r="F812" s="24"/>
      <c r="G812" s="28"/>
      <c r="H812" s="28"/>
      <c r="I812" s="24"/>
      <c r="J812" s="24"/>
      <c r="K812" s="29" t="str">
        <f aca="false">IF($A812="","",IF(OR($C812="Decision",$C812="Conflict"),IF(COUNTIFS($I$2:$I$1001,$A812,$C$2:$C$1001,"Resolved")=0,"Open","Closed"),IF(AND($H812="Unconfirmed",OR($C812="New",$C812="Know")),IF(COUNTIFS($I$2:$I$1001,$A812,$C$2:$C$1001,"Confirmed")=0,"Unconfirmed","Confirmed"),"Logged")))</f>
        <v/>
      </c>
      <c r="L812" s="29" t="str">
        <f aca="false">IF($A812="","",AsOf-$B812)</f>
        <v/>
      </c>
      <c r="M812" s="29" t="str">
        <f aca="false">IF($K812="Open",IF($C812="Conflict","Critical",IF($L812&gt;=DecisionCritical,"Critical",IF($L812&gt;=DecisionWarn,"Warning","On track"))),IF($K812="Unconfirmed",IF($L812&gt;=UnconfirmedWarn,"Warning","On track"),""))</f>
        <v/>
      </c>
      <c r="N812" s="29" t="str">
        <f aca="false">IF($M812="","",IF($M812="Critical",3000,IF($M812="Warning",2000,1000))+$L812+ROW()/100000)</f>
        <v/>
      </c>
      <c r="O812" s="29" t="str">
        <f aca="false">IF($K812="Open",IF($C812="Conflict","decide "&amp;$A812&amp;": &lt;which version stands&gt;","decide "&amp;$A812&amp;": &lt;outcome&gt;"),IF($K812="Unconfirmed","confirm "&amp;$A812,""))</f>
        <v/>
      </c>
    </row>
    <row r="813" customFormat="false" ht="15" hidden="false" customHeight="false" outlineLevel="0" collapsed="false">
      <c r="A813" s="24"/>
      <c r="B813" s="27"/>
      <c r="C813" s="28"/>
      <c r="D813" s="24"/>
      <c r="E813" s="24"/>
      <c r="F813" s="24"/>
      <c r="G813" s="28"/>
      <c r="H813" s="28"/>
      <c r="I813" s="24"/>
      <c r="J813" s="24"/>
      <c r="K813" s="29" t="str">
        <f aca="false">IF($A813="","",IF(OR($C813="Decision",$C813="Conflict"),IF(COUNTIFS($I$2:$I$1001,$A813,$C$2:$C$1001,"Resolved")=0,"Open","Closed"),IF(AND($H813="Unconfirmed",OR($C813="New",$C813="Know")),IF(COUNTIFS($I$2:$I$1001,$A813,$C$2:$C$1001,"Confirmed")=0,"Unconfirmed","Confirmed"),"Logged")))</f>
        <v/>
      </c>
      <c r="L813" s="29" t="str">
        <f aca="false">IF($A813="","",AsOf-$B813)</f>
        <v/>
      </c>
      <c r="M813" s="29" t="str">
        <f aca="false">IF($K813="Open",IF($C813="Conflict","Critical",IF($L813&gt;=DecisionCritical,"Critical",IF($L813&gt;=DecisionWarn,"Warning","On track"))),IF($K813="Unconfirmed",IF($L813&gt;=UnconfirmedWarn,"Warning","On track"),""))</f>
        <v/>
      </c>
      <c r="N813" s="29" t="str">
        <f aca="false">IF($M813="","",IF($M813="Critical",3000,IF($M813="Warning",2000,1000))+$L813+ROW()/100000)</f>
        <v/>
      </c>
      <c r="O813" s="29" t="str">
        <f aca="false">IF($K813="Open",IF($C813="Conflict","decide "&amp;$A813&amp;": &lt;which version stands&gt;","decide "&amp;$A813&amp;": &lt;outcome&gt;"),IF($K813="Unconfirmed","confirm "&amp;$A813,""))</f>
        <v/>
      </c>
    </row>
    <row r="814" customFormat="false" ht="15" hidden="false" customHeight="false" outlineLevel="0" collapsed="false">
      <c r="A814" s="24"/>
      <c r="B814" s="27"/>
      <c r="C814" s="28"/>
      <c r="D814" s="24"/>
      <c r="E814" s="24"/>
      <c r="F814" s="24"/>
      <c r="G814" s="28"/>
      <c r="H814" s="28"/>
      <c r="I814" s="24"/>
      <c r="J814" s="24"/>
      <c r="K814" s="29" t="str">
        <f aca="false">IF($A814="","",IF(OR($C814="Decision",$C814="Conflict"),IF(COUNTIFS($I$2:$I$1001,$A814,$C$2:$C$1001,"Resolved")=0,"Open","Closed"),IF(AND($H814="Unconfirmed",OR($C814="New",$C814="Know")),IF(COUNTIFS($I$2:$I$1001,$A814,$C$2:$C$1001,"Confirmed")=0,"Unconfirmed","Confirmed"),"Logged")))</f>
        <v/>
      </c>
      <c r="L814" s="29" t="str">
        <f aca="false">IF($A814="","",AsOf-$B814)</f>
        <v/>
      </c>
      <c r="M814" s="29" t="str">
        <f aca="false">IF($K814="Open",IF($C814="Conflict","Critical",IF($L814&gt;=DecisionCritical,"Critical",IF($L814&gt;=DecisionWarn,"Warning","On track"))),IF($K814="Unconfirmed",IF($L814&gt;=UnconfirmedWarn,"Warning","On track"),""))</f>
        <v/>
      </c>
      <c r="N814" s="29" t="str">
        <f aca="false">IF($M814="","",IF($M814="Critical",3000,IF($M814="Warning",2000,1000))+$L814+ROW()/100000)</f>
        <v/>
      </c>
      <c r="O814" s="29" t="str">
        <f aca="false">IF($K814="Open",IF($C814="Conflict","decide "&amp;$A814&amp;": &lt;which version stands&gt;","decide "&amp;$A814&amp;": &lt;outcome&gt;"),IF($K814="Unconfirmed","confirm "&amp;$A814,""))</f>
        <v/>
      </c>
    </row>
    <row r="815" customFormat="false" ht="15" hidden="false" customHeight="false" outlineLevel="0" collapsed="false">
      <c r="A815" s="24"/>
      <c r="B815" s="27"/>
      <c r="C815" s="28"/>
      <c r="D815" s="24"/>
      <c r="E815" s="24"/>
      <c r="F815" s="24"/>
      <c r="G815" s="28"/>
      <c r="H815" s="28"/>
      <c r="I815" s="24"/>
      <c r="J815" s="24"/>
      <c r="K815" s="29" t="str">
        <f aca="false">IF($A815="","",IF(OR($C815="Decision",$C815="Conflict"),IF(COUNTIFS($I$2:$I$1001,$A815,$C$2:$C$1001,"Resolved")=0,"Open","Closed"),IF(AND($H815="Unconfirmed",OR($C815="New",$C815="Know")),IF(COUNTIFS($I$2:$I$1001,$A815,$C$2:$C$1001,"Confirmed")=0,"Unconfirmed","Confirmed"),"Logged")))</f>
        <v/>
      </c>
      <c r="L815" s="29" t="str">
        <f aca="false">IF($A815="","",AsOf-$B815)</f>
        <v/>
      </c>
      <c r="M815" s="29" t="str">
        <f aca="false">IF($K815="Open",IF($C815="Conflict","Critical",IF($L815&gt;=DecisionCritical,"Critical",IF($L815&gt;=DecisionWarn,"Warning","On track"))),IF($K815="Unconfirmed",IF($L815&gt;=UnconfirmedWarn,"Warning","On track"),""))</f>
        <v/>
      </c>
      <c r="N815" s="29" t="str">
        <f aca="false">IF($M815="","",IF($M815="Critical",3000,IF($M815="Warning",2000,1000))+$L815+ROW()/100000)</f>
        <v/>
      </c>
      <c r="O815" s="29" t="str">
        <f aca="false">IF($K815="Open",IF($C815="Conflict","decide "&amp;$A815&amp;": &lt;which version stands&gt;","decide "&amp;$A815&amp;": &lt;outcome&gt;"),IF($K815="Unconfirmed","confirm "&amp;$A815,""))</f>
        <v/>
      </c>
    </row>
    <row r="816" customFormat="false" ht="15" hidden="false" customHeight="false" outlineLevel="0" collapsed="false">
      <c r="A816" s="24"/>
      <c r="B816" s="27"/>
      <c r="C816" s="28"/>
      <c r="D816" s="24"/>
      <c r="E816" s="24"/>
      <c r="F816" s="24"/>
      <c r="G816" s="28"/>
      <c r="H816" s="28"/>
      <c r="I816" s="24"/>
      <c r="J816" s="24"/>
      <c r="K816" s="29" t="str">
        <f aca="false">IF($A816="","",IF(OR($C816="Decision",$C816="Conflict"),IF(COUNTIFS($I$2:$I$1001,$A816,$C$2:$C$1001,"Resolved")=0,"Open","Closed"),IF(AND($H816="Unconfirmed",OR($C816="New",$C816="Know")),IF(COUNTIFS($I$2:$I$1001,$A816,$C$2:$C$1001,"Confirmed")=0,"Unconfirmed","Confirmed"),"Logged")))</f>
        <v/>
      </c>
      <c r="L816" s="29" t="str">
        <f aca="false">IF($A816="","",AsOf-$B816)</f>
        <v/>
      </c>
      <c r="M816" s="29" t="str">
        <f aca="false">IF($K816="Open",IF($C816="Conflict","Critical",IF($L816&gt;=DecisionCritical,"Critical",IF($L816&gt;=DecisionWarn,"Warning","On track"))),IF($K816="Unconfirmed",IF($L816&gt;=UnconfirmedWarn,"Warning","On track"),""))</f>
        <v/>
      </c>
      <c r="N816" s="29" t="str">
        <f aca="false">IF($M816="","",IF($M816="Critical",3000,IF($M816="Warning",2000,1000))+$L816+ROW()/100000)</f>
        <v/>
      </c>
      <c r="O816" s="29" t="str">
        <f aca="false">IF($K816="Open",IF($C816="Conflict","decide "&amp;$A816&amp;": &lt;which version stands&gt;","decide "&amp;$A816&amp;": &lt;outcome&gt;"),IF($K816="Unconfirmed","confirm "&amp;$A816,""))</f>
        <v/>
      </c>
    </row>
    <row r="817" customFormat="false" ht="15" hidden="false" customHeight="false" outlineLevel="0" collapsed="false">
      <c r="A817" s="24"/>
      <c r="B817" s="27"/>
      <c r="C817" s="28"/>
      <c r="D817" s="24"/>
      <c r="E817" s="24"/>
      <c r="F817" s="24"/>
      <c r="G817" s="28"/>
      <c r="H817" s="28"/>
      <c r="I817" s="24"/>
      <c r="J817" s="24"/>
      <c r="K817" s="29" t="str">
        <f aca="false">IF($A817="","",IF(OR($C817="Decision",$C817="Conflict"),IF(COUNTIFS($I$2:$I$1001,$A817,$C$2:$C$1001,"Resolved")=0,"Open","Closed"),IF(AND($H817="Unconfirmed",OR($C817="New",$C817="Know")),IF(COUNTIFS($I$2:$I$1001,$A817,$C$2:$C$1001,"Confirmed")=0,"Unconfirmed","Confirmed"),"Logged")))</f>
        <v/>
      </c>
      <c r="L817" s="29" t="str">
        <f aca="false">IF($A817="","",AsOf-$B817)</f>
        <v/>
      </c>
      <c r="M817" s="29" t="str">
        <f aca="false">IF($K817="Open",IF($C817="Conflict","Critical",IF($L817&gt;=DecisionCritical,"Critical",IF($L817&gt;=DecisionWarn,"Warning","On track"))),IF($K817="Unconfirmed",IF($L817&gt;=UnconfirmedWarn,"Warning","On track"),""))</f>
        <v/>
      </c>
      <c r="N817" s="29" t="str">
        <f aca="false">IF($M817="","",IF($M817="Critical",3000,IF($M817="Warning",2000,1000))+$L817+ROW()/100000)</f>
        <v/>
      </c>
      <c r="O817" s="29" t="str">
        <f aca="false">IF($K817="Open",IF($C817="Conflict","decide "&amp;$A817&amp;": &lt;which version stands&gt;","decide "&amp;$A817&amp;": &lt;outcome&gt;"),IF($K817="Unconfirmed","confirm "&amp;$A817,""))</f>
        <v/>
      </c>
    </row>
    <row r="818" customFormat="false" ht="15" hidden="false" customHeight="false" outlineLevel="0" collapsed="false">
      <c r="A818" s="24"/>
      <c r="B818" s="27"/>
      <c r="C818" s="28"/>
      <c r="D818" s="24"/>
      <c r="E818" s="24"/>
      <c r="F818" s="24"/>
      <c r="G818" s="28"/>
      <c r="H818" s="28"/>
      <c r="I818" s="24"/>
      <c r="J818" s="24"/>
      <c r="K818" s="29" t="str">
        <f aca="false">IF($A818="","",IF(OR($C818="Decision",$C818="Conflict"),IF(COUNTIFS($I$2:$I$1001,$A818,$C$2:$C$1001,"Resolved")=0,"Open","Closed"),IF(AND($H818="Unconfirmed",OR($C818="New",$C818="Know")),IF(COUNTIFS($I$2:$I$1001,$A818,$C$2:$C$1001,"Confirmed")=0,"Unconfirmed","Confirmed"),"Logged")))</f>
        <v/>
      </c>
      <c r="L818" s="29" t="str">
        <f aca="false">IF($A818="","",AsOf-$B818)</f>
        <v/>
      </c>
      <c r="M818" s="29" t="str">
        <f aca="false">IF($K818="Open",IF($C818="Conflict","Critical",IF($L818&gt;=DecisionCritical,"Critical",IF($L818&gt;=DecisionWarn,"Warning","On track"))),IF($K818="Unconfirmed",IF($L818&gt;=UnconfirmedWarn,"Warning","On track"),""))</f>
        <v/>
      </c>
      <c r="N818" s="29" t="str">
        <f aca="false">IF($M818="","",IF($M818="Critical",3000,IF($M818="Warning",2000,1000))+$L818+ROW()/100000)</f>
        <v/>
      </c>
      <c r="O818" s="29" t="str">
        <f aca="false">IF($K818="Open",IF($C818="Conflict","decide "&amp;$A818&amp;": &lt;which version stands&gt;","decide "&amp;$A818&amp;": &lt;outcome&gt;"),IF($K818="Unconfirmed","confirm "&amp;$A818,""))</f>
        <v/>
      </c>
    </row>
    <row r="819" customFormat="false" ht="15" hidden="false" customHeight="false" outlineLevel="0" collapsed="false">
      <c r="A819" s="24"/>
      <c r="B819" s="27"/>
      <c r="C819" s="28"/>
      <c r="D819" s="24"/>
      <c r="E819" s="24"/>
      <c r="F819" s="24"/>
      <c r="G819" s="28"/>
      <c r="H819" s="28"/>
      <c r="I819" s="24"/>
      <c r="J819" s="24"/>
      <c r="K819" s="29" t="str">
        <f aca="false">IF($A819="","",IF(OR($C819="Decision",$C819="Conflict"),IF(COUNTIFS($I$2:$I$1001,$A819,$C$2:$C$1001,"Resolved")=0,"Open","Closed"),IF(AND($H819="Unconfirmed",OR($C819="New",$C819="Know")),IF(COUNTIFS($I$2:$I$1001,$A819,$C$2:$C$1001,"Confirmed")=0,"Unconfirmed","Confirmed"),"Logged")))</f>
        <v/>
      </c>
      <c r="L819" s="29" t="str">
        <f aca="false">IF($A819="","",AsOf-$B819)</f>
        <v/>
      </c>
      <c r="M819" s="29" t="str">
        <f aca="false">IF($K819="Open",IF($C819="Conflict","Critical",IF($L819&gt;=DecisionCritical,"Critical",IF($L819&gt;=DecisionWarn,"Warning","On track"))),IF($K819="Unconfirmed",IF($L819&gt;=UnconfirmedWarn,"Warning","On track"),""))</f>
        <v/>
      </c>
      <c r="N819" s="29" t="str">
        <f aca="false">IF($M819="","",IF($M819="Critical",3000,IF($M819="Warning",2000,1000))+$L819+ROW()/100000)</f>
        <v/>
      </c>
      <c r="O819" s="29" t="str">
        <f aca="false">IF($K819="Open",IF($C819="Conflict","decide "&amp;$A819&amp;": &lt;which version stands&gt;","decide "&amp;$A819&amp;": &lt;outcome&gt;"),IF($K819="Unconfirmed","confirm "&amp;$A819,""))</f>
        <v/>
      </c>
    </row>
    <row r="820" customFormat="false" ht="15" hidden="false" customHeight="false" outlineLevel="0" collapsed="false">
      <c r="A820" s="24"/>
      <c r="B820" s="27"/>
      <c r="C820" s="28"/>
      <c r="D820" s="24"/>
      <c r="E820" s="24"/>
      <c r="F820" s="24"/>
      <c r="G820" s="28"/>
      <c r="H820" s="28"/>
      <c r="I820" s="24"/>
      <c r="J820" s="24"/>
      <c r="K820" s="29" t="str">
        <f aca="false">IF($A820="","",IF(OR($C820="Decision",$C820="Conflict"),IF(COUNTIFS($I$2:$I$1001,$A820,$C$2:$C$1001,"Resolved")=0,"Open","Closed"),IF(AND($H820="Unconfirmed",OR($C820="New",$C820="Know")),IF(COUNTIFS($I$2:$I$1001,$A820,$C$2:$C$1001,"Confirmed")=0,"Unconfirmed","Confirmed"),"Logged")))</f>
        <v/>
      </c>
      <c r="L820" s="29" t="str">
        <f aca="false">IF($A820="","",AsOf-$B820)</f>
        <v/>
      </c>
      <c r="M820" s="29" t="str">
        <f aca="false">IF($K820="Open",IF($C820="Conflict","Critical",IF($L820&gt;=DecisionCritical,"Critical",IF($L820&gt;=DecisionWarn,"Warning","On track"))),IF($K820="Unconfirmed",IF($L820&gt;=UnconfirmedWarn,"Warning","On track"),""))</f>
        <v/>
      </c>
      <c r="N820" s="29" t="str">
        <f aca="false">IF($M820="","",IF($M820="Critical",3000,IF($M820="Warning",2000,1000))+$L820+ROW()/100000)</f>
        <v/>
      </c>
      <c r="O820" s="29" t="str">
        <f aca="false">IF($K820="Open",IF($C820="Conflict","decide "&amp;$A820&amp;": &lt;which version stands&gt;","decide "&amp;$A820&amp;": &lt;outcome&gt;"),IF($K820="Unconfirmed","confirm "&amp;$A820,""))</f>
        <v/>
      </c>
    </row>
    <row r="821" customFormat="false" ht="15" hidden="false" customHeight="false" outlineLevel="0" collapsed="false">
      <c r="A821" s="24"/>
      <c r="B821" s="27"/>
      <c r="C821" s="28"/>
      <c r="D821" s="24"/>
      <c r="E821" s="24"/>
      <c r="F821" s="24"/>
      <c r="G821" s="28"/>
      <c r="H821" s="28"/>
      <c r="I821" s="24"/>
      <c r="J821" s="24"/>
      <c r="K821" s="29" t="str">
        <f aca="false">IF($A821="","",IF(OR($C821="Decision",$C821="Conflict"),IF(COUNTIFS($I$2:$I$1001,$A821,$C$2:$C$1001,"Resolved")=0,"Open","Closed"),IF(AND($H821="Unconfirmed",OR($C821="New",$C821="Know")),IF(COUNTIFS($I$2:$I$1001,$A821,$C$2:$C$1001,"Confirmed")=0,"Unconfirmed","Confirmed"),"Logged")))</f>
        <v/>
      </c>
      <c r="L821" s="29" t="str">
        <f aca="false">IF($A821="","",AsOf-$B821)</f>
        <v/>
      </c>
      <c r="M821" s="29" t="str">
        <f aca="false">IF($K821="Open",IF($C821="Conflict","Critical",IF($L821&gt;=DecisionCritical,"Critical",IF($L821&gt;=DecisionWarn,"Warning","On track"))),IF($K821="Unconfirmed",IF($L821&gt;=UnconfirmedWarn,"Warning","On track"),""))</f>
        <v/>
      </c>
      <c r="N821" s="29" t="str">
        <f aca="false">IF($M821="","",IF($M821="Critical",3000,IF($M821="Warning",2000,1000))+$L821+ROW()/100000)</f>
        <v/>
      </c>
      <c r="O821" s="29" t="str">
        <f aca="false">IF($K821="Open",IF($C821="Conflict","decide "&amp;$A821&amp;": &lt;which version stands&gt;","decide "&amp;$A821&amp;": &lt;outcome&gt;"),IF($K821="Unconfirmed","confirm "&amp;$A821,""))</f>
        <v/>
      </c>
    </row>
    <row r="822" customFormat="false" ht="15" hidden="false" customHeight="false" outlineLevel="0" collapsed="false">
      <c r="A822" s="24"/>
      <c r="B822" s="27"/>
      <c r="C822" s="28"/>
      <c r="D822" s="24"/>
      <c r="E822" s="24"/>
      <c r="F822" s="24"/>
      <c r="G822" s="28"/>
      <c r="H822" s="28"/>
      <c r="I822" s="24"/>
      <c r="J822" s="24"/>
      <c r="K822" s="29" t="str">
        <f aca="false">IF($A822="","",IF(OR($C822="Decision",$C822="Conflict"),IF(COUNTIFS($I$2:$I$1001,$A822,$C$2:$C$1001,"Resolved")=0,"Open","Closed"),IF(AND($H822="Unconfirmed",OR($C822="New",$C822="Know")),IF(COUNTIFS($I$2:$I$1001,$A822,$C$2:$C$1001,"Confirmed")=0,"Unconfirmed","Confirmed"),"Logged")))</f>
        <v/>
      </c>
      <c r="L822" s="29" t="str">
        <f aca="false">IF($A822="","",AsOf-$B822)</f>
        <v/>
      </c>
      <c r="M822" s="29" t="str">
        <f aca="false">IF($K822="Open",IF($C822="Conflict","Critical",IF($L822&gt;=DecisionCritical,"Critical",IF($L822&gt;=DecisionWarn,"Warning","On track"))),IF($K822="Unconfirmed",IF($L822&gt;=UnconfirmedWarn,"Warning","On track"),""))</f>
        <v/>
      </c>
      <c r="N822" s="29" t="str">
        <f aca="false">IF($M822="","",IF($M822="Critical",3000,IF($M822="Warning",2000,1000))+$L822+ROW()/100000)</f>
        <v/>
      </c>
      <c r="O822" s="29" t="str">
        <f aca="false">IF($K822="Open",IF($C822="Conflict","decide "&amp;$A822&amp;": &lt;which version stands&gt;","decide "&amp;$A822&amp;": &lt;outcome&gt;"),IF($K822="Unconfirmed","confirm "&amp;$A822,""))</f>
        <v/>
      </c>
    </row>
    <row r="823" customFormat="false" ht="15" hidden="false" customHeight="false" outlineLevel="0" collapsed="false">
      <c r="A823" s="24"/>
      <c r="B823" s="27"/>
      <c r="C823" s="28"/>
      <c r="D823" s="24"/>
      <c r="E823" s="24"/>
      <c r="F823" s="24"/>
      <c r="G823" s="28"/>
      <c r="H823" s="28"/>
      <c r="I823" s="24"/>
      <c r="J823" s="24"/>
      <c r="K823" s="29" t="str">
        <f aca="false">IF($A823="","",IF(OR($C823="Decision",$C823="Conflict"),IF(COUNTIFS($I$2:$I$1001,$A823,$C$2:$C$1001,"Resolved")=0,"Open","Closed"),IF(AND($H823="Unconfirmed",OR($C823="New",$C823="Know")),IF(COUNTIFS($I$2:$I$1001,$A823,$C$2:$C$1001,"Confirmed")=0,"Unconfirmed","Confirmed"),"Logged")))</f>
        <v/>
      </c>
      <c r="L823" s="29" t="str">
        <f aca="false">IF($A823="","",AsOf-$B823)</f>
        <v/>
      </c>
      <c r="M823" s="29" t="str">
        <f aca="false">IF($K823="Open",IF($C823="Conflict","Critical",IF($L823&gt;=DecisionCritical,"Critical",IF($L823&gt;=DecisionWarn,"Warning","On track"))),IF($K823="Unconfirmed",IF($L823&gt;=UnconfirmedWarn,"Warning","On track"),""))</f>
        <v/>
      </c>
      <c r="N823" s="29" t="str">
        <f aca="false">IF($M823="","",IF($M823="Critical",3000,IF($M823="Warning",2000,1000))+$L823+ROW()/100000)</f>
        <v/>
      </c>
      <c r="O823" s="29" t="str">
        <f aca="false">IF($K823="Open",IF($C823="Conflict","decide "&amp;$A823&amp;": &lt;which version stands&gt;","decide "&amp;$A823&amp;": &lt;outcome&gt;"),IF($K823="Unconfirmed","confirm "&amp;$A823,""))</f>
        <v/>
      </c>
    </row>
    <row r="824" customFormat="false" ht="15" hidden="false" customHeight="false" outlineLevel="0" collapsed="false">
      <c r="A824" s="24"/>
      <c r="B824" s="27"/>
      <c r="C824" s="28"/>
      <c r="D824" s="24"/>
      <c r="E824" s="24"/>
      <c r="F824" s="24"/>
      <c r="G824" s="28"/>
      <c r="H824" s="28"/>
      <c r="I824" s="24"/>
      <c r="J824" s="24"/>
      <c r="K824" s="29" t="str">
        <f aca="false">IF($A824="","",IF(OR($C824="Decision",$C824="Conflict"),IF(COUNTIFS($I$2:$I$1001,$A824,$C$2:$C$1001,"Resolved")=0,"Open","Closed"),IF(AND($H824="Unconfirmed",OR($C824="New",$C824="Know")),IF(COUNTIFS($I$2:$I$1001,$A824,$C$2:$C$1001,"Confirmed")=0,"Unconfirmed","Confirmed"),"Logged")))</f>
        <v/>
      </c>
      <c r="L824" s="29" t="str">
        <f aca="false">IF($A824="","",AsOf-$B824)</f>
        <v/>
      </c>
      <c r="M824" s="29" t="str">
        <f aca="false">IF($K824="Open",IF($C824="Conflict","Critical",IF($L824&gt;=DecisionCritical,"Critical",IF($L824&gt;=DecisionWarn,"Warning","On track"))),IF($K824="Unconfirmed",IF($L824&gt;=UnconfirmedWarn,"Warning","On track"),""))</f>
        <v/>
      </c>
      <c r="N824" s="29" t="str">
        <f aca="false">IF($M824="","",IF($M824="Critical",3000,IF($M824="Warning",2000,1000))+$L824+ROW()/100000)</f>
        <v/>
      </c>
      <c r="O824" s="29" t="str">
        <f aca="false">IF($K824="Open",IF($C824="Conflict","decide "&amp;$A824&amp;": &lt;which version stands&gt;","decide "&amp;$A824&amp;": &lt;outcome&gt;"),IF($K824="Unconfirmed","confirm "&amp;$A824,""))</f>
        <v/>
      </c>
    </row>
    <row r="825" customFormat="false" ht="15" hidden="false" customHeight="false" outlineLevel="0" collapsed="false">
      <c r="A825" s="24"/>
      <c r="B825" s="27"/>
      <c r="C825" s="28"/>
      <c r="D825" s="24"/>
      <c r="E825" s="24"/>
      <c r="F825" s="24"/>
      <c r="G825" s="28"/>
      <c r="H825" s="28"/>
      <c r="I825" s="24"/>
      <c r="J825" s="24"/>
      <c r="K825" s="29" t="str">
        <f aca="false">IF($A825="","",IF(OR($C825="Decision",$C825="Conflict"),IF(COUNTIFS($I$2:$I$1001,$A825,$C$2:$C$1001,"Resolved")=0,"Open","Closed"),IF(AND($H825="Unconfirmed",OR($C825="New",$C825="Know")),IF(COUNTIFS($I$2:$I$1001,$A825,$C$2:$C$1001,"Confirmed")=0,"Unconfirmed","Confirmed"),"Logged")))</f>
        <v/>
      </c>
      <c r="L825" s="29" t="str">
        <f aca="false">IF($A825="","",AsOf-$B825)</f>
        <v/>
      </c>
      <c r="M825" s="29" t="str">
        <f aca="false">IF($K825="Open",IF($C825="Conflict","Critical",IF($L825&gt;=DecisionCritical,"Critical",IF($L825&gt;=DecisionWarn,"Warning","On track"))),IF($K825="Unconfirmed",IF($L825&gt;=UnconfirmedWarn,"Warning","On track"),""))</f>
        <v/>
      </c>
      <c r="N825" s="29" t="str">
        <f aca="false">IF($M825="","",IF($M825="Critical",3000,IF($M825="Warning",2000,1000))+$L825+ROW()/100000)</f>
        <v/>
      </c>
      <c r="O825" s="29" t="str">
        <f aca="false">IF($K825="Open",IF($C825="Conflict","decide "&amp;$A825&amp;": &lt;which version stands&gt;","decide "&amp;$A825&amp;": &lt;outcome&gt;"),IF($K825="Unconfirmed","confirm "&amp;$A825,""))</f>
        <v/>
      </c>
    </row>
    <row r="826" customFormat="false" ht="15" hidden="false" customHeight="false" outlineLevel="0" collapsed="false">
      <c r="A826" s="24"/>
      <c r="B826" s="27"/>
      <c r="C826" s="28"/>
      <c r="D826" s="24"/>
      <c r="E826" s="24"/>
      <c r="F826" s="24"/>
      <c r="G826" s="28"/>
      <c r="H826" s="28"/>
      <c r="I826" s="24"/>
      <c r="J826" s="24"/>
      <c r="K826" s="29" t="str">
        <f aca="false">IF($A826="","",IF(OR($C826="Decision",$C826="Conflict"),IF(COUNTIFS($I$2:$I$1001,$A826,$C$2:$C$1001,"Resolved")=0,"Open","Closed"),IF(AND($H826="Unconfirmed",OR($C826="New",$C826="Know")),IF(COUNTIFS($I$2:$I$1001,$A826,$C$2:$C$1001,"Confirmed")=0,"Unconfirmed","Confirmed"),"Logged")))</f>
        <v/>
      </c>
      <c r="L826" s="29" t="str">
        <f aca="false">IF($A826="","",AsOf-$B826)</f>
        <v/>
      </c>
      <c r="M826" s="29" t="str">
        <f aca="false">IF($K826="Open",IF($C826="Conflict","Critical",IF($L826&gt;=DecisionCritical,"Critical",IF($L826&gt;=DecisionWarn,"Warning","On track"))),IF($K826="Unconfirmed",IF($L826&gt;=UnconfirmedWarn,"Warning","On track"),""))</f>
        <v/>
      </c>
      <c r="N826" s="29" t="str">
        <f aca="false">IF($M826="","",IF($M826="Critical",3000,IF($M826="Warning",2000,1000))+$L826+ROW()/100000)</f>
        <v/>
      </c>
      <c r="O826" s="29" t="str">
        <f aca="false">IF($K826="Open",IF($C826="Conflict","decide "&amp;$A826&amp;": &lt;which version stands&gt;","decide "&amp;$A826&amp;": &lt;outcome&gt;"),IF($K826="Unconfirmed","confirm "&amp;$A826,""))</f>
        <v/>
      </c>
    </row>
    <row r="827" customFormat="false" ht="15" hidden="false" customHeight="false" outlineLevel="0" collapsed="false">
      <c r="A827" s="24"/>
      <c r="B827" s="27"/>
      <c r="C827" s="28"/>
      <c r="D827" s="24"/>
      <c r="E827" s="24"/>
      <c r="F827" s="24"/>
      <c r="G827" s="28"/>
      <c r="H827" s="28"/>
      <c r="I827" s="24"/>
      <c r="J827" s="24"/>
      <c r="K827" s="29" t="str">
        <f aca="false">IF($A827="","",IF(OR($C827="Decision",$C827="Conflict"),IF(COUNTIFS($I$2:$I$1001,$A827,$C$2:$C$1001,"Resolved")=0,"Open","Closed"),IF(AND($H827="Unconfirmed",OR($C827="New",$C827="Know")),IF(COUNTIFS($I$2:$I$1001,$A827,$C$2:$C$1001,"Confirmed")=0,"Unconfirmed","Confirmed"),"Logged")))</f>
        <v/>
      </c>
      <c r="L827" s="29" t="str">
        <f aca="false">IF($A827="","",AsOf-$B827)</f>
        <v/>
      </c>
      <c r="M827" s="29" t="str">
        <f aca="false">IF($K827="Open",IF($C827="Conflict","Critical",IF($L827&gt;=DecisionCritical,"Critical",IF($L827&gt;=DecisionWarn,"Warning","On track"))),IF($K827="Unconfirmed",IF($L827&gt;=UnconfirmedWarn,"Warning","On track"),""))</f>
        <v/>
      </c>
      <c r="N827" s="29" t="str">
        <f aca="false">IF($M827="","",IF($M827="Critical",3000,IF($M827="Warning",2000,1000))+$L827+ROW()/100000)</f>
        <v/>
      </c>
      <c r="O827" s="29" t="str">
        <f aca="false">IF($K827="Open",IF($C827="Conflict","decide "&amp;$A827&amp;": &lt;which version stands&gt;","decide "&amp;$A827&amp;": &lt;outcome&gt;"),IF($K827="Unconfirmed","confirm "&amp;$A827,""))</f>
        <v/>
      </c>
    </row>
    <row r="828" customFormat="false" ht="15" hidden="false" customHeight="false" outlineLevel="0" collapsed="false">
      <c r="A828" s="24"/>
      <c r="B828" s="27"/>
      <c r="C828" s="28"/>
      <c r="D828" s="24"/>
      <c r="E828" s="24"/>
      <c r="F828" s="24"/>
      <c r="G828" s="28"/>
      <c r="H828" s="28"/>
      <c r="I828" s="24"/>
      <c r="J828" s="24"/>
      <c r="K828" s="29" t="str">
        <f aca="false">IF($A828="","",IF(OR($C828="Decision",$C828="Conflict"),IF(COUNTIFS($I$2:$I$1001,$A828,$C$2:$C$1001,"Resolved")=0,"Open","Closed"),IF(AND($H828="Unconfirmed",OR($C828="New",$C828="Know")),IF(COUNTIFS($I$2:$I$1001,$A828,$C$2:$C$1001,"Confirmed")=0,"Unconfirmed","Confirmed"),"Logged")))</f>
        <v/>
      </c>
      <c r="L828" s="29" t="str">
        <f aca="false">IF($A828="","",AsOf-$B828)</f>
        <v/>
      </c>
      <c r="M828" s="29" t="str">
        <f aca="false">IF($K828="Open",IF($C828="Conflict","Critical",IF($L828&gt;=DecisionCritical,"Critical",IF($L828&gt;=DecisionWarn,"Warning","On track"))),IF($K828="Unconfirmed",IF($L828&gt;=UnconfirmedWarn,"Warning","On track"),""))</f>
        <v/>
      </c>
      <c r="N828" s="29" t="str">
        <f aca="false">IF($M828="","",IF($M828="Critical",3000,IF($M828="Warning",2000,1000))+$L828+ROW()/100000)</f>
        <v/>
      </c>
      <c r="O828" s="29" t="str">
        <f aca="false">IF($K828="Open",IF($C828="Conflict","decide "&amp;$A828&amp;": &lt;which version stands&gt;","decide "&amp;$A828&amp;": &lt;outcome&gt;"),IF($K828="Unconfirmed","confirm "&amp;$A828,""))</f>
        <v/>
      </c>
    </row>
    <row r="829" customFormat="false" ht="15" hidden="false" customHeight="false" outlineLevel="0" collapsed="false">
      <c r="A829" s="24"/>
      <c r="B829" s="27"/>
      <c r="C829" s="28"/>
      <c r="D829" s="24"/>
      <c r="E829" s="24"/>
      <c r="F829" s="24"/>
      <c r="G829" s="28"/>
      <c r="H829" s="28"/>
      <c r="I829" s="24"/>
      <c r="J829" s="24"/>
      <c r="K829" s="29" t="str">
        <f aca="false">IF($A829="","",IF(OR($C829="Decision",$C829="Conflict"),IF(COUNTIFS($I$2:$I$1001,$A829,$C$2:$C$1001,"Resolved")=0,"Open","Closed"),IF(AND($H829="Unconfirmed",OR($C829="New",$C829="Know")),IF(COUNTIFS($I$2:$I$1001,$A829,$C$2:$C$1001,"Confirmed")=0,"Unconfirmed","Confirmed"),"Logged")))</f>
        <v/>
      </c>
      <c r="L829" s="29" t="str">
        <f aca="false">IF($A829="","",AsOf-$B829)</f>
        <v/>
      </c>
      <c r="M829" s="29" t="str">
        <f aca="false">IF($K829="Open",IF($C829="Conflict","Critical",IF($L829&gt;=DecisionCritical,"Critical",IF($L829&gt;=DecisionWarn,"Warning","On track"))),IF($K829="Unconfirmed",IF($L829&gt;=UnconfirmedWarn,"Warning","On track"),""))</f>
        <v/>
      </c>
      <c r="N829" s="29" t="str">
        <f aca="false">IF($M829="","",IF($M829="Critical",3000,IF($M829="Warning",2000,1000))+$L829+ROW()/100000)</f>
        <v/>
      </c>
      <c r="O829" s="29" t="str">
        <f aca="false">IF($K829="Open",IF($C829="Conflict","decide "&amp;$A829&amp;": &lt;which version stands&gt;","decide "&amp;$A829&amp;": &lt;outcome&gt;"),IF($K829="Unconfirmed","confirm "&amp;$A829,""))</f>
        <v/>
      </c>
    </row>
    <row r="830" customFormat="false" ht="15" hidden="false" customHeight="false" outlineLevel="0" collapsed="false">
      <c r="A830" s="24"/>
      <c r="B830" s="27"/>
      <c r="C830" s="28"/>
      <c r="D830" s="24"/>
      <c r="E830" s="24"/>
      <c r="F830" s="24"/>
      <c r="G830" s="28"/>
      <c r="H830" s="28"/>
      <c r="I830" s="24"/>
      <c r="J830" s="24"/>
      <c r="K830" s="29" t="str">
        <f aca="false">IF($A830="","",IF(OR($C830="Decision",$C830="Conflict"),IF(COUNTIFS($I$2:$I$1001,$A830,$C$2:$C$1001,"Resolved")=0,"Open","Closed"),IF(AND($H830="Unconfirmed",OR($C830="New",$C830="Know")),IF(COUNTIFS($I$2:$I$1001,$A830,$C$2:$C$1001,"Confirmed")=0,"Unconfirmed","Confirmed"),"Logged")))</f>
        <v/>
      </c>
      <c r="L830" s="29" t="str">
        <f aca="false">IF($A830="","",AsOf-$B830)</f>
        <v/>
      </c>
      <c r="M830" s="29" t="str">
        <f aca="false">IF($K830="Open",IF($C830="Conflict","Critical",IF($L830&gt;=DecisionCritical,"Critical",IF($L830&gt;=DecisionWarn,"Warning","On track"))),IF($K830="Unconfirmed",IF($L830&gt;=UnconfirmedWarn,"Warning","On track"),""))</f>
        <v/>
      </c>
      <c r="N830" s="29" t="str">
        <f aca="false">IF($M830="","",IF($M830="Critical",3000,IF($M830="Warning",2000,1000))+$L830+ROW()/100000)</f>
        <v/>
      </c>
      <c r="O830" s="29" t="str">
        <f aca="false">IF($K830="Open",IF($C830="Conflict","decide "&amp;$A830&amp;": &lt;which version stands&gt;","decide "&amp;$A830&amp;": &lt;outcome&gt;"),IF($K830="Unconfirmed","confirm "&amp;$A830,""))</f>
        <v/>
      </c>
    </row>
    <row r="831" customFormat="false" ht="15" hidden="false" customHeight="false" outlineLevel="0" collapsed="false">
      <c r="A831" s="24"/>
      <c r="B831" s="27"/>
      <c r="C831" s="28"/>
      <c r="D831" s="24"/>
      <c r="E831" s="24"/>
      <c r="F831" s="24"/>
      <c r="G831" s="28"/>
      <c r="H831" s="28"/>
      <c r="I831" s="24"/>
      <c r="J831" s="24"/>
      <c r="K831" s="29" t="str">
        <f aca="false">IF($A831="","",IF(OR($C831="Decision",$C831="Conflict"),IF(COUNTIFS($I$2:$I$1001,$A831,$C$2:$C$1001,"Resolved")=0,"Open","Closed"),IF(AND($H831="Unconfirmed",OR($C831="New",$C831="Know")),IF(COUNTIFS($I$2:$I$1001,$A831,$C$2:$C$1001,"Confirmed")=0,"Unconfirmed","Confirmed"),"Logged")))</f>
        <v/>
      </c>
      <c r="L831" s="29" t="str">
        <f aca="false">IF($A831="","",AsOf-$B831)</f>
        <v/>
      </c>
      <c r="M831" s="29" t="str">
        <f aca="false">IF($K831="Open",IF($C831="Conflict","Critical",IF($L831&gt;=DecisionCritical,"Critical",IF($L831&gt;=DecisionWarn,"Warning","On track"))),IF($K831="Unconfirmed",IF($L831&gt;=UnconfirmedWarn,"Warning","On track"),""))</f>
        <v/>
      </c>
      <c r="N831" s="29" t="str">
        <f aca="false">IF($M831="","",IF($M831="Critical",3000,IF($M831="Warning",2000,1000))+$L831+ROW()/100000)</f>
        <v/>
      </c>
      <c r="O831" s="29" t="str">
        <f aca="false">IF($K831="Open",IF($C831="Conflict","decide "&amp;$A831&amp;": &lt;which version stands&gt;","decide "&amp;$A831&amp;": &lt;outcome&gt;"),IF($K831="Unconfirmed","confirm "&amp;$A831,""))</f>
        <v/>
      </c>
    </row>
    <row r="832" customFormat="false" ht="15" hidden="false" customHeight="false" outlineLevel="0" collapsed="false">
      <c r="A832" s="24"/>
      <c r="B832" s="27"/>
      <c r="C832" s="28"/>
      <c r="D832" s="24"/>
      <c r="E832" s="24"/>
      <c r="F832" s="24"/>
      <c r="G832" s="28"/>
      <c r="H832" s="28"/>
      <c r="I832" s="24"/>
      <c r="J832" s="24"/>
      <c r="K832" s="29" t="str">
        <f aca="false">IF($A832="","",IF(OR($C832="Decision",$C832="Conflict"),IF(COUNTIFS($I$2:$I$1001,$A832,$C$2:$C$1001,"Resolved")=0,"Open","Closed"),IF(AND($H832="Unconfirmed",OR($C832="New",$C832="Know")),IF(COUNTIFS($I$2:$I$1001,$A832,$C$2:$C$1001,"Confirmed")=0,"Unconfirmed","Confirmed"),"Logged")))</f>
        <v/>
      </c>
      <c r="L832" s="29" t="str">
        <f aca="false">IF($A832="","",AsOf-$B832)</f>
        <v/>
      </c>
      <c r="M832" s="29" t="str">
        <f aca="false">IF($K832="Open",IF($C832="Conflict","Critical",IF($L832&gt;=DecisionCritical,"Critical",IF($L832&gt;=DecisionWarn,"Warning","On track"))),IF($K832="Unconfirmed",IF($L832&gt;=UnconfirmedWarn,"Warning","On track"),""))</f>
        <v/>
      </c>
      <c r="N832" s="29" t="str">
        <f aca="false">IF($M832="","",IF($M832="Critical",3000,IF($M832="Warning",2000,1000))+$L832+ROW()/100000)</f>
        <v/>
      </c>
      <c r="O832" s="29" t="str">
        <f aca="false">IF($K832="Open",IF($C832="Conflict","decide "&amp;$A832&amp;": &lt;which version stands&gt;","decide "&amp;$A832&amp;": &lt;outcome&gt;"),IF($K832="Unconfirmed","confirm "&amp;$A832,""))</f>
        <v/>
      </c>
    </row>
    <row r="833" customFormat="false" ht="15" hidden="false" customHeight="false" outlineLevel="0" collapsed="false">
      <c r="A833" s="24"/>
      <c r="B833" s="27"/>
      <c r="C833" s="28"/>
      <c r="D833" s="24"/>
      <c r="E833" s="24"/>
      <c r="F833" s="24"/>
      <c r="G833" s="28"/>
      <c r="H833" s="28"/>
      <c r="I833" s="24"/>
      <c r="J833" s="24"/>
      <c r="K833" s="29" t="str">
        <f aca="false">IF($A833="","",IF(OR($C833="Decision",$C833="Conflict"),IF(COUNTIFS($I$2:$I$1001,$A833,$C$2:$C$1001,"Resolved")=0,"Open","Closed"),IF(AND($H833="Unconfirmed",OR($C833="New",$C833="Know")),IF(COUNTIFS($I$2:$I$1001,$A833,$C$2:$C$1001,"Confirmed")=0,"Unconfirmed","Confirmed"),"Logged")))</f>
        <v/>
      </c>
      <c r="L833" s="29" t="str">
        <f aca="false">IF($A833="","",AsOf-$B833)</f>
        <v/>
      </c>
      <c r="M833" s="29" t="str">
        <f aca="false">IF($K833="Open",IF($C833="Conflict","Critical",IF($L833&gt;=DecisionCritical,"Critical",IF($L833&gt;=DecisionWarn,"Warning","On track"))),IF($K833="Unconfirmed",IF($L833&gt;=UnconfirmedWarn,"Warning","On track"),""))</f>
        <v/>
      </c>
      <c r="N833" s="29" t="str">
        <f aca="false">IF($M833="","",IF($M833="Critical",3000,IF($M833="Warning",2000,1000))+$L833+ROW()/100000)</f>
        <v/>
      </c>
      <c r="O833" s="29" t="str">
        <f aca="false">IF($K833="Open",IF($C833="Conflict","decide "&amp;$A833&amp;": &lt;which version stands&gt;","decide "&amp;$A833&amp;": &lt;outcome&gt;"),IF($K833="Unconfirmed","confirm "&amp;$A833,""))</f>
        <v/>
      </c>
    </row>
    <row r="834" customFormat="false" ht="15" hidden="false" customHeight="false" outlineLevel="0" collapsed="false">
      <c r="A834" s="24"/>
      <c r="B834" s="27"/>
      <c r="C834" s="28"/>
      <c r="D834" s="24"/>
      <c r="E834" s="24"/>
      <c r="F834" s="24"/>
      <c r="G834" s="28"/>
      <c r="H834" s="28"/>
      <c r="I834" s="24"/>
      <c r="J834" s="24"/>
      <c r="K834" s="29" t="str">
        <f aca="false">IF($A834="","",IF(OR($C834="Decision",$C834="Conflict"),IF(COUNTIFS($I$2:$I$1001,$A834,$C$2:$C$1001,"Resolved")=0,"Open","Closed"),IF(AND($H834="Unconfirmed",OR($C834="New",$C834="Know")),IF(COUNTIFS($I$2:$I$1001,$A834,$C$2:$C$1001,"Confirmed")=0,"Unconfirmed","Confirmed"),"Logged")))</f>
        <v/>
      </c>
      <c r="L834" s="29" t="str">
        <f aca="false">IF($A834="","",AsOf-$B834)</f>
        <v/>
      </c>
      <c r="M834" s="29" t="str">
        <f aca="false">IF($K834="Open",IF($C834="Conflict","Critical",IF($L834&gt;=DecisionCritical,"Critical",IF($L834&gt;=DecisionWarn,"Warning","On track"))),IF($K834="Unconfirmed",IF($L834&gt;=UnconfirmedWarn,"Warning","On track"),""))</f>
        <v/>
      </c>
      <c r="N834" s="29" t="str">
        <f aca="false">IF($M834="","",IF($M834="Critical",3000,IF($M834="Warning",2000,1000))+$L834+ROW()/100000)</f>
        <v/>
      </c>
      <c r="O834" s="29" t="str">
        <f aca="false">IF($K834="Open",IF($C834="Conflict","decide "&amp;$A834&amp;": &lt;which version stands&gt;","decide "&amp;$A834&amp;": &lt;outcome&gt;"),IF($K834="Unconfirmed","confirm "&amp;$A834,""))</f>
        <v/>
      </c>
    </row>
    <row r="835" customFormat="false" ht="15" hidden="false" customHeight="false" outlineLevel="0" collapsed="false">
      <c r="A835" s="24"/>
      <c r="B835" s="27"/>
      <c r="C835" s="28"/>
      <c r="D835" s="24"/>
      <c r="E835" s="24"/>
      <c r="F835" s="24"/>
      <c r="G835" s="28"/>
      <c r="H835" s="28"/>
      <c r="I835" s="24"/>
      <c r="J835" s="24"/>
      <c r="K835" s="29" t="str">
        <f aca="false">IF($A835="","",IF(OR($C835="Decision",$C835="Conflict"),IF(COUNTIFS($I$2:$I$1001,$A835,$C$2:$C$1001,"Resolved")=0,"Open","Closed"),IF(AND($H835="Unconfirmed",OR($C835="New",$C835="Know")),IF(COUNTIFS($I$2:$I$1001,$A835,$C$2:$C$1001,"Confirmed")=0,"Unconfirmed","Confirmed"),"Logged")))</f>
        <v/>
      </c>
      <c r="L835" s="29" t="str">
        <f aca="false">IF($A835="","",AsOf-$B835)</f>
        <v/>
      </c>
      <c r="M835" s="29" t="str">
        <f aca="false">IF($K835="Open",IF($C835="Conflict","Critical",IF($L835&gt;=DecisionCritical,"Critical",IF($L835&gt;=DecisionWarn,"Warning","On track"))),IF($K835="Unconfirmed",IF($L835&gt;=UnconfirmedWarn,"Warning","On track"),""))</f>
        <v/>
      </c>
      <c r="N835" s="29" t="str">
        <f aca="false">IF($M835="","",IF($M835="Critical",3000,IF($M835="Warning",2000,1000))+$L835+ROW()/100000)</f>
        <v/>
      </c>
      <c r="O835" s="29" t="str">
        <f aca="false">IF($K835="Open",IF($C835="Conflict","decide "&amp;$A835&amp;": &lt;which version stands&gt;","decide "&amp;$A835&amp;": &lt;outcome&gt;"),IF($K835="Unconfirmed","confirm "&amp;$A835,""))</f>
        <v/>
      </c>
    </row>
    <row r="836" customFormat="false" ht="15" hidden="false" customHeight="false" outlineLevel="0" collapsed="false">
      <c r="A836" s="24"/>
      <c r="B836" s="27"/>
      <c r="C836" s="28"/>
      <c r="D836" s="24"/>
      <c r="E836" s="24"/>
      <c r="F836" s="24"/>
      <c r="G836" s="28"/>
      <c r="H836" s="28"/>
      <c r="I836" s="24"/>
      <c r="J836" s="24"/>
      <c r="K836" s="29" t="str">
        <f aca="false">IF($A836="","",IF(OR($C836="Decision",$C836="Conflict"),IF(COUNTIFS($I$2:$I$1001,$A836,$C$2:$C$1001,"Resolved")=0,"Open","Closed"),IF(AND($H836="Unconfirmed",OR($C836="New",$C836="Know")),IF(COUNTIFS($I$2:$I$1001,$A836,$C$2:$C$1001,"Confirmed")=0,"Unconfirmed","Confirmed"),"Logged")))</f>
        <v/>
      </c>
      <c r="L836" s="29" t="str">
        <f aca="false">IF($A836="","",AsOf-$B836)</f>
        <v/>
      </c>
      <c r="M836" s="29" t="str">
        <f aca="false">IF($K836="Open",IF($C836="Conflict","Critical",IF($L836&gt;=DecisionCritical,"Critical",IF($L836&gt;=DecisionWarn,"Warning","On track"))),IF($K836="Unconfirmed",IF($L836&gt;=UnconfirmedWarn,"Warning","On track"),""))</f>
        <v/>
      </c>
      <c r="N836" s="29" t="str">
        <f aca="false">IF($M836="","",IF($M836="Critical",3000,IF($M836="Warning",2000,1000))+$L836+ROW()/100000)</f>
        <v/>
      </c>
      <c r="O836" s="29" t="str">
        <f aca="false">IF($K836="Open",IF($C836="Conflict","decide "&amp;$A836&amp;": &lt;which version stands&gt;","decide "&amp;$A836&amp;": &lt;outcome&gt;"),IF($K836="Unconfirmed","confirm "&amp;$A836,""))</f>
        <v/>
      </c>
    </row>
    <row r="837" customFormat="false" ht="15" hidden="false" customHeight="false" outlineLevel="0" collapsed="false">
      <c r="A837" s="24"/>
      <c r="B837" s="27"/>
      <c r="C837" s="28"/>
      <c r="D837" s="24"/>
      <c r="E837" s="24"/>
      <c r="F837" s="24"/>
      <c r="G837" s="28"/>
      <c r="H837" s="28"/>
      <c r="I837" s="24"/>
      <c r="J837" s="24"/>
      <c r="K837" s="29" t="str">
        <f aca="false">IF($A837="","",IF(OR($C837="Decision",$C837="Conflict"),IF(COUNTIFS($I$2:$I$1001,$A837,$C$2:$C$1001,"Resolved")=0,"Open","Closed"),IF(AND($H837="Unconfirmed",OR($C837="New",$C837="Know")),IF(COUNTIFS($I$2:$I$1001,$A837,$C$2:$C$1001,"Confirmed")=0,"Unconfirmed","Confirmed"),"Logged")))</f>
        <v/>
      </c>
      <c r="L837" s="29" t="str">
        <f aca="false">IF($A837="","",AsOf-$B837)</f>
        <v/>
      </c>
      <c r="M837" s="29" t="str">
        <f aca="false">IF($K837="Open",IF($C837="Conflict","Critical",IF($L837&gt;=DecisionCritical,"Critical",IF($L837&gt;=DecisionWarn,"Warning","On track"))),IF($K837="Unconfirmed",IF($L837&gt;=UnconfirmedWarn,"Warning","On track"),""))</f>
        <v/>
      </c>
      <c r="N837" s="29" t="str">
        <f aca="false">IF($M837="","",IF($M837="Critical",3000,IF($M837="Warning",2000,1000))+$L837+ROW()/100000)</f>
        <v/>
      </c>
      <c r="O837" s="29" t="str">
        <f aca="false">IF($K837="Open",IF($C837="Conflict","decide "&amp;$A837&amp;": &lt;which version stands&gt;","decide "&amp;$A837&amp;": &lt;outcome&gt;"),IF($K837="Unconfirmed","confirm "&amp;$A837,""))</f>
        <v/>
      </c>
    </row>
    <row r="838" customFormat="false" ht="15" hidden="false" customHeight="false" outlineLevel="0" collapsed="false">
      <c r="A838" s="24"/>
      <c r="B838" s="27"/>
      <c r="C838" s="28"/>
      <c r="D838" s="24"/>
      <c r="E838" s="24"/>
      <c r="F838" s="24"/>
      <c r="G838" s="28"/>
      <c r="H838" s="28"/>
      <c r="I838" s="24"/>
      <c r="J838" s="24"/>
      <c r="K838" s="29" t="str">
        <f aca="false">IF($A838="","",IF(OR($C838="Decision",$C838="Conflict"),IF(COUNTIFS($I$2:$I$1001,$A838,$C$2:$C$1001,"Resolved")=0,"Open","Closed"),IF(AND($H838="Unconfirmed",OR($C838="New",$C838="Know")),IF(COUNTIFS($I$2:$I$1001,$A838,$C$2:$C$1001,"Confirmed")=0,"Unconfirmed","Confirmed"),"Logged")))</f>
        <v/>
      </c>
      <c r="L838" s="29" t="str">
        <f aca="false">IF($A838="","",AsOf-$B838)</f>
        <v/>
      </c>
      <c r="M838" s="29" t="str">
        <f aca="false">IF($K838="Open",IF($C838="Conflict","Critical",IF($L838&gt;=DecisionCritical,"Critical",IF($L838&gt;=DecisionWarn,"Warning","On track"))),IF($K838="Unconfirmed",IF($L838&gt;=UnconfirmedWarn,"Warning","On track"),""))</f>
        <v/>
      </c>
      <c r="N838" s="29" t="str">
        <f aca="false">IF($M838="","",IF($M838="Critical",3000,IF($M838="Warning",2000,1000))+$L838+ROW()/100000)</f>
        <v/>
      </c>
      <c r="O838" s="29" t="str">
        <f aca="false">IF($K838="Open",IF($C838="Conflict","decide "&amp;$A838&amp;": &lt;which version stands&gt;","decide "&amp;$A838&amp;": &lt;outcome&gt;"),IF($K838="Unconfirmed","confirm "&amp;$A838,""))</f>
        <v/>
      </c>
    </row>
    <row r="839" customFormat="false" ht="15" hidden="false" customHeight="false" outlineLevel="0" collapsed="false">
      <c r="A839" s="24"/>
      <c r="B839" s="27"/>
      <c r="C839" s="28"/>
      <c r="D839" s="24"/>
      <c r="E839" s="24"/>
      <c r="F839" s="24"/>
      <c r="G839" s="28"/>
      <c r="H839" s="28"/>
      <c r="I839" s="24"/>
      <c r="J839" s="24"/>
      <c r="K839" s="29" t="str">
        <f aca="false">IF($A839="","",IF(OR($C839="Decision",$C839="Conflict"),IF(COUNTIFS($I$2:$I$1001,$A839,$C$2:$C$1001,"Resolved")=0,"Open","Closed"),IF(AND($H839="Unconfirmed",OR($C839="New",$C839="Know")),IF(COUNTIFS($I$2:$I$1001,$A839,$C$2:$C$1001,"Confirmed")=0,"Unconfirmed","Confirmed"),"Logged")))</f>
        <v/>
      </c>
      <c r="L839" s="29" t="str">
        <f aca="false">IF($A839="","",AsOf-$B839)</f>
        <v/>
      </c>
      <c r="M839" s="29" t="str">
        <f aca="false">IF($K839="Open",IF($C839="Conflict","Critical",IF($L839&gt;=DecisionCritical,"Critical",IF($L839&gt;=DecisionWarn,"Warning","On track"))),IF($K839="Unconfirmed",IF($L839&gt;=UnconfirmedWarn,"Warning","On track"),""))</f>
        <v/>
      </c>
      <c r="N839" s="29" t="str">
        <f aca="false">IF($M839="","",IF($M839="Critical",3000,IF($M839="Warning",2000,1000))+$L839+ROW()/100000)</f>
        <v/>
      </c>
      <c r="O839" s="29" t="str">
        <f aca="false">IF($K839="Open",IF($C839="Conflict","decide "&amp;$A839&amp;": &lt;which version stands&gt;","decide "&amp;$A839&amp;": &lt;outcome&gt;"),IF($K839="Unconfirmed","confirm "&amp;$A839,""))</f>
        <v/>
      </c>
    </row>
    <row r="840" customFormat="false" ht="15" hidden="false" customHeight="false" outlineLevel="0" collapsed="false">
      <c r="A840" s="24"/>
      <c r="B840" s="27"/>
      <c r="C840" s="28"/>
      <c r="D840" s="24"/>
      <c r="E840" s="24"/>
      <c r="F840" s="24"/>
      <c r="G840" s="28"/>
      <c r="H840" s="28"/>
      <c r="I840" s="24"/>
      <c r="J840" s="24"/>
      <c r="K840" s="29" t="str">
        <f aca="false">IF($A840="","",IF(OR($C840="Decision",$C840="Conflict"),IF(COUNTIFS($I$2:$I$1001,$A840,$C$2:$C$1001,"Resolved")=0,"Open","Closed"),IF(AND($H840="Unconfirmed",OR($C840="New",$C840="Know")),IF(COUNTIFS($I$2:$I$1001,$A840,$C$2:$C$1001,"Confirmed")=0,"Unconfirmed","Confirmed"),"Logged")))</f>
        <v/>
      </c>
      <c r="L840" s="29" t="str">
        <f aca="false">IF($A840="","",AsOf-$B840)</f>
        <v/>
      </c>
      <c r="M840" s="29" t="str">
        <f aca="false">IF($K840="Open",IF($C840="Conflict","Critical",IF($L840&gt;=DecisionCritical,"Critical",IF($L840&gt;=DecisionWarn,"Warning","On track"))),IF($K840="Unconfirmed",IF($L840&gt;=UnconfirmedWarn,"Warning","On track"),""))</f>
        <v/>
      </c>
      <c r="N840" s="29" t="str">
        <f aca="false">IF($M840="","",IF($M840="Critical",3000,IF($M840="Warning",2000,1000))+$L840+ROW()/100000)</f>
        <v/>
      </c>
      <c r="O840" s="29" t="str">
        <f aca="false">IF($K840="Open",IF($C840="Conflict","decide "&amp;$A840&amp;": &lt;which version stands&gt;","decide "&amp;$A840&amp;": &lt;outcome&gt;"),IF($K840="Unconfirmed","confirm "&amp;$A840,""))</f>
        <v/>
      </c>
    </row>
    <row r="841" customFormat="false" ht="15" hidden="false" customHeight="false" outlineLevel="0" collapsed="false">
      <c r="A841" s="24"/>
      <c r="B841" s="27"/>
      <c r="C841" s="28"/>
      <c r="D841" s="24"/>
      <c r="E841" s="24"/>
      <c r="F841" s="24"/>
      <c r="G841" s="28"/>
      <c r="H841" s="28"/>
      <c r="I841" s="24"/>
      <c r="J841" s="24"/>
      <c r="K841" s="29" t="str">
        <f aca="false">IF($A841="","",IF(OR($C841="Decision",$C841="Conflict"),IF(COUNTIFS($I$2:$I$1001,$A841,$C$2:$C$1001,"Resolved")=0,"Open","Closed"),IF(AND($H841="Unconfirmed",OR($C841="New",$C841="Know")),IF(COUNTIFS($I$2:$I$1001,$A841,$C$2:$C$1001,"Confirmed")=0,"Unconfirmed","Confirmed"),"Logged")))</f>
        <v/>
      </c>
      <c r="L841" s="29" t="str">
        <f aca="false">IF($A841="","",AsOf-$B841)</f>
        <v/>
      </c>
      <c r="M841" s="29" t="str">
        <f aca="false">IF($K841="Open",IF($C841="Conflict","Critical",IF($L841&gt;=DecisionCritical,"Critical",IF($L841&gt;=DecisionWarn,"Warning","On track"))),IF($K841="Unconfirmed",IF($L841&gt;=UnconfirmedWarn,"Warning","On track"),""))</f>
        <v/>
      </c>
      <c r="N841" s="29" t="str">
        <f aca="false">IF($M841="","",IF($M841="Critical",3000,IF($M841="Warning",2000,1000))+$L841+ROW()/100000)</f>
        <v/>
      </c>
      <c r="O841" s="29" t="str">
        <f aca="false">IF($K841="Open",IF($C841="Conflict","decide "&amp;$A841&amp;": &lt;which version stands&gt;","decide "&amp;$A841&amp;": &lt;outcome&gt;"),IF($K841="Unconfirmed","confirm "&amp;$A841,""))</f>
        <v/>
      </c>
    </row>
    <row r="842" customFormat="false" ht="15" hidden="false" customHeight="false" outlineLevel="0" collapsed="false">
      <c r="A842" s="24"/>
      <c r="B842" s="27"/>
      <c r="C842" s="28"/>
      <c r="D842" s="24"/>
      <c r="E842" s="24"/>
      <c r="F842" s="24"/>
      <c r="G842" s="28"/>
      <c r="H842" s="28"/>
      <c r="I842" s="24"/>
      <c r="J842" s="24"/>
      <c r="K842" s="29" t="str">
        <f aca="false">IF($A842="","",IF(OR($C842="Decision",$C842="Conflict"),IF(COUNTIFS($I$2:$I$1001,$A842,$C$2:$C$1001,"Resolved")=0,"Open","Closed"),IF(AND($H842="Unconfirmed",OR($C842="New",$C842="Know")),IF(COUNTIFS($I$2:$I$1001,$A842,$C$2:$C$1001,"Confirmed")=0,"Unconfirmed","Confirmed"),"Logged")))</f>
        <v/>
      </c>
      <c r="L842" s="29" t="str">
        <f aca="false">IF($A842="","",AsOf-$B842)</f>
        <v/>
      </c>
      <c r="M842" s="29" t="str">
        <f aca="false">IF($K842="Open",IF($C842="Conflict","Critical",IF($L842&gt;=DecisionCritical,"Critical",IF($L842&gt;=DecisionWarn,"Warning","On track"))),IF($K842="Unconfirmed",IF($L842&gt;=UnconfirmedWarn,"Warning","On track"),""))</f>
        <v/>
      </c>
      <c r="N842" s="29" t="str">
        <f aca="false">IF($M842="","",IF($M842="Critical",3000,IF($M842="Warning",2000,1000))+$L842+ROW()/100000)</f>
        <v/>
      </c>
      <c r="O842" s="29" t="str">
        <f aca="false">IF($K842="Open",IF($C842="Conflict","decide "&amp;$A842&amp;": &lt;which version stands&gt;","decide "&amp;$A842&amp;": &lt;outcome&gt;"),IF($K842="Unconfirmed","confirm "&amp;$A842,""))</f>
        <v/>
      </c>
    </row>
    <row r="843" customFormat="false" ht="15" hidden="false" customHeight="false" outlineLevel="0" collapsed="false">
      <c r="A843" s="24"/>
      <c r="B843" s="27"/>
      <c r="C843" s="28"/>
      <c r="D843" s="24"/>
      <c r="E843" s="24"/>
      <c r="F843" s="24"/>
      <c r="G843" s="28"/>
      <c r="H843" s="28"/>
      <c r="I843" s="24"/>
      <c r="J843" s="24"/>
      <c r="K843" s="29" t="str">
        <f aca="false">IF($A843="","",IF(OR($C843="Decision",$C843="Conflict"),IF(COUNTIFS($I$2:$I$1001,$A843,$C$2:$C$1001,"Resolved")=0,"Open","Closed"),IF(AND($H843="Unconfirmed",OR($C843="New",$C843="Know")),IF(COUNTIFS($I$2:$I$1001,$A843,$C$2:$C$1001,"Confirmed")=0,"Unconfirmed","Confirmed"),"Logged")))</f>
        <v/>
      </c>
      <c r="L843" s="29" t="str">
        <f aca="false">IF($A843="","",AsOf-$B843)</f>
        <v/>
      </c>
      <c r="M843" s="29" t="str">
        <f aca="false">IF($K843="Open",IF($C843="Conflict","Critical",IF($L843&gt;=DecisionCritical,"Critical",IF($L843&gt;=DecisionWarn,"Warning","On track"))),IF($K843="Unconfirmed",IF($L843&gt;=UnconfirmedWarn,"Warning","On track"),""))</f>
        <v/>
      </c>
      <c r="N843" s="29" t="str">
        <f aca="false">IF($M843="","",IF($M843="Critical",3000,IF($M843="Warning",2000,1000))+$L843+ROW()/100000)</f>
        <v/>
      </c>
      <c r="O843" s="29" t="str">
        <f aca="false">IF($K843="Open",IF($C843="Conflict","decide "&amp;$A843&amp;": &lt;which version stands&gt;","decide "&amp;$A843&amp;": &lt;outcome&gt;"),IF($K843="Unconfirmed","confirm "&amp;$A843,""))</f>
        <v/>
      </c>
    </row>
    <row r="844" customFormat="false" ht="15" hidden="false" customHeight="false" outlineLevel="0" collapsed="false">
      <c r="A844" s="24"/>
      <c r="B844" s="27"/>
      <c r="C844" s="28"/>
      <c r="D844" s="24"/>
      <c r="E844" s="24"/>
      <c r="F844" s="24"/>
      <c r="G844" s="28"/>
      <c r="H844" s="28"/>
      <c r="I844" s="24"/>
      <c r="J844" s="24"/>
      <c r="K844" s="29" t="str">
        <f aca="false">IF($A844="","",IF(OR($C844="Decision",$C844="Conflict"),IF(COUNTIFS($I$2:$I$1001,$A844,$C$2:$C$1001,"Resolved")=0,"Open","Closed"),IF(AND($H844="Unconfirmed",OR($C844="New",$C844="Know")),IF(COUNTIFS($I$2:$I$1001,$A844,$C$2:$C$1001,"Confirmed")=0,"Unconfirmed","Confirmed"),"Logged")))</f>
        <v/>
      </c>
      <c r="L844" s="29" t="str">
        <f aca="false">IF($A844="","",AsOf-$B844)</f>
        <v/>
      </c>
      <c r="M844" s="29" t="str">
        <f aca="false">IF($K844="Open",IF($C844="Conflict","Critical",IF($L844&gt;=DecisionCritical,"Critical",IF($L844&gt;=DecisionWarn,"Warning","On track"))),IF($K844="Unconfirmed",IF($L844&gt;=UnconfirmedWarn,"Warning","On track"),""))</f>
        <v/>
      </c>
      <c r="N844" s="29" t="str">
        <f aca="false">IF($M844="","",IF($M844="Critical",3000,IF($M844="Warning",2000,1000))+$L844+ROW()/100000)</f>
        <v/>
      </c>
      <c r="O844" s="29" t="str">
        <f aca="false">IF($K844="Open",IF($C844="Conflict","decide "&amp;$A844&amp;": &lt;which version stands&gt;","decide "&amp;$A844&amp;": &lt;outcome&gt;"),IF($K844="Unconfirmed","confirm "&amp;$A844,""))</f>
        <v/>
      </c>
    </row>
    <row r="845" customFormat="false" ht="15" hidden="false" customHeight="false" outlineLevel="0" collapsed="false">
      <c r="A845" s="24"/>
      <c r="B845" s="27"/>
      <c r="C845" s="28"/>
      <c r="D845" s="24"/>
      <c r="E845" s="24"/>
      <c r="F845" s="24"/>
      <c r="G845" s="28"/>
      <c r="H845" s="28"/>
      <c r="I845" s="24"/>
      <c r="J845" s="24"/>
      <c r="K845" s="29" t="str">
        <f aca="false">IF($A845="","",IF(OR($C845="Decision",$C845="Conflict"),IF(COUNTIFS($I$2:$I$1001,$A845,$C$2:$C$1001,"Resolved")=0,"Open","Closed"),IF(AND($H845="Unconfirmed",OR($C845="New",$C845="Know")),IF(COUNTIFS($I$2:$I$1001,$A845,$C$2:$C$1001,"Confirmed")=0,"Unconfirmed","Confirmed"),"Logged")))</f>
        <v/>
      </c>
      <c r="L845" s="29" t="str">
        <f aca="false">IF($A845="","",AsOf-$B845)</f>
        <v/>
      </c>
      <c r="M845" s="29" t="str">
        <f aca="false">IF($K845="Open",IF($C845="Conflict","Critical",IF($L845&gt;=DecisionCritical,"Critical",IF($L845&gt;=DecisionWarn,"Warning","On track"))),IF($K845="Unconfirmed",IF($L845&gt;=UnconfirmedWarn,"Warning","On track"),""))</f>
        <v/>
      </c>
      <c r="N845" s="29" t="str">
        <f aca="false">IF($M845="","",IF($M845="Critical",3000,IF($M845="Warning",2000,1000))+$L845+ROW()/100000)</f>
        <v/>
      </c>
      <c r="O845" s="29" t="str">
        <f aca="false">IF($K845="Open",IF($C845="Conflict","decide "&amp;$A845&amp;": &lt;which version stands&gt;","decide "&amp;$A845&amp;": &lt;outcome&gt;"),IF($K845="Unconfirmed","confirm "&amp;$A845,""))</f>
        <v/>
      </c>
    </row>
    <row r="846" customFormat="false" ht="15" hidden="false" customHeight="false" outlineLevel="0" collapsed="false">
      <c r="A846" s="24"/>
      <c r="B846" s="27"/>
      <c r="C846" s="28"/>
      <c r="D846" s="24"/>
      <c r="E846" s="24"/>
      <c r="F846" s="24"/>
      <c r="G846" s="28"/>
      <c r="H846" s="28"/>
      <c r="I846" s="24"/>
      <c r="J846" s="24"/>
      <c r="K846" s="29" t="str">
        <f aca="false">IF($A846="","",IF(OR($C846="Decision",$C846="Conflict"),IF(COUNTIFS($I$2:$I$1001,$A846,$C$2:$C$1001,"Resolved")=0,"Open","Closed"),IF(AND($H846="Unconfirmed",OR($C846="New",$C846="Know")),IF(COUNTIFS($I$2:$I$1001,$A846,$C$2:$C$1001,"Confirmed")=0,"Unconfirmed","Confirmed"),"Logged")))</f>
        <v/>
      </c>
      <c r="L846" s="29" t="str">
        <f aca="false">IF($A846="","",AsOf-$B846)</f>
        <v/>
      </c>
      <c r="M846" s="29" t="str">
        <f aca="false">IF($K846="Open",IF($C846="Conflict","Critical",IF($L846&gt;=DecisionCritical,"Critical",IF($L846&gt;=DecisionWarn,"Warning","On track"))),IF($K846="Unconfirmed",IF($L846&gt;=UnconfirmedWarn,"Warning","On track"),""))</f>
        <v/>
      </c>
      <c r="N846" s="29" t="str">
        <f aca="false">IF($M846="","",IF($M846="Critical",3000,IF($M846="Warning",2000,1000))+$L846+ROW()/100000)</f>
        <v/>
      </c>
      <c r="O846" s="29" t="str">
        <f aca="false">IF($K846="Open",IF($C846="Conflict","decide "&amp;$A846&amp;": &lt;which version stands&gt;","decide "&amp;$A846&amp;": &lt;outcome&gt;"),IF($K846="Unconfirmed","confirm "&amp;$A846,""))</f>
        <v/>
      </c>
    </row>
    <row r="847" customFormat="false" ht="15" hidden="false" customHeight="false" outlineLevel="0" collapsed="false">
      <c r="A847" s="24"/>
      <c r="B847" s="27"/>
      <c r="C847" s="28"/>
      <c r="D847" s="24"/>
      <c r="E847" s="24"/>
      <c r="F847" s="24"/>
      <c r="G847" s="28"/>
      <c r="H847" s="28"/>
      <c r="I847" s="24"/>
      <c r="J847" s="24"/>
      <c r="K847" s="29" t="str">
        <f aca="false">IF($A847="","",IF(OR($C847="Decision",$C847="Conflict"),IF(COUNTIFS($I$2:$I$1001,$A847,$C$2:$C$1001,"Resolved")=0,"Open","Closed"),IF(AND($H847="Unconfirmed",OR($C847="New",$C847="Know")),IF(COUNTIFS($I$2:$I$1001,$A847,$C$2:$C$1001,"Confirmed")=0,"Unconfirmed","Confirmed"),"Logged")))</f>
        <v/>
      </c>
      <c r="L847" s="29" t="str">
        <f aca="false">IF($A847="","",AsOf-$B847)</f>
        <v/>
      </c>
      <c r="M847" s="29" t="str">
        <f aca="false">IF($K847="Open",IF($C847="Conflict","Critical",IF($L847&gt;=DecisionCritical,"Critical",IF($L847&gt;=DecisionWarn,"Warning","On track"))),IF($K847="Unconfirmed",IF($L847&gt;=UnconfirmedWarn,"Warning","On track"),""))</f>
        <v/>
      </c>
      <c r="N847" s="29" t="str">
        <f aca="false">IF($M847="","",IF($M847="Critical",3000,IF($M847="Warning",2000,1000))+$L847+ROW()/100000)</f>
        <v/>
      </c>
      <c r="O847" s="29" t="str">
        <f aca="false">IF($K847="Open",IF($C847="Conflict","decide "&amp;$A847&amp;": &lt;which version stands&gt;","decide "&amp;$A847&amp;": &lt;outcome&gt;"),IF($K847="Unconfirmed","confirm "&amp;$A847,""))</f>
        <v/>
      </c>
    </row>
    <row r="848" customFormat="false" ht="15" hidden="false" customHeight="false" outlineLevel="0" collapsed="false">
      <c r="A848" s="24"/>
      <c r="B848" s="27"/>
      <c r="C848" s="28"/>
      <c r="D848" s="24"/>
      <c r="E848" s="24"/>
      <c r="F848" s="24"/>
      <c r="G848" s="28"/>
      <c r="H848" s="28"/>
      <c r="I848" s="24"/>
      <c r="J848" s="24"/>
      <c r="K848" s="29" t="str">
        <f aca="false">IF($A848="","",IF(OR($C848="Decision",$C848="Conflict"),IF(COUNTIFS($I$2:$I$1001,$A848,$C$2:$C$1001,"Resolved")=0,"Open","Closed"),IF(AND($H848="Unconfirmed",OR($C848="New",$C848="Know")),IF(COUNTIFS($I$2:$I$1001,$A848,$C$2:$C$1001,"Confirmed")=0,"Unconfirmed","Confirmed"),"Logged")))</f>
        <v/>
      </c>
      <c r="L848" s="29" t="str">
        <f aca="false">IF($A848="","",AsOf-$B848)</f>
        <v/>
      </c>
      <c r="M848" s="29" t="str">
        <f aca="false">IF($K848="Open",IF($C848="Conflict","Critical",IF($L848&gt;=DecisionCritical,"Critical",IF($L848&gt;=DecisionWarn,"Warning","On track"))),IF($K848="Unconfirmed",IF($L848&gt;=UnconfirmedWarn,"Warning","On track"),""))</f>
        <v/>
      </c>
      <c r="N848" s="29" t="str">
        <f aca="false">IF($M848="","",IF($M848="Critical",3000,IF($M848="Warning",2000,1000))+$L848+ROW()/100000)</f>
        <v/>
      </c>
      <c r="O848" s="29" t="str">
        <f aca="false">IF($K848="Open",IF($C848="Conflict","decide "&amp;$A848&amp;": &lt;which version stands&gt;","decide "&amp;$A848&amp;": &lt;outcome&gt;"),IF($K848="Unconfirmed","confirm "&amp;$A848,""))</f>
        <v/>
      </c>
    </row>
    <row r="849" customFormat="false" ht="15" hidden="false" customHeight="false" outlineLevel="0" collapsed="false">
      <c r="A849" s="24"/>
      <c r="B849" s="27"/>
      <c r="C849" s="28"/>
      <c r="D849" s="24"/>
      <c r="E849" s="24"/>
      <c r="F849" s="24"/>
      <c r="G849" s="28"/>
      <c r="H849" s="28"/>
      <c r="I849" s="24"/>
      <c r="J849" s="24"/>
      <c r="K849" s="29" t="str">
        <f aca="false">IF($A849="","",IF(OR($C849="Decision",$C849="Conflict"),IF(COUNTIFS($I$2:$I$1001,$A849,$C$2:$C$1001,"Resolved")=0,"Open","Closed"),IF(AND($H849="Unconfirmed",OR($C849="New",$C849="Know")),IF(COUNTIFS($I$2:$I$1001,$A849,$C$2:$C$1001,"Confirmed")=0,"Unconfirmed","Confirmed"),"Logged")))</f>
        <v/>
      </c>
      <c r="L849" s="29" t="str">
        <f aca="false">IF($A849="","",AsOf-$B849)</f>
        <v/>
      </c>
      <c r="M849" s="29" t="str">
        <f aca="false">IF($K849="Open",IF($C849="Conflict","Critical",IF($L849&gt;=DecisionCritical,"Critical",IF($L849&gt;=DecisionWarn,"Warning","On track"))),IF($K849="Unconfirmed",IF($L849&gt;=UnconfirmedWarn,"Warning","On track"),""))</f>
        <v/>
      </c>
      <c r="N849" s="29" t="str">
        <f aca="false">IF($M849="","",IF($M849="Critical",3000,IF($M849="Warning",2000,1000))+$L849+ROW()/100000)</f>
        <v/>
      </c>
      <c r="O849" s="29" t="str">
        <f aca="false">IF($K849="Open",IF($C849="Conflict","decide "&amp;$A849&amp;": &lt;which version stands&gt;","decide "&amp;$A849&amp;": &lt;outcome&gt;"),IF($K849="Unconfirmed","confirm "&amp;$A849,""))</f>
        <v/>
      </c>
    </row>
    <row r="850" customFormat="false" ht="15" hidden="false" customHeight="false" outlineLevel="0" collapsed="false">
      <c r="A850" s="24"/>
      <c r="B850" s="27"/>
      <c r="C850" s="28"/>
      <c r="D850" s="24"/>
      <c r="E850" s="24"/>
      <c r="F850" s="24"/>
      <c r="G850" s="28"/>
      <c r="H850" s="28"/>
      <c r="I850" s="24"/>
      <c r="J850" s="24"/>
      <c r="K850" s="29" t="str">
        <f aca="false">IF($A850="","",IF(OR($C850="Decision",$C850="Conflict"),IF(COUNTIFS($I$2:$I$1001,$A850,$C$2:$C$1001,"Resolved")=0,"Open","Closed"),IF(AND($H850="Unconfirmed",OR($C850="New",$C850="Know")),IF(COUNTIFS($I$2:$I$1001,$A850,$C$2:$C$1001,"Confirmed")=0,"Unconfirmed","Confirmed"),"Logged")))</f>
        <v/>
      </c>
      <c r="L850" s="29" t="str">
        <f aca="false">IF($A850="","",AsOf-$B850)</f>
        <v/>
      </c>
      <c r="M850" s="29" t="str">
        <f aca="false">IF($K850="Open",IF($C850="Conflict","Critical",IF($L850&gt;=DecisionCritical,"Critical",IF($L850&gt;=DecisionWarn,"Warning","On track"))),IF($K850="Unconfirmed",IF($L850&gt;=UnconfirmedWarn,"Warning","On track"),""))</f>
        <v/>
      </c>
      <c r="N850" s="29" t="str">
        <f aca="false">IF($M850="","",IF($M850="Critical",3000,IF($M850="Warning",2000,1000))+$L850+ROW()/100000)</f>
        <v/>
      </c>
      <c r="O850" s="29" t="str">
        <f aca="false">IF($K850="Open",IF($C850="Conflict","decide "&amp;$A850&amp;": &lt;which version stands&gt;","decide "&amp;$A850&amp;": &lt;outcome&gt;"),IF($K850="Unconfirmed","confirm "&amp;$A850,""))</f>
        <v/>
      </c>
    </row>
    <row r="851" customFormat="false" ht="15" hidden="false" customHeight="false" outlineLevel="0" collapsed="false">
      <c r="A851" s="24"/>
      <c r="B851" s="27"/>
      <c r="C851" s="28"/>
      <c r="D851" s="24"/>
      <c r="E851" s="24"/>
      <c r="F851" s="24"/>
      <c r="G851" s="28"/>
      <c r="H851" s="28"/>
      <c r="I851" s="24"/>
      <c r="J851" s="24"/>
      <c r="K851" s="29" t="str">
        <f aca="false">IF($A851="","",IF(OR($C851="Decision",$C851="Conflict"),IF(COUNTIFS($I$2:$I$1001,$A851,$C$2:$C$1001,"Resolved")=0,"Open","Closed"),IF(AND($H851="Unconfirmed",OR($C851="New",$C851="Know")),IF(COUNTIFS($I$2:$I$1001,$A851,$C$2:$C$1001,"Confirmed")=0,"Unconfirmed","Confirmed"),"Logged")))</f>
        <v/>
      </c>
      <c r="L851" s="29" t="str">
        <f aca="false">IF($A851="","",AsOf-$B851)</f>
        <v/>
      </c>
      <c r="M851" s="29" t="str">
        <f aca="false">IF($K851="Open",IF($C851="Conflict","Critical",IF($L851&gt;=DecisionCritical,"Critical",IF($L851&gt;=DecisionWarn,"Warning","On track"))),IF($K851="Unconfirmed",IF($L851&gt;=UnconfirmedWarn,"Warning","On track"),""))</f>
        <v/>
      </c>
      <c r="N851" s="29" t="str">
        <f aca="false">IF($M851="","",IF($M851="Critical",3000,IF($M851="Warning",2000,1000))+$L851+ROW()/100000)</f>
        <v/>
      </c>
      <c r="O851" s="29" t="str">
        <f aca="false">IF($K851="Open",IF($C851="Conflict","decide "&amp;$A851&amp;": &lt;which version stands&gt;","decide "&amp;$A851&amp;": &lt;outcome&gt;"),IF($K851="Unconfirmed","confirm "&amp;$A851,""))</f>
        <v/>
      </c>
    </row>
    <row r="852" customFormat="false" ht="15" hidden="false" customHeight="false" outlineLevel="0" collapsed="false">
      <c r="A852" s="24"/>
      <c r="B852" s="27"/>
      <c r="C852" s="28"/>
      <c r="D852" s="24"/>
      <c r="E852" s="24"/>
      <c r="F852" s="24"/>
      <c r="G852" s="28"/>
      <c r="H852" s="28"/>
      <c r="I852" s="24"/>
      <c r="J852" s="24"/>
      <c r="K852" s="29" t="str">
        <f aca="false">IF($A852="","",IF(OR($C852="Decision",$C852="Conflict"),IF(COUNTIFS($I$2:$I$1001,$A852,$C$2:$C$1001,"Resolved")=0,"Open","Closed"),IF(AND($H852="Unconfirmed",OR($C852="New",$C852="Know")),IF(COUNTIFS($I$2:$I$1001,$A852,$C$2:$C$1001,"Confirmed")=0,"Unconfirmed","Confirmed"),"Logged")))</f>
        <v/>
      </c>
      <c r="L852" s="29" t="str">
        <f aca="false">IF($A852="","",AsOf-$B852)</f>
        <v/>
      </c>
      <c r="M852" s="29" t="str">
        <f aca="false">IF($K852="Open",IF($C852="Conflict","Critical",IF($L852&gt;=DecisionCritical,"Critical",IF($L852&gt;=DecisionWarn,"Warning","On track"))),IF($K852="Unconfirmed",IF($L852&gt;=UnconfirmedWarn,"Warning","On track"),""))</f>
        <v/>
      </c>
      <c r="N852" s="29" t="str">
        <f aca="false">IF($M852="","",IF($M852="Critical",3000,IF($M852="Warning",2000,1000))+$L852+ROW()/100000)</f>
        <v/>
      </c>
      <c r="O852" s="29" t="str">
        <f aca="false">IF($K852="Open",IF($C852="Conflict","decide "&amp;$A852&amp;": &lt;which version stands&gt;","decide "&amp;$A852&amp;": &lt;outcome&gt;"),IF($K852="Unconfirmed","confirm "&amp;$A852,""))</f>
        <v/>
      </c>
    </row>
    <row r="853" customFormat="false" ht="15" hidden="false" customHeight="false" outlineLevel="0" collapsed="false">
      <c r="A853" s="24"/>
      <c r="B853" s="27"/>
      <c r="C853" s="28"/>
      <c r="D853" s="24"/>
      <c r="E853" s="24"/>
      <c r="F853" s="24"/>
      <c r="G853" s="28"/>
      <c r="H853" s="28"/>
      <c r="I853" s="24"/>
      <c r="J853" s="24"/>
      <c r="K853" s="29" t="str">
        <f aca="false">IF($A853="","",IF(OR($C853="Decision",$C853="Conflict"),IF(COUNTIFS($I$2:$I$1001,$A853,$C$2:$C$1001,"Resolved")=0,"Open","Closed"),IF(AND($H853="Unconfirmed",OR($C853="New",$C853="Know")),IF(COUNTIFS($I$2:$I$1001,$A853,$C$2:$C$1001,"Confirmed")=0,"Unconfirmed","Confirmed"),"Logged")))</f>
        <v/>
      </c>
      <c r="L853" s="29" t="str">
        <f aca="false">IF($A853="","",AsOf-$B853)</f>
        <v/>
      </c>
      <c r="M853" s="29" t="str">
        <f aca="false">IF($K853="Open",IF($C853="Conflict","Critical",IF($L853&gt;=DecisionCritical,"Critical",IF($L853&gt;=DecisionWarn,"Warning","On track"))),IF($K853="Unconfirmed",IF($L853&gt;=UnconfirmedWarn,"Warning","On track"),""))</f>
        <v/>
      </c>
      <c r="N853" s="29" t="str">
        <f aca="false">IF($M853="","",IF($M853="Critical",3000,IF($M853="Warning",2000,1000))+$L853+ROW()/100000)</f>
        <v/>
      </c>
      <c r="O853" s="29" t="str">
        <f aca="false">IF($K853="Open",IF($C853="Conflict","decide "&amp;$A853&amp;": &lt;which version stands&gt;","decide "&amp;$A853&amp;": &lt;outcome&gt;"),IF($K853="Unconfirmed","confirm "&amp;$A853,""))</f>
        <v/>
      </c>
    </row>
    <row r="854" customFormat="false" ht="15" hidden="false" customHeight="false" outlineLevel="0" collapsed="false">
      <c r="A854" s="24"/>
      <c r="B854" s="27"/>
      <c r="C854" s="28"/>
      <c r="D854" s="24"/>
      <c r="E854" s="24"/>
      <c r="F854" s="24"/>
      <c r="G854" s="28"/>
      <c r="H854" s="28"/>
      <c r="I854" s="24"/>
      <c r="J854" s="24"/>
      <c r="K854" s="29" t="str">
        <f aca="false">IF($A854="","",IF(OR($C854="Decision",$C854="Conflict"),IF(COUNTIFS($I$2:$I$1001,$A854,$C$2:$C$1001,"Resolved")=0,"Open","Closed"),IF(AND($H854="Unconfirmed",OR($C854="New",$C854="Know")),IF(COUNTIFS($I$2:$I$1001,$A854,$C$2:$C$1001,"Confirmed")=0,"Unconfirmed","Confirmed"),"Logged")))</f>
        <v/>
      </c>
      <c r="L854" s="29" t="str">
        <f aca="false">IF($A854="","",AsOf-$B854)</f>
        <v/>
      </c>
      <c r="M854" s="29" t="str">
        <f aca="false">IF($K854="Open",IF($C854="Conflict","Critical",IF($L854&gt;=DecisionCritical,"Critical",IF($L854&gt;=DecisionWarn,"Warning","On track"))),IF($K854="Unconfirmed",IF($L854&gt;=UnconfirmedWarn,"Warning","On track"),""))</f>
        <v/>
      </c>
      <c r="N854" s="29" t="str">
        <f aca="false">IF($M854="","",IF($M854="Critical",3000,IF($M854="Warning",2000,1000))+$L854+ROW()/100000)</f>
        <v/>
      </c>
      <c r="O854" s="29" t="str">
        <f aca="false">IF($K854="Open",IF($C854="Conflict","decide "&amp;$A854&amp;": &lt;which version stands&gt;","decide "&amp;$A854&amp;": &lt;outcome&gt;"),IF($K854="Unconfirmed","confirm "&amp;$A854,""))</f>
        <v/>
      </c>
    </row>
    <row r="855" customFormat="false" ht="15" hidden="false" customHeight="false" outlineLevel="0" collapsed="false">
      <c r="A855" s="24"/>
      <c r="B855" s="27"/>
      <c r="C855" s="28"/>
      <c r="D855" s="24"/>
      <c r="E855" s="24"/>
      <c r="F855" s="24"/>
      <c r="G855" s="28"/>
      <c r="H855" s="28"/>
      <c r="I855" s="24"/>
      <c r="J855" s="24"/>
      <c r="K855" s="29" t="str">
        <f aca="false">IF($A855="","",IF(OR($C855="Decision",$C855="Conflict"),IF(COUNTIFS($I$2:$I$1001,$A855,$C$2:$C$1001,"Resolved")=0,"Open","Closed"),IF(AND($H855="Unconfirmed",OR($C855="New",$C855="Know")),IF(COUNTIFS($I$2:$I$1001,$A855,$C$2:$C$1001,"Confirmed")=0,"Unconfirmed","Confirmed"),"Logged")))</f>
        <v/>
      </c>
      <c r="L855" s="29" t="str">
        <f aca="false">IF($A855="","",AsOf-$B855)</f>
        <v/>
      </c>
      <c r="M855" s="29" t="str">
        <f aca="false">IF($K855="Open",IF($C855="Conflict","Critical",IF($L855&gt;=DecisionCritical,"Critical",IF($L855&gt;=DecisionWarn,"Warning","On track"))),IF($K855="Unconfirmed",IF($L855&gt;=UnconfirmedWarn,"Warning","On track"),""))</f>
        <v/>
      </c>
      <c r="N855" s="29" t="str">
        <f aca="false">IF($M855="","",IF($M855="Critical",3000,IF($M855="Warning",2000,1000))+$L855+ROW()/100000)</f>
        <v/>
      </c>
      <c r="O855" s="29" t="str">
        <f aca="false">IF($K855="Open",IF($C855="Conflict","decide "&amp;$A855&amp;": &lt;which version stands&gt;","decide "&amp;$A855&amp;": &lt;outcome&gt;"),IF($K855="Unconfirmed","confirm "&amp;$A855,""))</f>
        <v/>
      </c>
    </row>
    <row r="856" customFormat="false" ht="15" hidden="false" customHeight="false" outlineLevel="0" collapsed="false">
      <c r="A856" s="24"/>
      <c r="B856" s="27"/>
      <c r="C856" s="28"/>
      <c r="D856" s="24"/>
      <c r="E856" s="24"/>
      <c r="F856" s="24"/>
      <c r="G856" s="28"/>
      <c r="H856" s="28"/>
      <c r="I856" s="24"/>
      <c r="J856" s="24"/>
      <c r="K856" s="29" t="str">
        <f aca="false">IF($A856="","",IF(OR($C856="Decision",$C856="Conflict"),IF(COUNTIFS($I$2:$I$1001,$A856,$C$2:$C$1001,"Resolved")=0,"Open","Closed"),IF(AND($H856="Unconfirmed",OR($C856="New",$C856="Know")),IF(COUNTIFS($I$2:$I$1001,$A856,$C$2:$C$1001,"Confirmed")=0,"Unconfirmed","Confirmed"),"Logged")))</f>
        <v/>
      </c>
      <c r="L856" s="29" t="str">
        <f aca="false">IF($A856="","",AsOf-$B856)</f>
        <v/>
      </c>
      <c r="M856" s="29" t="str">
        <f aca="false">IF($K856="Open",IF($C856="Conflict","Critical",IF($L856&gt;=DecisionCritical,"Critical",IF($L856&gt;=DecisionWarn,"Warning","On track"))),IF($K856="Unconfirmed",IF($L856&gt;=UnconfirmedWarn,"Warning","On track"),""))</f>
        <v/>
      </c>
      <c r="N856" s="29" t="str">
        <f aca="false">IF($M856="","",IF($M856="Critical",3000,IF($M856="Warning",2000,1000))+$L856+ROW()/100000)</f>
        <v/>
      </c>
      <c r="O856" s="29" t="str">
        <f aca="false">IF($K856="Open",IF($C856="Conflict","decide "&amp;$A856&amp;": &lt;which version stands&gt;","decide "&amp;$A856&amp;": &lt;outcome&gt;"),IF($K856="Unconfirmed","confirm "&amp;$A856,""))</f>
        <v/>
      </c>
    </row>
    <row r="857" customFormat="false" ht="15" hidden="false" customHeight="false" outlineLevel="0" collapsed="false">
      <c r="A857" s="24"/>
      <c r="B857" s="27"/>
      <c r="C857" s="28"/>
      <c r="D857" s="24"/>
      <c r="E857" s="24"/>
      <c r="F857" s="24"/>
      <c r="G857" s="28"/>
      <c r="H857" s="28"/>
      <c r="I857" s="24"/>
      <c r="J857" s="24"/>
      <c r="K857" s="29" t="str">
        <f aca="false">IF($A857="","",IF(OR($C857="Decision",$C857="Conflict"),IF(COUNTIFS($I$2:$I$1001,$A857,$C$2:$C$1001,"Resolved")=0,"Open","Closed"),IF(AND($H857="Unconfirmed",OR($C857="New",$C857="Know")),IF(COUNTIFS($I$2:$I$1001,$A857,$C$2:$C$1001,"Confirmed")=0,"Unconfirmed","Confirmed"),"Logged")))</f>
        <v/>
      </c>
      <c r="L857" s="29" t="str">
        <f aca="false">IF($A857="","",AsOf-$B857)</f>
        <v/>
      </c>
      <c r="M857" s="29" t="str">
        <f aca="false">IF($K857="Open",IF($C857="Conflict","Critical",IF($L857&gt;=DecisionCritical,"Critical",IF($L857&gt;=DecisionWarn,"Warning","On track"))),IF($K857="Unconfirmed",IF($L857&gt;=UnconfirmedWarn,"Warning","On track"),""))</f>
        <v/>
      </c>
      <c r="N857" s="29" t="str">
        <f aca="false">IF($M857="","",IF($M857="Critical",3000,IF($M857="Warning",2000,1000))+$L857+ROW()/100000)</f>
        <v/>
      </c>
      <c r="O857" s="29" t="str">
        <f aca="false">IF($K857="Open",IF($C857="Conflict","decide "&amp;$A857&amp;": &lt;which version stands&gt;","decide "&amp;$A857&amp;": &lt;outcome&gt;"),IF($K857="Unconfirmed","confirm "&amp;$A857,""))</f>
        <v/>
      </c>
    </row>
    <row r="858" customFormat="false" ht="15" hidden="false" customHeight="false" outlineLevel="0" collapsed="false">
      <c r="A858" s="24"/>
      <c r="B858" s="27"/>
      <c r="C858" s="28"/>
      <c r="D858" s="24"/>
      <c r="E858" s="24"/>
      <c r="F858" s="24"/>
      <c r="G858" s="28"/>
      <c r="H858" s="28"/>
      <c r="I858" s="24"/>
      <c r="J858" s="24"/>
      <c r="K858" s="29" t="str">
        <f aca="false">IF($A858="","",IF(OR($C858="Decision",$C858="Conflict"),IF(COUNTIFS($I$2:$I$1001,$A858,$C$2:$C$1001,"Resolved")=0,"Open","Closed"),IF(AND($H858="Unconfirmed",OR($C858="New",$C858="Know")),IF(COUNTIFS($I$2:$I$1001,$A858,$C$2:$C$1001,"Confirmed")=0,"Unconfirmed","Confirmed"),"Logged")))</f>
        <v/>
      </c>
      <c r="L858" s="29" t="str">
        <f aca="false">IF($A858="","",AsOf-$B858)</f>
        <v/>
      </c>
      <c r="M858" s="29" t="str">
        <f aca="false">IF($K858="Open",IF($C858="Conflict","Critical",IF($L858&gt;=DecisionCritical,"Critical",IF($L858&gt;=DecisionWarn,"Warning","On track"))),IF($K858="Unconfirmed",IF($L858&gt;=UnconfirmedWarn,"Warning","On track"),""))</f>
        <v/>
      </c>
      <c r="N858" s="29" t="str">
        <f aca="false">IF($M858="","",IF($M858="Critical",3000,IF($M858="Warning",2000,1000))+$L858+ROW()/100000)</f>
        <v/>
      </c>
      <c r="O858" s="29" t="str">
        <f aca="false">IF($K858="Open",IF($C858="Conflict","decide "&amp;$A858&amp;": &lt;which version stands&gt;","decide "&amp;$A858&amp;": &lt;outcome&gt;"),IF($K858="Unconfirmed","confirm "&amp;$A858,""))</f>
        <v/>
      </c>
    </row>
    <row r="859" customFormat="false" ht="15" hidden="false" customHeight="false" outlineLevel="0" collapsed="false">
      <c r="A859" s="24"/>
      <c r="B859" s="27"/>
      <c r="C859" s="28"/>
      <c r="D859" s="24"/>
      <c r="E859" s="24"/>
      <c r="F859" s="24"/>
      <c r="G859" s="28"/>
      <c r="H859" s="28"/>
      <c r="I859" s="24"/>
      <c r="J859" s="24"/>
      <c r="K859" s="29" t="str">
        <f aca="false">IF($A859="","",IF(OR($C859="Decision",$C859="Conflict"),IF(COUNTIFS($I$2:$I$1001,$A859,$C$2:$C$1001,"Resolved")=0,"Open","Closed"),IF(AND($H859="Unconfirmed",OR($C859="New",$C859="Know")),IF(COUNTIFS($I$2:$I$1001,$A859,$C$2:$C$1001,"Confirmed")=0,"Unconfirmed","Confirmed"),"Logged")))</f>
        <v/>
      </c>
      <c r="L859" s="29" t="str">
        <f aca="false">IF($A859="","",AsOf-$B859)</f>
        <v/>
      </c>
      <c r="M859" s="29" t="str">
        <f aca="false">IF($K859="Open",IF($C859="Conflict","Critical",IF($L859&gt;=DecisionCritical,"Critical",IF($L859&gt;=DecisionWarn,"Warning","On track"))),IF($K859="Unconfirmed",IF($L859&gt;=UnconfirmedWarn,"Warning","On track"),""))</f>
        <v/>
      </c>
      <c r="N859" s="29" t="str">
        <f aca="false">IF($M859="","",IF($M859="Critical",3000,IF($M859="Warning",2000,1000))+$L859+ROW()/100000)</f>
        <v/>
      </c>
      <c r="O859" s="29" t="str">
        <f aca="false">IF($K859="Open",IF($C859="Conflict","decide "&amp;$A859&amp;": &lt;which version stands&gt;","decide "&amp;$A859&amp;": &lt;outcome&gt;"),IF($K859="Unconfirmed","confirm "&amp;$A859,""))</f>
        <v/>
      </c>
    </row>
    <row r="860" customFormat="false" ht="15" hidden="false" customHeight="false" outlineLevel="0" collapsed="false">
      <c r="A860" s="24"/>
      <c r="B860" s="27"/>
      <c r="C860" s="28"/>
      <c r="D860" s="24"/>
      <c r="E860" s="24"/>
      <c r="F860" s="24"/>
      <c r="G860" s="28"/>
      <c r="H860" s="28"/>
      <c r="I860" s="24"/>
      <c r="J860" s="24"/>
      <c r="K860" s="29" t="str">
        <f aca="false">IF($A860="","",IF(OR($C860="Decision",$C860="Conflict"),IF(COUNTIFS($I$2:$I$1001,$A860,$C$2:$C$1001,"Resolved")=0,"Open","Closed"),IF(AND($H860="Unconfirmed",OR($C860="New",$C860="Know")),IF(COUNTIFS($I$2:$I$1001,$A860,$C$2:$C$1001,"Confirmed")=0,"Unconfirmed","Confirmed"),"Logged")))</f>
        <v/>
      </c>
      <c r="L860" s="29" t="str">
        <f aca="false">IF($A860="","",AsOf-$B860)</f>
        <v/>
      </c>
      <c r="M860" s="29" t="str">
        <f aca="false">IF($K860="Open",IF($C860="Conflict","Critical",IF($L860&gt;=DecisionCritical,"Critical",IF($L860&gt;=DecisionWarn,"Warning","On track"))),IF($K860="Unconfirmed",IF($L860&gt;=UnconfirmedWarn,"Warning","On track"),""))</f>
        <v/>
      </c>
      <c r="N860" s="29" t="str">
        <f aca="false">IF($M860="","",IF($M860="Critical",3000,IF($M860="Warning",2000,1000))+$L860+ROW()/100000)</f>
        <v/>
      </c>
      <c r="O860" s="29" t="str">
        <f aca="false">IF($K860="Open",IF($C860="Conflict","decide "&amp;$A860&amp;": &lt;which version stands&gt;","decide "&amp;$A860&amp;": &lt;outcome&gt;"),IF($K860="Unconfirmed","confirm "&amp;$A860,""))</f>
        <v/>
      </c>
    </row>
    <row r="861" customFormat="false" ht="15" hidden="false" customHeight="false" outlineLevel="0" collapsed="false">
      <c r="A861" s="24"/>
      <c r="B861" s="27"/>
      <c r="C861" s="28"/>
      <c r="D861" s="24"/>
      <c r="E861" s="24"/>
      <c r="F861" s="24"/>
      <c r="G861" s="28"/>
      <c r="H861" s="28"/>
      <c r="I861" s="24"/>
      <c r="J861" s="24"/>
      <c r="K861" s="29" t="str">
        <f aca="false">IF($A861="","",IF(OR($C861="Decision",$C861="Conflict"),IF(COUNTIFS($I$2:$I$1001,$A861,$C$2:$C$1001,"Resolved")=0,"Open","Closed"),IF(AND($H861="Unconfirmed",OR($C861="New",$C861="Know")),IF(COUNTIFS($I$2:$I$1001,$A861,$C$2:$C$1001,"Confirmed")=0,"Unconfirmed","Confirmed"),"Logged")))</f>
        <v/>
      </c>
      <c r="L861" s="29" t="str">
        <f aca="false">IF($A861="","",AsOf-$B861)</f>
        <v/>
      </c>
      <c r="M861" s="29" t="str">
        <f aca="false">IF($K861="Open",IF($C861="Conflict","Critical",IF($L861&gt;=DecisionCritical,"Critical",IF($L861&gt;=DecisionWarn,"Warning","On track"))),IF($K861="Unconfirmed",IF($L861&gt;=UnconfirmedWarn,"Warning","On track"),""))</f>
        <v/>
      </c>
      <c r="N861" s="29" t="str">
        <f aca="false">IF($M861="","",IF($M861="Critical",3000,IF($M861="Warning",2000,1000))+$L861+ROW()/100000)</f>
        <v/>
      </c>
      <c r="O861" s="29" t="str">
        <f aca="false">IF($K861="Open",IF($C861="Conflict","decide "&amp;$A861&amp;": &lt;which version stands&gt;","decide "&amp;$A861&amp;": &lt;outcome&gt;"),IF($K861="Unconfirmed","confirm "&amp;$A861,""))</f>
        <v/>
      </c>
    </row>
    <row r="862" customFormat="false" ht="15" hidden="false" customHeight="false" outlineLevel="0" collapsed="false">
      <c r="A862" s="24"/>
      <c r="B862" s="27"/>
      <c r="C862" s="28"/>
      <c r="D862" s="24"/>
      <c r="E862" s="24"/>
      <c r="F862" s="24"/>
      <c r="G862" s="28"/>
      <c r="H862" s="28"/>
      <c r="I862" s="24"/>
      <c r="J862" s="24"/>
      <c r="K862" s="29" t="str">
        <f aca="false">IF($A862="","",IF(OR($C862="Decision",$C862="Conflict"),IF(COUNTIFS($I$2:$I$1001,$A862,$C$2:$C$1001,"Resolved")=0,"Open","Closed"),IF(AND($H862="Unconfirmed",OR($C862="New",$C862="Know")),IF(COUNTIFS($I$2:$I$1001,$A862,$C$2:$C$1001,"Confirmed")=0,"Unconfirmed","Confirmed"),"Logged")))</f>
        <v/>
      </c>
      <c r="L862" s="29" t="str">
        <f aca="false">IF($A862="","",AsOf-$B862)</f>
        <v/>
      </c>
      <c r="M862" s="29" t="str">
        <f aca="false">IF($K862="Open",IF($C862="Conflict","Critical",IF($L862&gt;=DecisionCritical,"Critical",IF($L862&gt;=DecisionWarn,"Warning","On track"))),IF($K862="Unconfirmed",IF($L862&gt;=UnconfirmedWarn,"Warning","On track"),""))</f>
        <v/>
      </c>
      <c r="N862" s="29" t="str">
        <f aca="false">IF($M862="","",IF($M862="Critical",3000,IF($M862="Warning",2000,1000))+$L862+ROW()/100000)</f>
        <v/>
      </c>
      <c r="O862" s="29" t="str">
        <f aca="false">IF($K862="Open",IF($C862="Conflict","decide "&amp;$A862&amp;": &lt;which version stands&gt;","decide "&amp;$A862&amp;": &lt;outcome&gt;"),IF($K862="Unconfirmed","confirm "&amp;$A862,""))</f>
        <v/>
      </c>
    </row>
    <row r="863" customFormat="false" ht="15" hidden="false" customHeight="false" outlineLevel="0" collapsed="false">
      <c r="A863" s="24"/>
      <c r="B863" s="27"/>
      <c r="C863" s="28"/>
      <c r="D863" s="24"/>
      <c r="E863" s="24"/>
      <c r="F863" s="24"/>
      <c r="G863" s="28"/>
      <c r="H863" s="28"/>
      <c r="I863" s="24"/>
      <c r="J863" s="24"/>
      <c r="K863" s="29" t="str">
        <f aca="false">IF($A863="","",IF(OR($C863="Decision",$C863="Conflict"),IF(COUNTIFS($I$2:$I$1001,$A863,$C$2:$C$1001,"Resolved")=0,"Open","Closed"),IF(AND($H863="Unconfirmed",OR($C863="New",$C863="Know")),IF(COUNTIFS($I$2:$I$1001,$A863,$C$2:$C$1001,"Confirmed")=0,"Unconfirmed","Confirmed"),"Logged")))</f>
        <v/>
      </c>
      <c r="L863" s="29" t="str">
        <f aca="false">IF($A863="","",AsOf-$B863)</f>
        <v/>
      </c>
      <c r="M863" s="29" t="str">
        <f aca="false">IF($K863="Open",IF($C863="Conflict","Critical",IF($L863&gt;=DecisionCritical,"Critical",IF($L863&gt;=DecisionWarn,"Warning","On track"))),IF($K863="Unconfirmed",IF($L863&gt;=UnconfirmedWarn,"Warning","On track"),""))</f>
        <v/>
      </c>
      <c r="N863" s="29" t="str">
        <f aca="false">IF($M863="","",IF($M863="Critical",3000,IF($M863="Warning",2000,1000))+$L863+ROW()/100000)</f>
        <v/>
      </c>
      <c r="O863" s="29" t="str">
        <f aca="false">IF($K863="Open",IF($C863="Conflict","decide "&amp;$A863&amp;": &lt;which version stands&gt;","decide "&amp;$A863&amp;": &lt;outcome&gt;"),IF($K863="Unconfirmed","confirm "&amp;$A863,""))</f>
        <v/>
      </c>
    </row>
    <row r="864" customFormat="false" ht="15" hidden="false" customHeight="false" outlineLevel="0" collapsed="false">
      <c r="A864" s="24"/>
      <c r="B864" s="27"/>
      <c r="C864" s="28"/>
      <c r="D864" s="24"/>
      <c r="E864" s="24"/>
      <c r="F864" s="24"/>
      <c r="G864" s="28"/>
      <c r="H864" s="28"/>
      <c r="I864" s="24"/>
      <c r="J864" s="24"/>
      <c r="K864" s="29" t="str">
        <f aca="false">IF($A864="","",IF(OR($C864="Decision",$C864="Conflict"),IF(COUNTIFS($I$2:$I$1001,$A864,$C$2:$C$1001,"Resolved")=0,"Open","Closed"),IF(AND($H864="Unconfirmed",OR($C864="New",$C864="Know")),IF(COUNTIFS($I$2:$I$1001,$A864,$C$2:$C$1001,"Confirmed")=0,"Unconfirmed","Confirmed"),"Logged")))</f>
        <v/>
      </c>
      <c r="L864" s="29" t="str">
        <f aca="false">IF($A864="","",AsOf-$B864)</f>
        <v/>
      </c>
      <c r="M864" s="29" t="str">
        <f aca="false">IF($K864="Open",IF($C864="Conflict","Critical",IF($L864&gt;=DecisionCritical,"Critical",IF($L864&gt;=DecisionWarn,"Warning","On track"))),IF($K864="Unconfirmed",IF($L864&gt;=UnconfirmedWarn,"Warning","On track"),""))</f>
        <v/>
      </c>
      <c r="N864" s="29" t="str">
        <f aca="false">IF($M864="","",IF($M864="Critical",3000,IF($M864="Warning",2000,1000))+$L864+ROW()/100000)</f>
        <v/>
      </c>
      <c r="O864" s="29" t="str">
        <f aca="false">IF($K864="Open",IF($C864="Conflict","decide "&amp;$A864&amp;": &lt;which version stands&gt;","decide "&amp;$A864&amp;": &lt;outcome&gt;"),IF($K864="Unconfirmed","confirm "&amp;$A864,""))</f>
        <v/>
      </c>
    </row>
    <row r="865" customFormat="false" ht="15" hidden="false" customHeight="false" outlineLevel="0" collapsed="false">
      <c r="A865" s="24"/>
      <c r="B865" s="27"/>
      <c r="C865" s="28"/>
      <c r="D865" s="24"/>
      <c r="E865" s="24"/>
      <c r="F865" s="24"/>
      <c r="G865" s="28"/>
      <c r="H865" s="28"/>
      <c r="I865" s="24"/>
      <c r="J865" s="24"/>
      <c r="K865" s="29" t="str">
        <f aca="false">IF($A865="","",IF(OR($C865="Decision",$C865="Conflict"),IF(COUNTIFS($I$2:$I$1001,$A865,$C$2:$C$1001,"Resolved")=0,"Open","Closed"),IF(AND($H865="Unconfirmed",OR($C865="New",$C865="Know")),IF(COUNTIFS($I$2:$I$1001,$A865,$C$2:$C$1001,"Confirmed")=0,"Unconfirmed","Confirmed"),"Logged")))</f>
        <v/>
      </c>
      <c r="L865" s="29" t="str">
        <f aca="false">IF($A865="","",AsOf-$B865)</f>
        <v/>
      </c>
      <c r="M865" s="29" t="str">
        <f aca="false">IF($K865="Open",IF($C865="Conflict","Critical",IF($L865&gt;=DecisionCritical,"Critical",IF($L865&gt;=DecisionWarn,"Warning","On track"))),IF($K865="Unconfirmed",IF($L865&gt;=UnconfirmedWarn,"Warning","On track"),""))</f>
        <v/>
      </c>
      <c r="N865" s="29" t="str">
        <f aca="false">IF($M865="","",IF($M865="Critical",3000,IF($M865="Warning",2000,1000))+$L865+ROW()/100000)</f>
        <v/>
      </c>
      <c r="O865" s="29" t="str">
        <f aca="false">IF($K865="Open",IF($C865="Conflict","decide "&amp;$A865&amp;": &lt;which version stands&gt;","decide "&amp;$A865&amp;": &lt;outcome&gt;"),IF($K865="Unconfirmed","confirm "&amp;$A865,""))</f>
        <v/>
      </c>
    </row>
    <row r="866" customFormat="false" ht="15" hidden="false" customHeight="false" outlineLevel="0" collapsed="false">
      <c r="A866" s="24"/>
      <c r="B866" s="27"/>
      <c r="C866" s="28"/>
      <c r="D866" s="24"/>
      <c r="E866" s="24"/>
      <c r="F866" s="24"/>
      <c r="G866" s="28"/>
      <c r="H866" s="28"/>
      <c r="I866" s="24"/>
      <c r="J866" s="24"/>
      <c r="K866" s="29" t="str">
        <f aca="false">IF($A866="","",IF(OR($C866="Decision",$C866="Conflict"),IF(COUNTIFS($I$2:$I$1001,$A866,$C$2:$C$1001,"Resolved")=0,"Open","Closed"),IF(AND($H866="Unconfirmed",OR($C866="New",$C866="Know")),IF(COUNTIFS($I$2:$I$1001,$A866,$C$2:$C$1001,"Confirmed")=0,"Unconfirmed","Confirmed"),"Logged")))</f>
        <v/>
      </c>
      <c r="L866" s="29" t="str">
        <f aca="false">IF($A866="","",AsOf-$B866)</f>
        <v/>
      </c>
      <c r="M866" s="29" t="str">
        <f aca="false">IF($K866="Open",IF($C866="Conflict","Critical",IF($L866&gt;=DecisionCritical,"Critical",IF($L866&gt;=DecisionWarn,"Warning","On track"))),IF($K866="Unconfirmed",IF($L866&gt;=UnconfirmedWarn,"Warning","On track"),""))</f>
        <v/>
      </c>
      <c r="N866" s="29" t="str">
        <f aca="false">IF($M866="","",IF($M866="Critical",3000,IF($M866="Warning",2000,1000))+$L866+ROW()/100000)</f>
        <v/>
      </c>
      <c r="O866" s="29" t="str">
        <f aca="false">IF($K866="Open",IF($C866="Conflict","decide "&amp;$A866&amp;": &lt;which version stands&gt;","decide "&amp;$A866&amp;": &lt;outcome&gt;"),IF($K866="Unconfirmed","confirm "&amp;$A866,""))</f>
        <v/>
      </c>
    </row>
    <row r="867" customFormat="false" ht="15" hidden="false" customHeight="false" outlineLevel="0" collapsed="false">
      <c r="A867" s="24"/>
      <c r="B867" s="27"/>
      <c r="C867" s="28"/>
      <c r="D867" s="24"/>
      <c r="E867" s="24"/>
      <c r="F867" s="24"/>
      <c r="G867" s="28"/>
      <c r="H867" s="28"/>
      <c r="I867" s="24"/>
      <c r="J867" s="24"/>
      <c r="K867" s="29" t="str">
        <f aca="false">IF($A867="","",IF(OR($C867="Decision",$C867="Conflict"),IF(COUNTIFS($I$2:$I$1001,$A867,$C$2:$C$1001,"Resolved")=0,"Open","Closed"),IF(AND($H867="Unconfirmed",OR($C867="New",$C867="Know")),IF(COUNTIFS($I$2:$I$1001,$A867,$C$2:$C$1001,"Confirmed")=0,"Unconfirmed","Confirmed"),"Logged")))</f>
        <v/>
      </c>
      <c r="L867" s="29" t="str">
        <f aca="false">IF($A867="","",AsOf-$B867)</f>
        <v/>
      </c>
      <c r="M867" s="29" t="str">
        <f aca="false">IF($K867="Open",IF($C867="Conflict","Critical",IF($L867&gt;=DecisionCritical,"Critical",IF($L867&gt;=DecisionWarn,"Warning","On track"))),IF($K867="Unconfirmed",IF($L867&gt;=UnconfirmedWarn,"Warning","On track"),""))</f>
        <v/>
      </c>
      <c r="N867" s="29" t="str">
        <f aca="false">IF($M867="","",IF($M867="Critical",3000,IF($M867="Warning",2000,1000))+$L867+ROW()/100000)</f>
        <v/>
      </c>
      <c r="O867" s="29" t="str">
        <f aca="false">IF($K867="Open",IF($C867="Conflict","decide "&amp;$A867&amp;": &lt;which version stands&gt;","decide "&amp;$A867&amp;": &lt;outcome&gt;"),IF($K867="Unconfirmed","confirm "&amp;$A867,""))</f>
        <v/>
      </c>
    </row>
    <row r="868" customFormat="false" ht="15" hidden="false" customHeight="false" outlineLevel="0" collapsed="false">
      <c r="A868" s="24"/>
      <c r="B868" s="27"/>
      <c r="C868" s="28"/>
      <c r="D868" s="24"/>
      <c r="E868" s="24"/>
      <c r="F868" s="24"/>
      <c r="G868" s="28"/>
      <c r="H868" s="28"/>
      <c r="I868" s="24"/>
      <c r="J868" s="24"/>
      <c r="K868" s="29" t="str">
        <f aca="false">IF($A868="","",IF(OR($C868="Decision",$C868="Conflict"),IF(COUNTIFS($I$2:$I$1001,$A868,$C$2:$C$1001,"Resolved")=0,"Open","Closed"),IF(AND($H868="Unconfirmed",OR($C868="New",$C868="Know")),IF(COUNTIFS($I$2:$I$1001,$A868,$C$2:$C$1001,"Confirmed")=0,"Unconfirmed","Confirmed"),"Logged")))</f>
        <v/>
      </c>
      <c r="L868" s="29" t="str">
        <f aca="false">IF($A868="","",AsOf-$B868)</f>
        <v/>
      </c>
      <c r="M868" s="29" t="str">
        <f aca="false">IF($K868="Open",IF($C868="Conflict","Critical",IF($L868&gt;=DecisionCritical,"Critical",IF($L868&gt;=DecisionWarn,"Warning","On track"))),IF($K868="Unconfirmed",IF($L868&gt;=UnconfirmedWarn,"Warning","On track"),""))</f>
        <v/>
      </c>
      <c r="N868" s="29" t="str">
        <f aca="false">IF($M868="","",IF($M868="Critical",3000,IF($M868="Warning",2000,1000))+$L868+ROW()/100000)</f>
        <v/>
      </c>
      <c r="O868" s="29" t="str">
        <f aca="false">IF($K868="Open",IF($C868="Conflict","decide "&amp;$A868&amp;": &lt;which version stands&gt;","decide "&amp;$A868&amp;": &lt;outcome&gt;"),IF($K868="Unconfirmed","confirm "&amp;$A868,""))</f>
        <v/>
      </c>
    </row>
    <row r="869" customFormat="false" ht="15" hidden="false" customHeight="false" outlineLevel="0" collapsed="false">
      <c r="A869" s="24"/>
      <c r="B869" s="27"/>
      <c r="C869" s="28"/>
      <c r="D869" s="24"/>
      <c r="E869" s="24"/>
      <c r="F869" s="24"/>
      <c r="G869" s="28"/>
      <c r="H869" s="28"/>
      <c r="I869" s="24"/>
      <c r="J869" s="24"/>
      <c r="K869" s="29" t="str">
        <f aca="false">IF($A869="","",IF(OR($C869="Decision",$C869="Conflict"),IF(COUNTIFS($I$2:$I$1001,$A869,$C$2:$C$1001,"Resolved")=0,"Open","Closed"),IF(AND($H869="Unconfirmed",OR($C869="New",$C869="Know")),IF(COUNTIFS($I$2:$I$1001,$A869,$C$2:$C$1001,"Confirmed")=0,"Unconfirmed","Confirmed"),"Logged")))</f>
        <v/>
      </c>
      <c r="L869" s="29" t="str">
        <f aca="false">IF($A869="","",AsOf-$B869)</f>
        <v/>
      </c>
      <c r="M869" s="29" t="str">
        <f aca="false">IF($K869="Open",IF($C869="Conflict","Critical",IF($L869&gt;=DecisionCritical,"Critical",IF($L869&gt;=DecisionWarn,"Warning","On track"))),IF($K869="Unconfirmed",IF($L869&gt;=UnconfirmedWarn,"Warning","On track"),""))</f>
        <v/>
      </c>
      <c r="N869" s="29" t="str">
        <f aca="false">IF($M869="","",IF($M869="Critical",3000,IF($M869="Warning",2000,1000))+$L869+ROW()/100000)</f>
        <v/>
      </c>
      <c r="O869" s="29" t="str">
        <f aca="false">IF($K869="Open",IF($C869="Conflict","decide "&amp;$A869&amp;": &lt;which version stands&gt;","decide "&amp;$A869&amp;": &lt;outcome&gt;"),IF($K869="Unconfirmed","confirm "&amp;$A869,""))</f>
        <v/>
      </c>
    </row>
    <row r="870" customFormat="false" ht="15" hidden="false" customHeight="false" outlineLevel="0" collapsed="false">
      <c r="A870" s="24"/>
      <c r="B870" s="27"/>
      <c r="C870" s="28"/>
      <c r="D870" s="24"/>
      <c r="E870" s="24"/>
      <c r="F870" s="24"/>
      <c r="G870" s="28"/>
      <c r="H870" s="28"/>
      <c r="I870" s="24"/>
      <c r="J870" s="24"/>
      <c r="K870" s="29" t="str">
        <f aca="false">IF($A870="","",IF(OR($C870="Decision",$C870="Conflict"),IF(COUNTIFS($I$2:$I$1001,$A870,$C$2:$C$1001,"Resolved")=0,"Open","Closed"),IF(AND($H870="Unconfirmed",OR($C870="New",$C870="Know")),IF(COUNTIFS($I$2:$I$1001,$A870,$C$2:$C$1001,"Confirmed")=0,"Unconfirmed","Confirmed"),"Logged")))</f>
        <v/>
      </c>
      <c r="L870" s="29" t="str">
        <f aca="false">IF($A870="","",AsOf-$B870)</f>
        <v/>
      </c>
      <c r="M870" s="29" t="str">
        <f aca="false">IF($K870="Open",IF($C870="Conflict","Critical",IF($L870&gt;=DecisionCritical,"Critical",IF($L870&gt;=DecisionWarn,"Warning","On track"))),IF($K870="Unconfirmed",IF($L870&gt;=UnconfirmedWarn,"Warning","On track"),""))</f>
        <v/>
      </c>
      <c r="N870" s="29" t="str">
        <f aca="false">IF($M870="","",IF($M870="Critical",3000,IF($M870="Warning",2000,1000))+$L870+ROW()/100000)</f>
        <v/>
      </c>
      <c r="O870" s="29" t="str">
        <f aca="false">IF($K870="Open",IF($C870="Conflict","decide "&amp;$A870&amp;": &lt;which version stands&gt;","decide "&amp;$A870&amp;": &lt;outcome&gt;"),IF($K870="Unconfirmed","confirm "&amp;$A870,""))</f>
        <v/>
      </c>
    </row>
    <row r="871" customFormat="false" ht="15" hidden="false" customHeight="false" outlineLevel="0" collapsed="false">
      <c r="A871" s="24"/>
      <c r="B871" s="27"/>
      <c r="C871" s="28"/>
      <c r="D871" s="24"/>
      <c r="E871" s="24"/>
      <c r="F871" s="24"/>
      <c r="G871" s="28"/>
      <c r="H871" s="28"/>
      <c r="I871" s="24"/>
      <c r="J871" s="24"/>
      <c r="K871" s="29" t="str">
        <f aca="false">IF($A871="","",IF(OR($C871="Decision",$C871="Conflict"),IF(COUNTIFS($I$2:$I$1001,$A871,$C$2:$C$1001,"Resolved")=0,"Open","Closed"),IF(AND($H871="Unconfirmed",OR($C871="New",$C871="Know")),IF(COUNTIFS($I$2:$I$1001,$A871,$C$2:$C$1001,"Confirmed")=0,"Unconfirmed","Confirmed"),"Logged")))</f>
        <v/>
      </c>
      <c r="L871" s="29" t="str">
        <f aca="false">IF($A871="","",AsOf-$B871)</f>
        <v/>
      </c>
      <c r="M871" s="29" t="str">
        <f aca="false">IF($K871="Open",IF($C871="Conflict","Critical",IF($L871&gt;=DecisionCritical,"Critical",IF($L871&gt;=DecisionWarn,"Warning","On track"))),IF($K871="Unconfirmed",IF($L871&gt;=UnconfirmedWarn,"Warning","On track"),""))</f>
        <v/>
      </c>
      <c r="N871" s="29" t="str">
        <f aca="false">IF($M871="","",IF($M871="Critical",3000,IF($M871="Warning",2000,1000))+$L871+ROW()/100000)</f>
        <v/>
      </c>
      <c r="O871" s="29" t="str">
        <f aca="false">IF($K871="Open",IF($C871="Conflict","decide "&amp;$A871&amp;": &lt;which version stands&gt;","decide "&amp;$A871&amp;": &lt;outcome&gt;"),IF($K871="Unconfirmed","confirm "&amp;$A871,""))</f>
        <v/>
      </c>
    </row>
    <row r="872" customFormat="false" ht="15" hidden="false" customHeight="false" outlineLevel="0" collapsed="false">
      <c r="A872" s="24"/>
      <c r="B872" s="27"/>
      <c r="C872" s="28"/>
      <c r="D872" s="24"/>
      <c r="E872" s="24"/>
      <c r="F872" s="24"/>
      <c r="G872" s="28"/>
      <c r="H872" s="28"/>
      <c r="I872" s="24"/>
      <c r="J872" s="24"/>
      <c r="K872" s="29" t="str">
        <f aca="false">IF($A872="","",IF(OR($C872="Decision",$C872="Conflict"),IF(COUNTIFS($I$2:$I$1001,$A872,$C$2:$C$1001,"Resolved")=0,"Open","Closed"),IF(AND($H872="Unconfirmed",OR($C872="New",$C872="Know")),IF(COUNTIFS($I$2:$I$1001,$A872,$C$2:$C$1001,"Confirmed")=0,"Unconfirmed","Confirmed"),"Logged")))</f>
        <v/>
      </c>
      <c r="L872" s="29" t="str">
        <f aca="false">IF($A872="","",AsOf-$B872)</f>
        <v/>
      </c>
      <c r="M872" s="29" t="str">
        <f aca="false">IF($K872="Open",IF($C872="Conflict","Critical",IF($L872&gt;=DecisionCritical,"Critical",IF($L872&gt;=DecisionWarn,"Warning","On track"))),IF($K872="Unconfirmed",IF($L872&gt;=UnconfirmedWarn,"Warning","On track"),""))</f>
        <v/>
      </c>
      <c r="N872" s="29" t="str">
        <f aca="false">IF($M872="","",IF($M872="Critical",3000,IF($M872="Warning",2000,1000))+$L872+ROW()/100000)</f>
        <v/>
      </c>
      <c r="O872" s="29" t="str">
        <f aca="false">IF($K872="Open",IF($C872="Conflict","decide "&amp;$A872&amp;": &lt;which version stands&gt;","decide "&amp;$A872&amp;": &lt;outcome&gt;"),IF($K872="Unconfirmed","confirm "&amp;$A872,""))</f>
        <v/>
      </c>
    </row>
    <row r="873" customFormat="false" ht="15" hidden="false" customHeight="false" outlineLevel="0" collapsed="false">
      <c r="A873" s="24"/>
      <c r="B873" s="27"/>
      <c r="C873" s="28"/>
      <c r="D873" s="24"/>
      <c r="E873" s="24"/>
      <c r="F873" s="24"/>
      <c r="G873" s="28"/>
      <c r="H873" s="28"/>
      <c r="I873" s="24"/>
      <c r="J873" s="24"/>
      <c r="K873" s="29" t="str">
        <f aca="false">IF($A873="","",IF(OR($C873="Decision",$C873="Conflict"),IF(COUNTIFS($I$2:$I$1001,$A873,$C$2:$C$1001,"Resolved")=0,"Open","Closed"),IF(AND($H873="Unconfirmed",OR($C873="New",$C873="Know")),IF(COUNTIFS($I$2:$I$1001,$A873,$C$2:$C$1001,"Confirmed")=0,"Unconfirmed","Confirmed"),"Logged")))</f>
        <v/>
      </c>
      <c r="L873" s="29" t="str">
        <f aca="false">IF($A873="","",AsOf-$B873)</f>
        <v/>
      </c>
      <c r="M873" s="29" t="str">
        <f aca="false">IF($K873="Open",IF($C873="Conflict","Critical",IF($L873&gt;=DecisionCritical,"Critical",IF($L873&gt;=DecisionWarn,"Warning","On track"))),IF($K873="Unconfirmed",IF($L873&gt;=UnconfirmedWarn,"Warning","On track"),""))</f>
        <v/>
      </c>
      <c r="N873" s="29" t="str">
        <f aca="false">IF($M873="","",IF($M873="Critical",3000,IF($M873="Warning",2000,1000))+$L873+ROW()/100000)</f>
        <v/>
      </c>
      <c r="O873" s="29" t="str">
        <f aca="false">IF($K873="Open",IF($C873="Conflict","decide "&amp;$A873&amp;": &lt;which version stands&gt;","decide "&amp;$A873&amp;": &lt;outcome&gt;"),IF($K873="Unconfirmed","confirm "&amp;$A873,""))</f>
        <v/>
      </c>
    </row>
    <row r="874" customFormat="false" ht="15" hidden="false" customHeight="false" outlineLevel="0" collapsed="false">
      <c r="A874" s="24"/>
      <c r="B874" s="27"/>
      <c r="C874" s="28"/>
      <c r="D874" s="24"/>
      <c r="E874" s="24"/>
      <c r="F874" s="24"/>
      <c r="G874" s="28"/>
      <c r="H874" s="28"/>
      <c r="I874" s="24"/>
      <c r="J874" s="24"/>
      <c r="K874" s="29" t="str">
        <f aca="false">IF($A874="","",IF(OR($C874="Decision",$C874="Conflict"),IF(COUNTIFS($I$2:$I$1001,$A874,$C$2:$C$1001,"Resolved")=0,"Open","Closed"),IF(AND($H874="Unconfirmed",OR($C874="New",$C874="Know")),IF(COUNTIFS($I$2:$I$1001,$A874,$C$2:$C$1001,"Confirmed")=0,"Unconfirmed","Confirmed"),"Logged")))</f>
        <v/>
      </c>
      <c r="L874" s="29" t="str">
        <f aca="false">IF($A874="","",AsOf-$B874)</f>
        <v/>
      </c>
      <c r="M874" s="29" t="str">
        <f aca="false">IF($K874="Open",IF($C874="Conflict","Critical",IF($L874&gt;=DecisionCritical,"Critical",IF($L874&gt;=DecisionWarn,"Warning","On track"))),IF($K874="Unconfirmed",IF($L874&gt;=UnconfirmedWarn,"Warning","On track"),""))</f>
        <v/>
      </c>
      <c r="N874" s="29" t="str">
        <f aca="false">IF($M874="","",IF($M874="Critical",3000,IF($M874="Warning",2000,1000))+$L874+ROW()/100000)</f>
        <v/>
      </c>
      <c r="O874" s="29" t="str">
        <f aca="false">IF($K874="Open",IF($C874="Conflict","decide "&amp;$A874&amp;": &lt;which version stands&gt;","decide "&amp;$A874&amp;": &lt;outcome&gt;"),IF($K874="Unconfirmed","confirm "&amp;$A874,""))</f>
        <v/>
      </c>
    </row>
    <row r="875" customFormat="false" ht="15" hidden="false" customHeight="false" outlineLevel="0" collapsed="false">
      <c r="A875" s="24"/>
      <c r="B875" s="27"/>
      <c r="C875" s="28"/>
      <c r="D875" s="24"/>
      <c r="E875" s="24"/>
      <c r="F875" s="24"/>
      <c r="G875" s="28"/>
      <c r="H875" s="28"/>
      <c r="I875" s="24"/>
      <c r="J875" s="24"/>
      <c r="K875" s="29" t="str">
        <f aca="false">IF($A875="","",IF(OR($C875="Decision",$C875="Conflict"),IF(COUNTIFS($I$2:$I$1001,$A875,$C$2:$C$1001,"Resolved")=0,"Open","Closed"),IF(AND($H875="Unconfirmed",OR($C875="New",$C875="Know")),IF(COUNTIFS($I$2:$I$1001,$A875,$C$2:$C$1001,"Confirmed")=0,"Unconfirmed","Confirmed"),"Logged")))</f>
        <v/>
      </c>
      <c r="L875" s="29" t="str">
        <f aca="false">IF($A875="","",AsOf-$B875)</f>
        <v/>
      </c>
      <c r="M875" s="29" t="str">
        <f aca="false">IF($K875="Open",IF($C875="Conflict","Critical",IF($L875&gt;=DecisionCritical,"Critical",IF($L875&gt;=DecisionWarn,"Warning","On track"))),IF($K875="Unconfirmed",IF($L875&gt;=UnconfirmedWarn,"Warning","On track"),""))</f>
        <v/>
      </c>
      <c r="N875" s="29" t="str">
        <f aca="false">IF($M875="","",IF($M875="Critical",3000,IF($M875="Warning",2000,1000))+$L875+ROW()/100000)</f>
        <v/>
      </c>
      <c r="O875" s="29" t="str">
        <f aca="false">IF($K875="Open",IF($C875="Conflict","decide "&amp;$A875&amp;": &lt;which version stands&gt;","decide "&amp;$A875&amp;": &lt;outcome&gt;"),IF($K875="Unconfirmed","confirm "&amp;$A875,""))</f>
        <v/>
      </c>
    </row>
    <row r="876" customFormat="false" ht="15" hidden="false" customHeight="false" outlineLevel="0" collapsed="false">
      <c r="A876" s="24"/>
      <c r="B876" s="27"/>
      <c r="C876" s="28"/>
      <c r="D876" s="24"/>
      <c r="E876" s="24"/>
      <c r="F876" s="24"/>
      <c r="G876" s="28"/>
      <c r="H876" s="28"/>
      <c r="I876" s="24"/>
      <c r="J876" s="24"/>
      <c r="K876" s="29" t="str">
        <f aca="false">IF($A876="","",IF(OR($C876="Decision",$C876="Conflict"),IF(COUNTIFS($I$2:$I$1001,$A876,$C$2:$C$1001,"Resolved")=0,"Open","Closed"),IF(AND($H876="Unconfirmed",OR($C876="New",$C876="Know")),IF(COUNTIFS($I$2:$I$1001,$A876,$C$2:$C$1001,"Confirmed")=0,"Unconfirmed","Confirmed"),"Logged")))</f>
        <v/>
      </c>
      <c r="L876" s="29" t="str">
        <f aca="false">IF($A876="","",AsOf-$B876)</f>
        <v/>
      </c>
      <c r="M876" s="29" t="str">
        <f aca="false">IF($K876="Open",IF($C876="Conflict","Critical",IF($L876&gt;=DecisionCritical,"Critical",IF($L876&gt;=DecisionWarn,"Warning","On track"))),IF($K876="Unconfirmed",IF($L876&gt;=UnconfirmedWarn,"Warning","On track"),""))</f>
        <v/>
      </c>
      <c r="N876" s="29" t="str">
        <f aca="false">IF($M876="","",IF($M876="Critical",3000,IF($M876="Warning",2000,1000))+$L876+ROW()/100000)</f>
        <v/>
      </c>
      <c r="O876" s="29" t="str">
        <f aca="false">IF($K876="Open",IF($C876="Conflict","decide "&amp;$A876&amp;": &lt;which version stands&gt;","decide "&amp;$A876&amp;": &lt;outcome&gt;"),IF($K876="Unconfirmed","confirm "&amp;$A876,""))</f>
        <v/>
      </c>
    </row>
    <row r="877" customFormat="false" ht="15" hidden="false" customHeight="false" outlineLevel="0" collapsed="false">
      <c r="A877" s="24"/>
      <c r="B877" s="27"/>
      <c r="C877" s="28"/>
      <c r="D877" s="24"/>
      <c r="E877" s="24"/>
      <c r="F877" s="24"/>
      <c r="G877" s="28"/>
      <c r="H877" s="28"/>
      <c r="I877" s="24"/>
      <c r="J877" s="24"/>
      <c r="K877" s="29" t="str">
        <f aca="false">IF($A877="","",IF(OR($C877="Decision",$C877="Conflict"),IF(COUNTIFS($I$2:$I$1001,$A877,$C$2:$C$1001,"Resolved")=0,"Open","Closed"),IF(AND($H877="Unconfirmed",OR($C877="New",$C877="Know")),IF(COUNTIFS($I$2:$I$1001,$A877,$C$2:$C$1001,"Confirmed")=0,"Unconfirmed","Confirmed"),"Logged")))</f>
        <v/>
      </c>
      <c r="L877" s="29" t="str">
        <f aca="false">IF($A877="","",AsOf-$B877)</f>
        <v/>
      </c>
      <c r="M877" s="29" t="str">
        <f aca="false">IF($K877="Open",IF($C877="Conflict","Critical",IF($L877&gt;=DecisionCritical,"Critical",IF($L877&gt;=DecisionWarn,"Warning","On track"))),IF($K877="Unconfirmed",IF($L877&gt;=UnconfirmedWarn,"Warning","On track"),""))</f>
        <v/>
      </c>
      <c r="N877" s="29" t="str">
        <f aca="false">IF($M877="","",IF($M877="Critical",3000,IF($M877="Warning",2000,1000))+$L877+ROW()/100000)</f>
        <v/>
      </c>
      <c r="O877" s="29" t="str">
        <f aca="false">IF($K877="Open",IF($C877="Conflict","decide "&amp;$A877&amp;": &lt;which version stands&gt;","decide "&amp;$A877&amp;": &lt;outcome&gt;"),IF($K877="Unconfirmed","confirm "&amp;$A877,""))</f>
        <v/>
      </c>
    </row>
    <row r="878" customFormat="false" ht="15" hidden="false" customHeight="false" outlineLevel="0" collapsed="false">
      <c r="A878" s="24"/>
      <c r="B878" s="27"/>
      <c r="C878" s="28"/>
      <c r="D878" s="24"/>
      <c r="E878" s="24"/>
      <c r="F878" s="24"/>
      <c r="G878" s="28"/>
      <c r="H878" s="28"/>
      <c r="I878" s="24"/>
      <c r="J878" s="24"/>
      <c r="K878" s="29" t="str">
        <f aca="false">IF($A878="","",IF(OR($C878="Decision",$C878="Conflict"),IF(COUNTIFS($I$2:$I$1001,$A878,$C$2:$C$1001,"Resolved")=0,"Open","Closed"),IF(AND($H878="Unconfirmed",OR($C878="New",$C878="Know")),IF(COUNTIFS($I$2:$I$1001,$A878,$C$2:$C$1001,"Confirmed")=0,"Unconfirmed","Confirmed"),"Logged")))</f>
        <v/>
      </c>
      <c r="L878" s="29" t="str">
        <f aca="false">IF($A878="","",AsOf-$B878)</f>
        <v/>
      </c>
      <c r="M878" s="29" t="str">
        <f aca="false">IF($K878="Open",IF($C878="Conflict","Critical",IF($L878&gt;=DecisionCritical,"Critical",IF($L878&gt;=DecisionWarn,"Warning","On track"))),IF($K878="Unconfirmed",IF($L878&gt;=UnconfirmedWarn,"Warning","On track"),""))</f>
        <v/>
      </c>
      <c r="N878" s="29" t="str">
        <f aca="false">IF($M878="","",IF($M878="Critical",3000,IF($M878="Warning",2000,1000))+$L878+ROW()/100000)</f>
        <v/>
      </c>
      <c r="O878" s="29" t="str">
        <f aca="false">IF($K878="Open",IF($C878="Conflict","decide "&amp;$A878&amp;": &lt;which version stands&gt;","decide "&amp;$A878&amp;": &lt;outcome&gt;"),IF($K878="Unconfirmed","confirm "&amp;$A878,""))</f>
        <v/>
      </c>
    </row>
    <row r="879" customFormat="false" ht="15" hidden="false" customHeight="false" outlineLevel="0" collapsed="false">
      <c r="A879" s="24"/>
      <c r="B879" s="27"/>
      <c r="C879" s="28"/>
      <c r="D879" s="24"/>
      <c r="E879" s="24"/>
      <c r="F879" s="24"/>
      <c r="G879" s="28"/>
      <c r="H879" s="28"/>
      <c r="I879" s="24"/>
      <c r="J879" s="24"/>
      <c r="K879" s="29" t="str">
        <f aca="false">IF($A879="","",IF(OR($C879="Decision",$C879="Conflict"),IF(COUNTIFS($I$2:$I$1001,$A879,$C$2:$C$1001,"Resolved")=0,"Open","Closed"),IF(AND($H879="Unconfirmed",OR($C879="New",$C879="Know")),IF(COUNTIFS($I$2:$I$1001,$A879,$C$2:$C$1001,"Confirmed")=0,"Unconfirmed","Confirmed"),"Logged")))</f>
        <v/>
      </c>
      <c r="L879" s="29" t="str">
        <f aca="false">IF($A879="","",AsOf-$B879)</f>
        <v/>
      </c>
      <c r="M879" s="29" t="str">
        <f aca="false">IF($K879="Open",IF($C879="Conflict","Critical",IF($L879&gt;=DecisionCritical,"Critical",IF($L879&gt;=DecisionWarn,"Warning","On track"))),IF($K879="Unconfirmed",IF($L879&gt;=UnconfirmedWarn,"Warning","On track"),""))</f>
        <v/>
      </c>
      <c r="N879" s="29" t="str">
        <f aca="false">IF($M879="","",IF($M879="Critical",3000,IF($M879="Warning",2000,1000))+$L879+ROW()/100000)</f>
        <v/>
      </c>
      <c r="O879" s="29" t="str">
        <f aca="false">IF($K879="Open",IF($C879="Conflict","decide "&amp;$A879&amp;": &lt;which version stands&gt;","decide "&amp;$A879&amp;": &lt;outcome&gt;"),IF($K879="Unconfirmed","confirm "&amp;$A879,""))</f>
        <v/>
      </c>
    </row>
    <row r="880" customFormat="false" ht="15" hidden="false" customHeight="false" outlineLevel="0" collapsed="false">
      <c r="A880" s="24"/>
      <c r="B880" s="27"/>
      <c r="C880" s="28"/>
      <c r="D880" s="24"/>
      <c r="E880" s="24"/>
      <c r="F880" s="24"/>
      <c r="G880" s="28"/>
      <c r="H880" s="28"/>
      <c r="I880" s="24"/>
      <c r="J880" s="24"/>
      <c r="K880" s="29" t="str">
        <f aca="false">IF($A880="","",IF(OR($C880="Decision",$C880="Conflict"),IF(COUNTIFS($I$2:$I$1001,$A880,$C$2:$C$1001,"Resolved")=0,"Open","Closed"),IF(AND($H880="Unconfirmed",OR($C880="New",$C880="Know")),IF(COUNTIFS($I$2:$I$1001,$A880,$C$2:$C$1001,"Confirmed")=0,"Unconfirmed","Confirmed"),"Logged")))</f>
        <v/>
      </c>
      <c r="L880" s="29" t="str">
        <f aca="false">IF($A880="","",AsOf-$B880)</f>
        <v/>
      </c>
      <c r="M880" s="29" t="str">
        <f aca="false">IF($K880="Open",IF($C880="Conflict","Critical",IF($L880&gt;=DecisionCritical,"Critical",IF($L880&gt;=DecisionWarn,"Warning","On track"))),IF($K880="Unconfirmed",IF($L880&gt;=UnconfirmedWarn,"Warning","On track"),""))</f>
        <v/>
      </c>
      <c r="N880" s="29" t="str">
        <f aca="false">IF($M880="","",IF($M880="Critical",3000,IF($M880="Warning",2000,1000))+$L880+ROW()/100000)</f>
        <v/>
      </c>
      <c r="O880" s="29" t="str">
        <f aca="false">IF($K880="Open",IF($C880="Conflict","decide "&amp;$A880&amp;": &lt;which version stands&gt;","decide "&amp;$A880&amp;": &lt;outcome&gt;"),IF($K880="Unconfirmed","confirm "&amp;$A880,""))</f>
        <v/>
      </c>
    </row>
    <row r="881" customFormat="false" ht="15" hidden="false" customHeight="false" outlineLevel="0" collapsed="false">
      <c r="A881" s="24"/>
      <c r="B881" s="27"/>
      <c r="C881" s="28"/>
      <c r="D881" s="24"/>
      <c r="E881" s="24"/>
      <c r="F881" s="24"/>
      <c r="G881" s="28"/>
      <c r="H881" s="28"/>
      <c r="I881" s="24"/>
      <c r="J881" s="24"/>
      <c r="K881" s="29" t="str">
        <f aca="false">IF($A881="","",IF(OR($C881="Decision",$C881="Conflict"),IF(COUNTIFS($I$2:$I$1001,$A881,$C$2:$C$1001,"Resolved")=0,"Open","Closed"),IF(AND($H881="Unconfirmed",OR($C881="New",$C881="Know")),IF(COUNTIFS($I$2:$I$1001,$A881,$C$2:$C$1001,"Confirmed")=0,"Unconfirmed","Confirmed"),"Logged")))</f>
        <v/>
      </c>
      <c r="L881" s="29" t="str">
        <f aca="false">IF($A881="","",AsOf-$B881)</f>
        <v/>
      </c>
      <c r="M881" s="29" t="str">
        <f aca="false">IF($K881="Open",IF($C881="Conflict","Critical",IF($L881&gt;=DecisionCritical,"Critical",IF($L881&gt;=DecisionWarn,"Warning","On track"))),IF($K881="Unconfirmed",IF($L881&gt;=UnconfirmedWarn,"Warning","On track"),""))</f>
        <v/>
      </c>
      <c r="N881" s="29" t="str">
        <f aca="false">IF($M881="","",IF($M881="Critical",3000,IF($M881="Warning",2000,1000))+$L881+ROW()/100000)</f>
        <v/>
      </c>
      <c r="O881" s="29" t="str">
        <f aca="false">IF($K881="Open",IF($C881="Conflict","decide "&amp;$A881&amp;": &lt;which version stands&gt;","decide "&amp;$A881&amp;": &lt;outcome&gt;"),IF($K881="Unconfirmed","confirm "&amp;$A881,""))</f>
        <v/>
      </c>
    </row>
    <row r="882" customFormat="false" ht="15" hidden="false" customHeight="false" outlineLevel="0" collapsed="false">
      <c r="A882" s="24"/>
      <c r="B882" s="27"/>
      <c r="C882" s="28"/>
      <c r="D882" s="24"/>
      <c r="E882" s="24"/>
      <c r="F882" s="24"/>
      <c r="G882" s="28"/>
      <c r="H882" s="28"/>
      <c r="I882" s="24"/>
      <c r="J882" s="24"/>
      <c r="K882" s="29" t="str">
        <f aca="false">IF($A882="","",IF(OR($C882="Decision",$C882="Conflict"),IF(COUNTIFS($I$2:$I$1001,$A882,$C$2:$C$1001,"Resolved")=0,"Open","Closed"),IF(AND($H882="Unconfirmed",OR($C882="New",$C882="Know")),IF(COUNTIFS($I$2:$I$1001,$A882,$C$2:$C$1001,"Confirmed")=0,"Unconfirmed","Confirmed"),"Logged")))</f>
        <v/>
      </c>
      <c r="L882" s="29" t="str">
        <f aca="false">IF($A882="","",AsOf-$B882)</f>
        <v/>
      </c>
      <c r="M882" s="29" t="str">
        <f aca="false">IF($K882="Open",IF($C882="Conflict","Critical",IF($L882&gt;=DecisionCritical,"Critical",IF($L882&gt;=DecisionWarn,"Warning","On track"))),IF($K882="Unconfirmed",IF($L882&gt;=UnconfirmedWarn,"Warning","On track"),""))</f>
        <v/>
      </c>
      <c r="N882" s="29" t="str">
        <f aca="false">IF($M882="","",IF($M882="Critical",3000,IF($M882="Warning",2000,1000))+$L882+ROW()/100000)</f>
        <v/>
      </c>
      <c r="O882" s="29" t="str">
        <f aca="false">IF($K882="Open",IF($C882="Conflict","decide "&amp;$A882&amp;": &lt;which version stands&gt;","decide "&amp;$A882&amp;": &lt;outcome&gt;"),IF($K882="Unconfirmed","confirm "&amp;$A882,""))</f>
        <v/>
      </c>
    </row>
    <row r="883" customFormat="false" ht="15" hidden="false" customHeight="false" outlineLevel="0" collapsed="false">
      <c r="A883" s="24"/>
      <c r="B883" s="27"/>
      <c r="C883" s="28"/>
      <c r="D883" s="24"/>
      <c r="E883" s="24"/>
      <c r="F883" s="24"/>
      <c r="G883" s="28"/>
      <c r="H883" s="28"/>
      <c r="I883" s="24"/>
      <c r="J883" s="24"/>
      <c r="K883" s="29" t="str">
        <f aca="false">IF($A883="","",IF(OR($C883="Decision",$C883="Conflict"),IF(COUNTIFS($I$2:$I$1001,$A883,$C$2:$C$1001,"Resolved")=0,"Open","Closed"),IF(AND($H883="Unconfirmed",OR($C883="New",$C883="Know")),IF(COUNTIFS($I$2:$I$1001,$A883,$C$2:$C$1001,"Confirmed")=0,"Unconfirmed","Confirmed"),"Logged")))</f>
        <v/>
      </c>
      <c r="L883" s="29" t="str">
        <f aca="false">IF($A883="","",AsOf-$B883)</f>
        <v/>
      </c>
      <c r="M883" s="29" t="str">
        <f aca="false">IF($K883="Open",IF($C883="Conflict","Critical",IF($L883&gt;=DecisionCritical,"Critical",IF($L883&gt;=DecisionWarn,"Warning","On track"))),IF($K883="Unconfirmed",IF($L883&gt;=UnconfirmedWarn,"Warning","On track"),""))</f>
        <v/>
      </c>
      <c r="N883" s="29" t="str">
        <f aca="false">IF($M883="","",IF($M883="Critical",3000,IF($M883="Warning",2000,1000))+$L883+ROW()/100000)</f>
        <v/>
      </c>
      <c r="O883" s="29" t="str">
        <f aca="false">IF($K883="Open",IF($C883="Conflict","decide "&amp;$A883&amp;": &lt;which version stands&gt;","decide "&amp;$A883&amp;": &lt;outcome&gt;"),IF($K883="Unconfirmed","confirm "&amp;$A883,""))</f>
        <v/>
      </c>
    </row>
    <row r="884" customFormat="false" ht="15" hidden="false" customHeight="false" outlineLevel="0" collapsed="false">
      <c r="A884" s="24"/>
      <c r="B884" s="27"/>
      <c r="C884" s="28"/>
      <c r="D884" s="24"/>
      <c r="E884" s="24"/>
      <c r="F884" s="24"/>
      <c r="G884" s="28"/>
      <c r="H884" s="28"/>
      <c r="I884" s="24"/>
      <c r="J884" s="24"/>
      <c r="K884" s="29" t="str">
        <f aca="false">IF($A884="","",IF(OR($C884="Decision",$C884="Conflict"),IF(COUNTIFS($I$2:$I$1001,$A884,$C$2:$C$1001,"Resolved")=0,"Open","Closed"),IF(AND($H884="Unconfirmed",OR($C884="New",$C884="Know")),IF(COUNTIFS($I$2:$I$1001,$A884,$C$2:$C$1001,"Confirmed")=0,"Unconfirmed","Confirmed"),"Logged")))</f>
        <v/>
      </c>
      <c r="L884" s="29" t="str">
        <f aca="false">IF($A884="","",AsOf-$B884)</f>
        <v/>
      </c>
      <c r="M884" s="29" t="str">
        <f aca="false">IF($K884="Open",IF($C884="Conflict","Critical",IF($L884&gt;=DecisionCritical,"Critical",IF($L884&gt;=DecisionWarn,"Warning","On track"))),IF($K884="Unconfirmed",IF($L884&gt;=UnconfirmedWarn,"Warning","On track"),""))</f>
        <v/>
      </c>
      <c r="N884" s="29" t="str">
        <f aca="false">IF($M884="","",IF($M884="Critical",3000,IF($M884="Warning",2000,1000))+$L884+ROW()/100000)</f>
        <v/>
      </c>
      <c r="O884" s="29" t="str">
        <f aca="false">IF($K884="Open",IF($C884="Conflict","decide "&amp;$A884&amp;": &lt;which version stands&gt;","decide "&amp;$A884&amp;": &lt;outcome&gt;"),IF($K884="Unconfirmed","confirm "&amp;$A884,""))</f>
        <v/>
      </c>
    </row>
    <row r="885" customFormat="false" ht="15" hidden="false" customHeight="false" outlineLevel="0" collapsed="false">
      <c r="A885" s="24"/>
      <c r="B885" s="27"/>
      <c r="C885" s="28"/>
      <c r="D885" s="24"/>
      <c r="E885" s="24"/>
      <c r="F885" s="24"/>
      <c r="G885" s="28"/>
      <c r="H885" s="28"/>
      <c r="I885" s="24"/>
      <c r="J885" s="24"/>
      <c r="K885" s="29" t="str">
        <f aca="false">IF($A885="","",IF(OR($C885="Decision",$C885="Conflict"),IF(COUNTIFS($I$2:$I$1001,$A885,$C$2:$C$1001,"Resolved")=0,"Open","Closed"),IF(AND($H885="Unconfirmed",OR($C885="New",$C885="Know")),IF(COUNTIFS($I$2:$I$1001,$A885,$C$2:$C$1001,"Confirmed")=0,"Unconfirmed","Confirmed"),"Logged")))</f>
        <v/>
      </c>
      <c r="L885" s="29" t="str">
        <f aca="false">IF($A885="","",AsOf-$B885)</f>
        <v/>
      </c>
      <c r="M885" s="29" t="str">
        <f aca="false">IF($K885="Open",IF($C885="Conflict","Critical",IF($L885&gt;=DecisionCritical,"Critical",IF($L885&gt;=DecisionWarn,"Warning","On track"))),IF($K885="Unconfirmed",IF($L885&gt;=UnconfirmedWarn,"Warning","On track"),""))</f>
        <v/>
      </c>
      <c r="N885" s="29" t="str">
        <f aca="false">IF($M885="","",IF($M885="Critical",3000,IF($M885="Warning",2000,1000))+$L885+ROW()/100000)</f>
        <v/>
      </c>
      <c r="O885" s="29" t="str">
        <f aca="false">IF($K885="Open",IF($C885="Conflict","decide "&amp;$A885&amp;": &lt;which version stands&gt;","decide "&amp;$A885&amp;": &lt;outcome&gt;"),IF($K885="Unconfirmed","confirm "&amp;$A885,""))</f>
        <v/>
      </c>
    </row>
    <row r="886" customFormat="false" ht="15" hidden="false" customHeight="false" outlineLevel="0" collapsed="false">
      <c r="A886" s="24"/>
      <c r="B886" s="27"/>
      <c r="C886" s="28"/>
      <c r="D886" s="24"/>
      <c r="E886" s="24"/>
      <c r="F886" s="24"/>
      <c r="G886" s="28"/>
      <c r="H886" s="28"/>
      <c r="I886" s="24"/>
      <c r="J886" s="24"/>
      <c r="K886" s="29" t="str">
        <f aca="false">IF($A886="","",IF(OR($C886="Decision",$C886="Conflict"),IF(COUNTIFS($I$2:$I$1001,$A886,$C$2:$C$1001,"Resolved")=0,"Open","Closed"),IF(AND($H886="Unconfirmed",OR($C886="New",$C886="Know")),IF(COUNTIFS($I$2:$I$1001,$A886,$C$2:$C$1001,"Confirmed")=0,"Unconfirmed","Confirmed"),"Logged")))</f>
        <v/>
      </c>
      <c r="L886" s="29" t="str">
        <f aca="false">IF($A886="","",AsOf-$B886)</f>
        <v/>
      </c>
      <c r="M886" s="29" t="str">
        <f aca="false">IF($K886="Open",IF($C886="Conflict","Critical",IF($L886&gt;=DecisionCritical,"Critical",IF($L886&gt;=DecisionWarn,"Warning","On track"))),IF($K886="Unconfirmed",IF($L886&gt;=UnconfirmedWarn,"Warning","On track"),""))</f>
        <v/>
      </c>
      <c r="N886" s="29" t="str">
        <f aca="false">IF($M886="","",IF($M886="Critical",3000,IF($M886="Warning",2000,1000))+$L886+ROW()/100000)</f>
        <v/>
      </c>
      <c r="O886" s="29" t="str">
        <f aca="false">IF($K886="Open",IF($C886="Conflict","decide "&amp;$A886&amp;": &lt;which version stands&gt;","decide "&amp;$A886&amp;": &lt;outcome&gt;"),IF($K886="Unconfirmed","confirm "&amp;$A886,""))</f>
        <v/>
      </c>
    </row>
    <row r="887" customFormat="false" ht="15" hidden="false" customHeight="false" outlineLevel="0" collapsed="false">
      <c r="A887" s="24"/>
      <c r="B887" s="27"/>
      <c r="C887" s="28"/>
      <c r="D887" s="24"/>
      <c r="E887" s="24"/>
      <c r="F887" s="24"/>
      <c r="G887" s="28"/>
      <c r="H887" s="28"/>
      <c r="I887" s="24"/>
      <c r="J887" s="24"/>
      <c r="K887" s="29" t="str">
        <f aca="false">IF($A887="","",IF(OR($C887="Decision",$C887="Conflict"),IF(COUNTIFS($I$2:$I$1001,$A887,$C$2:$C$1001,"Resolved")=0,"Open","Closed"),IF(AND($H887="Unconfirmed",OR($C887="New",$C887="Know")),IF(COUNTIFS($I$2:$I$1001,$A887,$C$2:$C$1001,"Confirmed")=0,"Unconfirmed","Confirmed"),"Logged")))</f>
        <v/>
      </c>
      <c r="L887" s="29" t="str">
        <f aca="false">IF($A887="","",AsOf-$B887)</f>
        <v/>
      </c>
      <c r="M887" s="29" t="str">
        <f aca="false">IF($K887="Open",IF($C887="Conflict","Critical",IF($L887&gt;=DecisionCritical,"Critical",IF($L887&gt;=DecisionWarn,"Warning","On track"))),IF($K887="Unconfirmed",IF($L887&gt;=UnconfirmedWarn,"Warning","On track"),""))</f>
        <v/>
      </c>
      <c r="N887" s="29" t="str">
        <f aca="false">IF($M887="","",IF($M887="Critical",3000,IF($M887="Warning",2000,1000))+$L887+ROW()/100000)</f>
        <v/>
      </c>
      <c r="O887" s="29" t="str">
        <f aca="false">IF($K887="Open",IF($C887="Conflict","decide "&amp;$A887&amp;": &lt;which version stands&gt;","decide "&amp;$A887&amp;": &lt;outcome&gt;"),IF($K887="Unconfirmed","confirm "&amp;$A887,""))</f>
        <v/>
      </c>
    </row>
    <row r="888" customFormat="false" ht="15" hidden="false" customHeight="false" outlineLevel="0" collapsed="false">
      <c r="A888" s="24"/>
      <c r="B888" s="27"/>
      <c r="C888" s="28"/>
      <c r="D888" s="24"/>
      <c r="E888" s="24"/>
      <c r="F888" s="24"/>
      <c r="G888" s="28"/>
      <c r="H888" s="28"/>
      <c r="I888" s="24"/>
      <c r="J888" s="24"/>
      <c r="K888" s="29" t="str">
        <f aca="false">IF($A888="","",IF(OR($C888="Decision",$C888="Conflict"),IF(COUNTIFS($I$2:$I$1001,$A888,$C$2:$C$1001,"Resolved")=0,"Open","Closed"),IF(AND($H888="Unconfirmed",OR($C888="New",$C888="Know")),IF(COUNTIFS($I$2:$I$1001,$A888,$C$2:$C$1001,"Confirmed")=0,"Unconfirmed","Confirmed"),"Logged")))</f>
        <v/>
      </c>
      <c r="L888" s="29" t="str">
        <f aca="false">IF($A888="","",AsOf-$B888)</f>
        <v/>
      </c>
      <c r="M888" s="29" t="str">
        <f aca="false">IF($K888="Open",IF($C888="Conflict","Critical",IF($L888&gt;=DecisionCritical,"Critical",IF($L888&gt;=DecisionWarn,"Warning","On track"))),IF($K888="Unconfirmed",IF($L888&gt;=UnconfirmedWarn,"Warning","On track"),""))</f>
        <v/>
      </c>
      <c r="N888" s="29" t="str">
        <f aca="false">IF($M888="","",IF($M888="Critical",3000,IF($M888="Warning",2000,1000))+$L888+ROW()/100000)</f>
        <v/>
      </c>
      <c r="O888" s="29" t="str">
        <f aca="false">IF($K888="Open",IF($C888="Conflict","decide "&amp;$A888&amp;": &lt;which version stands&gt;","decide "&amp;$A888&amp;": &lt;outcome&gt;"),IF($K888="Unconfirmed","confirm "&amp;$A888,""))</f>
        <v/>
      </c>
    </row>
    <row r="889" customFormat="false" ht="15" hidden="false" customHeight="false" outlineLevel="0" collapsed="false">
      <c r="A889" s="24"/>
      <c r="B889" s="27"/>
      <c r="C889" s="28"/>
      <c r="D889" s="24"/>
      <c r="E889" s="24"/>
      <c r="F889" s="24"/>
      <c r="G889" s="28"/>
      <c r="H889" s="28"/>
      <c r="I889" s="24"/>
      <c r="J889" s="24"/>
      <c r="K889" s="29" t="str">
        <f aca="false">IF($A889="","",IF(OR($C889="Decision",$C889="Conflict"),IF(COUNTIFS($I$2:$I$1001,$A889,$C$2:$C$1001,"Resolved")=0,"Open","Closed"),IF(AND($H889="Unconfirmed",OR($C889="New",$C889="Know")),IF(COUNTIFS($I$2:$I$1001,$A889,$C$2:$C$1001,"Confirmed")=0,"Unconfirmed","Confirmed"),"Logged")))</f>
        <v/>
      </c>
      <c r="L889" s="29" t="str">
        <f aca="false">IF($A889="","",AsOf-$B889)</f>
        <v/>
      </c>
      <c r="M889" s="29" t="str">
        <f aca="false">IF($K889="Open",IF($C889="Conflict","Critical",IF($L889&gt;=DecisionCritical,"Critical",IF($L889&gt;=DecisionWarn,"Warning","On track"))),IF($K889="Unconfirmed",IF($L889&gt;=UnconfirmedWarn,"Warning","On track"),""))</f>
        <v/>
      </c>
      <c r="N889" s="29" t="str">
        <f aca="false">IF($M889="","",IF($M889="Critical",3000,IF($M889="Warning",2000,1000))+$L889+ROW()/100000)</f>
        <v/>
      </c>
      <c r="O889" s="29" t="str">
        <f aca="false">IF($K889="Open",IF($C889="Conflict","decide "&amp;$A889&amp;": &lt;which version stands&gt;","decide "&amp;$A889&amp;": &lt;outcome&gt;"),IF($K889="Unconfirmed","confirm "&amp;$A889,""))</f>
        <v/>
      </c>
    </row>
    <row r="890" customFormat="false" ht="15" hidden="false" customHeight="false" outlineLevel="0" collapsed="false">
      <c r="A890" s="24"/>
      <c r="B890" s="27"/>
      <c r="C890" s="28"/>
      <c r="D890" s="24"/>
      <c r="E890" s="24"/>
      <c r="F890" s="24"/>
      <c r="G890" s="28"/>
      <c r="H890" s="28"/>
      <c r="I890" s="24"/>
      <c r="J890" s="24"/>
      <c r="K890" s="29" t="str">
        <f aca="false">IF($A890="","",IF(OR($C890="Decision",$C890="Conflict"),IF(COUNTIFS($I$2:$I$1001,$A890,$C$2:$C$1001,"Resolved")=0,"Open","Closed"),IF(AND($H890="Unconfirmed",OR($C890="New",$C890="Know")),IF(COUNTIFS($I$2:$I$1001,$A890,$C$2:$C$1001,"Confirmed")=0,"Unconfirmed","Confirmed"),"Logged")))</f>
        <v/>
      </c>
      <c r="L890" s="29" t="str">
        <f aca="false">IF($A890="","",AsOf-$B890)</f>
        <v/>
      </c>
      <c r="M890" s="29" t="str">
        <f aca="false">IF($K890="Open",IF($C890="Conflict","Critical",IF($L890&gt;=DecisionCritical,"Critical",IF($L890&gt;=DecisionWarn,"Warning","On track"))),IF($K890="Unconfirmed",IF($L890&gt;=UnconfirmedWarn,"Warning","On track"),""))</f>
        <v/>
      </c>
      <c r="N890" s="29" t="str">
        <f aca="false">IF($M890="","",IF($M890="Critical",3000,IF($M890="Warning",2000,1000))+$L890+ROW()/100000)</f>
        <v/>
      </c>
      <c r="O890" s="29" t="str">
        <f aca="false">IF($K890="Open",IF($C890="Conflict","decide "&amp;$A890&amp;": &lt;which version stands&gt;","decide "&amp;$A890&amp;": &lt;outcome&gt;"),IF($K890="Unconfirmed","confirm "&amp;$A890,""))</f>
        <v/>
      </c>
    </row>
    <row r="891" customFormat="false" ht="15" hidden="false" customHeight="false" outlineLevel="0" collapsed="false">
      <c r="A891" s="24"/>
      <c r="B891" s="27"/>
      <c r="C891" s="28"/>
      <c r="D891" s="24"/>
      <c r="E891" s="24"/>
      <c r="F891" s="24"/>
      <c r="G891" s="28"/>
      <c r="H891" s="28"/>
      <c r="I891" s="24"/>
      <c r="J891" s="24"/>
      <c r="K891" s="29" t="str">
        <f aca="false">IF($A891="","",IF(OR($C891="Decision",$C891="Conflict"),IF(COUNTIFS($I$2:$I$1001,$A891,$C$2:$C$1001,"Resolved")=0,"Open","Closed"),IF(AND($H891="Unconfirmed",OR($C891="New",$C891="Know")),IF(COUNTIFS($I$2:$I$1001,$A891,$C$2:$C$1001,"Confirmed")=0,"Unconfirmed","Confirmed"),"Logged")))</f>
        <v/>
      </c>
      <c r="L891" s="29" t="str">
        <f aca="false">IF($A891="","",AsOf-$B891)</f>
        <v/>
      </c>
      <c r="M891" s="29" t="str">
        <f aca="false">IF($K891="Open",IF($C891="Conflict","Critical",IF($L891&gt;=DecisionCritical,"Critical",IF($L891&gt;=DecisionWarn,"Warning","On track"))),IF($K891="Unconfirmed",IF($L891&gt;=UnconfirmedWarn,"Warning","On track"),""))</f>
        <v/>
      </c>
      <c r="N891" s="29" t="str">
        <f aca="false">IF($M891="","",IF($M891="Critical",3000,IF($M891="Warning",2000,1000))+$L891+ROW()/100000)</f>
        <v/>
      </c>
      <c r="O891" s="29" t="str">
        <f aca="false">IF($K891="Open",IF($C891="Conflict","decide "&amp;$A891&amp;": &lt;which version stands&gt;","decide "&amp;$A891&amp;": &lt;outcome&gt;"),IF($K891="Unconfirmed","confirm "&amp;$A891,""))</f>
        <v/>
      </c>
    </row>
    <row r="892" customFormat="false" ht="15" hidden="false" customHeight="false" outlineLevel="0" collapsed="false">
      <c r="A892" s="24"/>
      <c r="B892" s="27"/>
      <c r="C892" s="28"/>
      <c r="D892" s="24"/>
      <c r="E892" s="24"/>
      <c r="F892" s="24"/>
      <c r="G892" s="28"/>
      <c r="H892" s="28"/>
      <c r="I892" s="24"/>
      <c r="J892" s="24"/>
      <c r="K892" s="29" t="str">
        <f aca="false">IF($A892="","",IF(OR($C892="Decision",$C892="Conflict"),IF(COUNTIFS($I$2:$I$1001,$A892,$C$2:$C$1001,"Resolved")=0,"Open","Closed"),IF(AND($H892="Unconfirmed",OR($C892="New",$C892="Know")),IF(COUNTIFS($I$2:$I$1001,$A892,$C$2:$C$1001,"Confirmed")=0,"Unconfirmed","Confirmed"),"Logged")))</f>
        <v/>
      </c>
      <c r="L892" s="29" t="str">
        <f aca="false">IF($A892="","",AsOf-$B892)</f>
        <v/>
      </c>
      <c r="M892" s="29" t="str">
        <f aca="false">IF($K892="Open",IF($C892="Conflict","Critical",IF($L892&gt;=DecisionCritical,"Critical",IF($L892&gt;=DecisionWarn,"Warning","On track"))),IF($K892="Unconfirmed",IF($L892&gt;=UnconfirmedWarn,"Warning","On track"),""))</f>
        <v/>
      </c>
      <c r="N892" s="29" t="str">
        <f aca="false">IF($M892="","",IF($M892="Critical",3000,IF($M892="Warning",2000,1000))+$L892+ROW()/100000)</f>
        <v/>
      </c>
      <c r="O892" s="29" t="str">
        <f aca="false">IF($K892="Open",IF($C892="Conflict","decide "&amp;$A892&amp;": &lt;which version stands&gt;","decide "&amp;$A892&amp;": &lt;outcome&gt;"),IF($K892="Unconfirmed","confirm "&amp;$A892,""))</f>
        <v/>
      </c>
    </row>
    <row r="893" customFormat="false" ht="15" hidden="false" customHeight="false" outlineLevel="0" collapsed="false">
      <c r="A893" s="24"/>
      <c r="B893" s="27"/>
      <c r="C893" s="28"/>
      <c r="D893" s="24"/>
      <c r="E893" s="24"/>
      <c r="F893" s="24"/>
      <c r="G893" s="28"/>
      <c r="H893" s="28"/>
      <c r="I893" s="24"/>
      <c r="J893" s="24"/>
      <c r="K893" s="29" t="str">
        <f aca="false">IF($A893="","",IF(OR($C893="Decision",$C893="Conflict"),IF(COUNTIFS($I$2:$I$1001,$A893,$C$2:$C$1001,"Resolved")=0,"Open","Closed"),IF(AND($H893="Unconfirmed",OR($C893="New",$C893="Know")),IF(COUNTIFS($I$2:$I$1001,$A893,$C$2:$C$1001,"Confirmed")=0,"Unconfirmed","Confirmed"),"Logged")))</f>
        <v/>
      </c>
      <c r="L893" s="29" t="str">
        <f aca="false">IF($A893="","",AsOf-$B893)</f>
        <v/>
      </c>
      <c r="M893" s="29" t="str">
        <f aca="false">IF($K893="Open",IF($C893="Conflict","Critical",IF($L893&gt;=DecisionCritical,"Critical",IF($L893&gt;=DecisionWarn,"Warning","On track"))),IF($K893="Unconfirmed",IF($L893&gt;=UnconfirmedWarn,"Warning","On track"),""))</f>
        <v/>
      </c>
      <c r="N893" s="29" t="str">
        <f aca="false">IF($M893="","",IF($M893="Critical",3000,IF($M893="Warning",2000,1000))+$L893+ROW()/100000)</f>
        <v/>
      </c>
      <c r="O893" s="29" t="str">
        <f aca="false">IF($K893="Open",IF($C893="Conflict","decide "&amp;$A893&amp;": &lt;which version stands&gt;","decide "&amp;$A893&amp;": &lt;outcome&gt;"),IF($K893="Unconfirmed","confirm "&amp;$A893,""))</f>
        <v/>
      </c>
    </row>
    <row r="894" customFormat="false" ht="15" hidden="false" customHeight="false" outlineLevel="0" collapsed="false">
      <c r="A894" s="24"/>
      <c r="B894" s="27"/>
      <c r="C894" s="28"/>
      <c r="D894" s="24"/>
      <c r="E894" s="24"/>
      <c r="F894" s="24"/>
      <c r="G894" s="28"/>
      <c r="H894" s="28"/>
      <c r="I894" s="24"/>
      <c r="J894" s="24"/>
      <c r="K894" s="29" t="str">
        <f aca="false">IF($A894="","",IF(OR($C894="Decision",$C894="Conflict"),IF(COUNTIFS($I$2:$I$1001,$A894,$C$2:$C$1001,"Resolved")=0,"Open","Closed"),IF(AND($H894="Unconfirmed",OR($C894="New",$C894="Know")),IF(COUNTIFS($I$2:$I$1001,$A894,$C$2:$C$1001,"Confirmed")=0,"Unconfirmed","Confirmed"),"Logged")))</f>
        <v/>
      </c>
      <c r="L894" s="29" t="str">
        <f aca="false">IF($A894="","",AsOf-$B894)</f>
        <v/>
      </c>
      <c r="M894" s="29" t="str">
        <f aca="false">IF($K894="Open",IF($C894="Conflict","Critical",IF($L894&gt;=DecisionCritical,"Critical",IF($L894&gt;=DecisionWarn,"Warning","On track"))),IF($K894="Unconfirmed",IF($L894&gt;=UnconfirmedWarn,"Warning","On track"),""))</f>
        <v/>
      </c>
      <c r="N894" s="29" t="str">
        <f aca="false">IF($M894="","",IF($M894="Critical",3000,IF($M894="Warning",2000,1000))+$L894+ROW()/100000)</f>
        <v/>
      </c>
      <c r="O894" s="29" t="str">
        <f aca="false">IF($K894="Open",IF($C894="Conflict","decide "&amp;$A894&amp;": &lt;which version stands&gt;","decide "&amp;$A894&amp;": &lt;outcome&gt;"),IF($K894="Unconfirmed","confirm "&amp;$A894,""))</f>
        <v/>
      </c>
    </row>
    <row r="895" customFormat="false" ht="15" hidden="false" customHeight="false" outlineLevel="0" collapsed="false">
      <c r="A895" s="24"/>
      <c r="B895" s="27"/>
      <c r="C895" s="28"/>
      <c r="D895" s="24"/>
      <c r="E895" s="24"/>
      <c r="F895" s="24"/>
      <c r="G895" s="28"/>
      <c r="H895" s="28"/>
      <c r="I895" s="24"/>
      <c r="J895" s="24"/>
      <c r="K895" s="29" t="str">
        <f aca="false">IF($A895="","",IF(OR($C895="Decision",$C895="Conflict"),IF(COUNTIFS($I$2:$I$1001,$A895,$C$2:$C$1001,"Resolved")=0,"Open","Closed"),IF(AND($H895="Unconfirmed",OR($C895="New",$C895="Know")),IF(COUNTIFS($I$2:$I$1001,$A895,$C$2:$C$1001,"Confirmed")=0,"Unconfirmed","Confirmed"),"Logged")))</f>
        <v/>
      </c>
      <c r="L895" s="29" t="str">
        <f aca="false">IF($A895="","",AsOf-$B895)</f>
        <v/>
      </c>
      <c r="M895" s="29" t="str">
        <f aca="false">IF($K895="Open",IF($C895="Conflict","Critical",IF($L895&gt;=DecisionCritical,"Critical",IF($L895&gt;=DecisionWarn,"Warning","On track"))),IF($K895="Unconfirmed",IF($L895&gt;=UnconfirmedWarn,"Warning","On track"),""))</f>
        <v/>
      </c>
      <c r="N895" s="29" t="str">
        <f aca="false">IF($M895="","",IF($M895="Critical",3000,IF($M895="Warning",2000,1000))+$L895+ROW()/100000)</f>
        <v/>
      </c>
      <c r="O895" s="29" t="str">
        <f aca="false">IF($K895="Open",IF($C895="Conflict","decide "&amp;$A895&amp;": &lt;which version stands&gt;","decide "&amp;$A895&amp;": &lt;outcome&gt;"),IF($K895="Unconfirmed","confirm "&amp;$A895,""))</f>
        <v/>
      </c>
    </row>
    <row r="896" customFormat="false" ht="15" hidden="false" customHeight="false" outlineLevel="0" collapsed="false">
      <c r="A896" s="24"/>
      <c r="B896" s="27"/>
      <c r="C896" s="28"/>
      <c r="D896" s="24"/>
      <c r="E896" s="24"/>
      <c r="F896" s="24"/>
      <c r="G896" s="28"/>
      <c r="H896" s="28"/>
      <c r="I896" s="24"/>
      <c r="J896" s="24"/>
      <c r="K896" s="29" t="str">
        <f aca="false">IF($A896="","",IF(OR($C896="Decision",$C896="Conflict"),IF(COUNTIFS($I$2:$I$1001,$A896,$C$2:$C$1001,"Resolved")=0,"Open","Closed"),IF(AND($H896="Unconfirmed",OR($C896="New",$C896="Know")),IF(COUNTIFS($I$2:$I$1001,$A896,$C$2:$C$1001,"Confirmed")=0,"Unconfirmed","Confirmed"),"Logged")))</f>
        <v/>
      </c>
      <c r="L896" s="29" t="str">
        <f aca="false">IF($A896="","",AsOf-$B896)</f>
        <v/>
      </c>
      <c r="M896" s="29" t="str">
        <f aca="false">IF($K896="Open",IF($C896="Conflict","Critical",IF($L896&gt;=DecisionCritical,"Critical",IF($L896&gt;=DecisionWarn,"Warning","On track"))),IF($K896="Unconfirmed",IF($L896&gt;=UnconfirmedWarn,"Warning","On track"),""))</f>
        <v/>
      </c>
      <c r="N896" s="29" t="str">
        <f aca="false">IF($M896="","",IF($M896="Critical",3000,IF($M896="Warning",2000,1000))+$L896+ROW()/100000)</f>
        <v/>
      </c>
      <c r="O896" s="29" t="str">
        <f aca="false">IF($K896="Open",IF($C896="Conflict","decide "&amp;$A896&amp;": &lt;which version stands&gt;","decide "&amp;$A896&amp;": &lt;outcome&gt;"),IF($K896="Unconfirmed","confirm "&amp;$A896,""))</f>
        <v/>
      </c>
    </row>
    <row r="897" customFormat="false" ht="15" hidden="false" customHeight="false" outlineLevel="0" collapsed="false">
      <c r="A897" s="24"/>
      <c r="B897" s="27"/>
      <c r="C897" s="28"/>
      <c r="D897" s="24"/>
      <c r="E897" s="24"/>
      <c r="F897" s="24"/>
      <c r="G897" s="28"/>
      <c r="H897" s="28"/>
      <c r="I897" s="24"/>
      <c r="J897" s="24"/>
      <c r="K897" s="29" t="str">
        <f aca="false">IF($A897="","",IF(OR($C897="Decision",$C897="Conflict"),IF(COUNTIFS($I$2:$I$1001,$A897,$C$2:$C$1001,"Resolved")=0,"Open","Closed"),IF(AND($H897="Unconfirmed",OR($C897="New",$C897="Know")),IF(COUNTIFS($I$2:$I$1001,$A897,$C$2:$C$1001,"Confirmed")=0,"Unconfirmed","Confirmed"),"Logged")))</f>
        <v/>
      </c>
      <c r="L897" s="29" t="str">
        <f aca="false">IF($A897="","",AsOf-$B897)</f>
        <v/>
      </c>
      <c r="M897" s="29" t="str">
        <f aca="false">IF($K897="Open",IF($C897="Conflict","Critical",IF($L897&gt;=DecisionCritical,"Critical",IF($L897&gt;=DecisionWarn,"Warning","On track"))),IF($K897="Unconfirmed",IF($L897&gt;=UnconfirmedWarn,"Warning","On track"),""))</f>
        <v/>
      </c>
      <c r="N897" s="29" t="str">
        <f aca="false">IF($M897="","",IF($M897="Critical",3000,IF($M897="Warning",2000,1000))+$L897+ROW()/100000)</f>
        <v/>
      </c>
      <c r="O897" s="29" t="str">
        <f aca="false">IF($K897="Open",IF($C897="Conflict","decide "&amp;$A897&amp;": &lt;which version stands&gt;","decide "&amp;$A897&amp;": &lt;outcome&gt;"),IF($K897="Unconfirmed","confirm "&amp;$A897,""))</f>
        <v/>
      </c>
    </row>
    <row r="898" customFormat="false" ht="15" hidden="false" customHeight="false" outlineLevel="0" collapsed="false">
      <c r="A898" s="24"/>
      <c r="B898" s="27"/>
      <c r="C898" s="28"/>
      <c r="D898" s="24"/>
      <c r="E898" s="24"/>
      <c r="F898" s="24"/>
      <c r="G898" s="28"/>
      <c r="H898" s="28"/>
      <c r="I898" s="24"/>
      <c r="J898" s="24"/>
      <c r="K898" s="29" t="str">
        <f aca="false">IF($A898="","",IF(OR($C898="Decision",$C898="Conflict"),IF(COUNTIFS($I$2:$I$1001,$A898,$C$2:$C$1001,"Resolved")=0,"Open","Closed"),IF(AND($H898="Unconfirmed",OR($C898="New",$C898="Know")),IF(COUNTIFS($I$2:$I$1001,$A898,$C$2:$C$1001,"Confirmed")=0,"Unconfirmed","Confirmed"),"Logged")))</f>
        <v/>
      </c>
      <c r="L898" s="29" t="str">
        <f aca="false">IF($A898="","",AsOf-$B898)</f>
        <v/>
      </c>
      <c r="M898" s="29" t="str">
        <f aca="false">IF($K898="Open",IF($C898="Conflict","Critical",IF($L898&gt;=DecisionCritical,"Critical",IF($L898&gt;=DecisionWarn,"Warning","On track"))),IF($K898="Unconfirmed",IF($L898&gt;=UnconfirmedWarn,"Warning","On track"),""))</f>
        <v/>
      </c>
      <c r="N898" s="29" t="str">
        <f aca="false">IF($M898="","",IF($M898="Critical",3000,IF($M898="Warning",2000,1000))+$L898+ROW()/100000)</f>
        <v/>
      </c>
      <c r="O898" s="29" t="str">
        <f aca="false">IF($K898="Open",IF($C898="Conflict","decide "&amp;$A898&amp;": &lt;which version stands&gt;","decide "&amp;$A898&amp;": &lt;outcome&gt;"),IF($K898="Unconfirmed","confirm "&amp;$A898,""))</f>
        <v/>
      </c>
    </row>
    <row r="899" customFormat="false" ht="15" hidden="false" customHeight="false" outlineLevel="0" collapsed="false">
      <c r="A899" s="24"/>
      <c r="B899" s="27"/>
      <c r="C899" s="28"/>
      <c r="D899" s="24"/>
      <c r="E899" s="24"/>
      <c r="F899" s="24"/>
      <c r="G899" s="28"/>
      <c r="H899" s="28"/>
      <c r="I899" s="24"/>
      <c r="J899" s="24"/>
      <c r="K899" s="29" t="str">
        <f aca="false">IF($A899="","",IF(OR($C899="Decision",$C899="Conflict"),IF(COUNTIFS($I$2:$I$1001,$A899,$C$2:$C$1001,"Resolved")=0,"Open","Closed"),IF(AND($H899="Unconfirmed",OR($C899="New",$C899="Know")),IF(COUNTIFS($I$2:$I$1001,$A899,$C$2:$C$1001,"Confirmed")=0,"Unconfirmed","Confirmed"),"Logged")))</f>
        <v/>
      </c>
      <c r="L899" s="29" t="str">
        <f aca="false">IF($A899="","",AsOf-$B899)</f>
        <v/>
      </c>
      <c r="M899" s="29" t="str">
        <f aca="false">IF($K899="Open",IF($C899="Conflict","Critical",IF($L899&gt;=DecisionCritical,"Critical",IF($L899&gt;=DecisionWarn,"Warning","On track"))),IF($K899="Unconfirmed",IF($L899&gt;=UnconfirmedWarn,"Warning","On track"),""))</f>
        <v/>
      </c>
      <c r="N899" s="29" t="str">
        <f aca="false">IF($M899="","",IF($M899="Critical",3000,IF($M899="Warning",2000,1000))+$L899+ROW()/100000)</f>
        <v/>
      </c>
      <c r="O899" s="29" t="str">
        <f aca="false">IF($K899="Open",IF($C899="Conflict","decide "&amp;$A899&amp;": &lt;which version stands&gt;","decide "&amp;$A899&amp;": &lt;outcome&gt;"),IF($K899="Unconfirmed","confirm "&amp;$A899,""))</f>
        <v/>
      </c>
    </row>
    <row r="900" customFormat="false" ht="15" hidden="false" customHeight="false" outlineLevel="0" collapsed="false">
      <c r="A900" s="24"/>
      <c r="B900" s="27"/>
      <c r="C900" s="28"/>
      <c r="D900" s="24"/>
      <c r="E900" s="24"/>
      <c r="F900" s="24"/>
      <c r="G900" s="28"/>
      <c r="H900" s="28"/>
      <c r="I900" s="24"/>
      <c r="J900" s="24"/>
      <c r="K900" s="29" t="str">
        <f aca="false">IF($A900="","",IF(OR($C900="Decision",$C900="Conflict"),IF(COUNTIFS($I$2:$I$1001,$A900,$C$2:$C$1001,"Resolved")=0,"Open","Closed"),IF(AND($H900="Unconfirmed",OR($C900="New",$C900="Know")),IF(COUNTIFS($I$2:$I$1001,$A900,$C$2:$C$1001,"Confirmed")=0,"Unconfirmed","Confirmed"),"Logged")))</f>
        <v/>
      </c>
      <c r="L900" s="29" t="str">
        <f aca="false">IF($A900="","",AsOf-$B900)</f>
        <v/>
      </c>
      <c r="M900" s="29" t="str">
        <f aca="false">IF($K900="Open",IF($C900="Conflict","Critical",IF($L900&gt;=DecisionCritical,"Critical",IF($L900&gt;=DecisionWarn,"Warning","On track"))),IF($K900="Unconfirmed",IF($L900&gt;=UnconfirmedWarn,"Warning","On track"),""))</f>
        <v/>
      </c>
      <c r="N900" s="29" t="str">
        <f aca="false">IF($M900="","",IF($M900="Critical",3000,IF($M900="Warning",2000,1000))+$L900+ROW()/100000)</f>
        <v/>
      </c>
      <c r="O900" s="29" t="str">
        <f aca="false">IF($K900="Open",IF($C900="Conflict","decide "&amp;$A900&amp;": &lt;which version stands&gt;","decide "&amp;$A900&amp;": &lt;outcome&gt;"),IF($K900="Unconfirmed","confirm "&amp;$A900,""))</f>
        <v/>
      </c>
    </row>
    <row r="901" customFormat="false" ht="15" hidden="false" customHeight="false" outlineLevel="0" collapsed="false">
      <c r="A901" s="24"/>
      <c r="B901" s="27"/>
      <c r="C901" s="28"/>
      <c r="D901" s="24"/>
      <c r="E901" s="24"/>
      <c r="F901" s="24"/>
      <c r="G901" s="28"/>
      <c r="H901" s="28"/>
      <c r="I901" s="24"/>
      <c r="J901" s="24"/>
      <c r="K901" s="29" t="str">
        <f aca="false">IF($A901="","",IF(OR($C901="Decision",$C901="Conflict"),IF(COUNTIFS($I$2:$I$1001,$A901,$C$2:$C$1001,"Resolved")=0,"Open","Closed"),IF(AND($H901="Unconfirmed",OR($C901="New",$C901="Know")),IF(COUNTIFS($I$2:$I$1001,$A901,$C$2:$C$1001,"Confirmed")=0,"Unconfirmed","Confirmed"),"Logged")))</f>
        <v/>
      </c>
      <c r="L901" s="29" t="str">
        <f aca="false">IF($A901="","",AsOf-$B901)</f>
        <v/>
      </c>
      <c r="M901" s="29" t="str">
        <f aca="false">IF($K901="Open",IF($C901="Conflict","Critical",IF($L901&gt;=DecisionCritical,"Critical",IF($L901&gt;=DecisionWarn,"Warning","On track"))),IF($K901="Unconfirmed",IF($L901&gt;=UnconfirmedWarn,"Warning","On track"),""))</f>
        <v/>
      </c>
      <c r="N901" s="29" t="str">
        <f aca="false">IF($M901="","",IF($M901="Critical",3000,IF($M901="Warning",2000,1000))+$L901+ROW()/100000)</f>
        <v/>
      </c>
      <c r="O901" s="29" t="str">
        <f aca="false">IF($K901="Open",IF($C901="Conflict","decide "&amp;$A901&amp;": &lt;which version stands&gt;","decide "&amp;$A901&amp;": &lt;outcome&gt;"),IF($K901="Unconfirmed","confirm "&amp;$A901,""))</f>
        <v/>
      </c>
    </row>
    <row r="902" customFormat="false" ht="15" hidden="false" customHeight="false" outlineLevel="0" collapsed="false">
      <c r="A902" s="24"/>
      <c r="B902" s="27"/>
      <c r="C902" s="28"/>
      <c r="D902" s="24"/>
      <c r="E902" s="24"/>
      <c r="F902" s="24"/>
      <c r="G902" s="28"/>
      <c r="H902" s="28"/>
      <c r="I902" s="24"/>
      <c r="J902" s="24"/>
      <c r="K902" s="29" t="str">
        <f aca="false">IF($A902="","",IF(OR($C902="Decision",$C902="Conflict"),IF(COUNTIFS($I$2:$I$1001,$A902,$C$2:$C$1001,"Resolved")=0,"Open","Closed"),IF(AND($H902="Unconfirmed",OR($C902="New",$C902="Know")),IF(COUNTIFS($I$2:$I$1001,$A902,$C$2:$C$1001,"Confirmed")=0,"Unconfirmed","Confirmed"),"Logged")))</f>
        <v/>
      </c>
      <c r="L902" s="29" t="str">
        <f aca="false">IF($A902="","",AsOf-$B902)</f>
        <v/>
      </c>
      <c r="M902" s="29" t="str">
        <f aca="false">IF($K902="Open",IF($C902="Conflict","Critical",IF($L902&gt;=DecisionCritical,"Critical",IF($L902&gt;=DecisionWarn,"Warning","On track"))),IF($K902="Unconfirmed",IF($L902&gt;=UnconfirmedWarn,"Warning","On track"),""))</f>
        <v/>
      </c>
      <c r="N902" s="29" t="str">
        <f aca="false">IF($M902="","",IF($M902="Critical",3000,IF($M902="Warning",2000,1000))+$L902+ROW()/100000)</f>
        <v/>
      </c>
      <c r="O902" s="29" t="str">
        <f aca="false">IF($K902="Open",IF($C902="Conflict","decide "&amp;$A902&amp;": &lt;which version stands&gt;","decide "&amp;$A902&amp;": &lt;outcome&gt;"),IF($K902="Unconfirmed","confirm "&amp;$A902,""))</f>
        <v/>
      </c>
    </row>
    <row r="903" customFormat="false" ht="15" hidden="false" customHeight="false" outlineLevel="0" collapsed="false">
      <c r="A903" s="24"/>
      <c r="B903" s="27"/>
      <c r="C903" s="28"/>
      <c r="D903" s="24"/>
      <c r="E903" s="24"/>
      <c r="F903" s="24"/>
      <c r="G903" s="28"/>
      <c r="H903" s="28"/>
      <c r="I903" s="24"/>
      <c r="J903" s="24"/>
      <c r="K903" s="29" t="str">
        <f aca="false">IF($A903="","",IF(OR($C903="Decision",$C903="Conflict"),IF(COUNTIFS($I$2:$I$1001,$A903,$C$2:$C$1001,"Resolved")=0,"Open","Closed"),IF(AND($H903="Unconfirmed",OR($C903="New",$C903="Know")),IF(COUNTIFS($I$2:$I$1001,$A903,$C$2:$C$1001,"Confirmed")=0,"Unconfirmed","Confirmed"),"Logged")))</f>
        <v/>
      </c>
      <c r="L903" s="29" t="str">
        <f aca="false">IF($A903="","",AsOf-$B903)</f>
        <v/>
      </c>
      <c r="M903" s="29" t="str">
        <f aca="false">IF($K903="Open",IF($C903="Conflict","Critical",IF($L903&gt;=DecisionCritical,"Critical",IF($L903&gt;=DecisionWarn,"Warning","On track"))),IF($K903="Unconfirmed",IF($L903&gt;=UnconfirmedWarn,"Warning","On track"),""))</f>
        <v/>
      </c>
      <c r="N903" s="29" t="str">
        <f aca="false">IF($M903="","",IF($M903="Critical",3000,IF($M903="Warning",2000,1000))+$L903+ROW()/100000)</f>
        <v/>
      </c>
      <c r="O903" s="29" t="str">
        <f aca="false">IF($K903="Open",IF($C903="Conflict","decide "&amp;$A903&amp;": &lt;which version stands&gt;","decide "&amp;$A903&amp;": &lt;outcome&gt;"),IF($K903="Unconfirmed","confirm "&amp;$A903,""))</f>
        <v/>
      </c>
    </row>
    <row r="904" customFormat="false" ht="15" hidden="false" customHeight="false" outlineLevel="0" collapsed="false">
      <c r="A904" s="24"/>
      <c r="B904" s="27"/>
      <c r="C904" s="28"/>
      <c r="D904" s="24"/>
      <c r="E904" s="24"/>
      <c r="F904" s="24"/>
      <c r="G904" s="28"/>
      <c r="H904" s="28"/>
      <c r="I904" s="24"/>
      <c r="J904" s="24"/>
      <c r="K904" s="29" t="str">
        <f aca="false">IF($A904="","",IF(OR($C904="Decision",$C904="Conflict"),IF(COUNTIFS($I$2:$I$1001,$A904,$C$2:$C$1001,"Resolved")=0,"Open","Closed"),IF(AND($H904="Unconfirmed",OR($C904="New",$C904="Know")),IF(COUNTIFS($I$2:$I$1001,$A904,$C$2:$C$1001,"Confirmed")=0,"Unconfirmed","Confirmed"),"Logged")))</f>
        <v/>
      </c>
      <c r="L904" s="29" t="str">
        <f aca="false">IF($A904="","",AsOf-$B904)</f>
        <v/>
      </c>
      <c r="M904" s="29" t="str">
        <f aca="false">IF($K904="Open",IF($C904="Conflict","Critical",IF($L904&gt;=DecisionCritical,"Critical",IF($L904&gt;=DecisionWarn,"Warning","On track"))),IF($K904="Unconfirmed",IF($L904&gt;=UnconfirmedWarn,"Warning","On track"),""))</f>
        <v/>
      </c>
      <c r="N904" s="29" t="str">
        <f aca="false">IF($M904="","",IF($M904="Critical",3000,IF($M904="Warning",2000,1000))+$L904+ROW()/100000)</f>
        <v/>
      </c>
      <c r="O904" s="29" t="str">
        <f aca="false">IF($K904="Open",IF($C904="Conflict","decide "&amp;$A904&amp;": &lt;which version stands&gt;","decide "&amp;$A904&amp;": &lt;outcome&gt;"),IF($K904="Unconfirmed","confirm "&amp;$A904,""))</f>
        <v/>
      </c>
    </row>
    <row r="905" customFormat="false" ht="15" hidden="false" customHeight="false" outlineLevel="0" collapsed="false">
      <c r="A905" s="24"/>
      <c r="B905" s="27"/>
      <c r="C905" s="28"/>
      <c r="D905" s="24"/>
      <c r="E905" s="24"/>
      <c r="F905" s="24"/>
      <c r="G905" s="28"/>
      <c r="H905" s="28"/>
      <c r="I905" s="24"/>
      <c r="J905" s="24"/>
      <c r="K905" s="29" t="str">
        <f aca="false">IF($A905="","",IF(OR($C905="Decision",$C905="Conflict"),IF(COUNTIFS($I$2:$I$1001,$A905,$C$2:$C$1001,"Resolved")=0,"Open","Closed"),IF(AND($H905="Unconfirmed",OR($C905="New",$C905="Know")),IF(COUNTIFS($I$2:$I$1001,$A905,$C$2:$C$1001,"Confirmed")=0,"Unconfirmed","Confirmed"),"Logged")))</f>
        <v/>
      </c>
      <c r="L905" s="29" t="str">
        <f aca="false">IF($A905="","",AsOf-$B905)</f>
        <v/>
      </c>
      <c r="M905" s="29" t="str">
        <f aca="false">IF($K905="Open",IF($C905="Conflict","Critical",IF($L905&gt;=DecisionCritical,"Critical",IF($L905&gt;=DecisionWarn,"Warning","On track"))),IF($K905="Unconfirmed",IF($L905&gt;=UnconfirmedWarn,"Warning","On track"),""))</f>
        <v/>
      </c>
      <c r="N905" s="29" t="str">
        <f aca="false">IF($M905="","",IF($M905="Critical",3000,IF($M905="Warning",2000,1000))+$L905+ROW()/100000)</f>
        <v/>
      </c>
      <c r="O905" s="29" t="str">
        <f aca="false">IF($K905="Open",IF($C905="Conflict","decide "&amp;$A905&amp;": &lt;which version stands&gt;","decide "&amp;$A905&amp;": &lt;outcome&gt;"),IF($K905="Unconfirmed","confirm "&amp;$A905,""))</f>
        <v/>
      </c>
    </row>
    <row r="906" customFormat="false" ht="15" hidden="false" customHeight="false" outlineLevel="0" collapsed="false">
      <c r="A906" s="24"/>
      <c r="B906" s="27"/>
      <c r="C906" s="28"/>
      <c r="D906" s="24"/>
      <c r="E906" s="24"/>
      <c r="F906" s="24"/>
      <c r="G906" s="28"/>
      <c r="H906" s="28"/>
      <c r="I906" s="24"/>
      <c r="J906" s="24"/>
      <c r="K906" s="29" t="str">
        <f aca="false">IF($A906="","",IF(OR($C906="Decision",$C906="Conflict"),IF(COUNTIFS($I$2:$I$1001,$A906,$C$2:$C$1001,"Resolved")=0,"Open","Closed"),IF(AND($H906="Unconfirmed",OR($C906="New",$C906="Know")),IF(COUNTIFS($I$2:$I$1001,$A906,$C$2:$C$1001,"Confirmed")=0,"Unconfirmed","Confirmed"),"Logged")))</f>
        <v/>
      </c>
      <c r="L906" s="29" t="str">
        <f aca="false">IF($A906="","",AsOf-$B906)</f>
        <v/>
      </c>
      <c r="M906" s="29" t="str">
        <f aca="false">IF($K906="Open",IF($C906="Conflict","Critical",IF($L906&gt;=DecisionCritical,"Critical",IF($L906&gt;=DecisionWarn,"Warning","On track"))),IF($K906="Unconfirmed",IF($L906&gt;=UnconfirmedWarn,"Warning","On track"),""))</f>
        <v/>
      </c>
      <c r="N906" s="29" t="str">
        <f aca="false">IF($M906="","",IF($M906="Critical",3000,IF($M906="Warning",2000,1000))+$L906+ROW()/100000)</f>
        <v/>
      </c>
      <c r="O906" s="29" t="str">
        <f aca="false">IF($K906="Open",IF($C906="Conflict","decide "&amp;$A906&amp;": &lt;which version stands&gt;","decide "&amp;$A906&amp;": &lt;outcome&gt;"),IF($K906="Unconfirmed","confirm "&amp;$A906,""))</f>
        <v/>
      </c>
    </row>
    <row r="907" customFormat="false" ht="15" hidden="false" customHeight="false" outlineLevel="0" collapsed="false">
      <c r="A907" s="24"/>
      <c r="B907" s="27"/>
      <c r="C907" s="28"/>
      <c r="D907" s="24"/>
      <c r="E907" s="24"/>
      <c r="F907" s="24"/>
      <c r="G907" s="28"/>
      <c r="H907" s="28"/>
      <c r="I907" s="24"/>
      <c r="J907" s="24"/>
      <c r="K907" s="29" t="str">
        <f aca="false">IF($A907="","",IF(OR($C907="Decision",$C907="Conflict"),IF(COUNTIFS($I$2:$I$1001,$A907,$C$2:$C$1001,"Resolved")=0,"Open","Closed"),IF(AND($H907="Unconfirmed",OR($C907="New",$C907="Know")),IF(COUNTIFS($I$2:$I$1001,$A907,$C$2:$C$1001,"Confirmed")=0,"Unconfirmed","Confirmed"),"Logged")))</f>
        <v/>
      </c>
      <c r="L907" s="29" t="str">
        <f aca="false">IF($A907="","",AsOf-$B907)</f>
        <v/>
      </c>
      <c r="M907" s="29" t="str">
        <f aca="false">IF($K907="Open",IF($C907="Conflict","Critical",IF($L907&gt;=DecisionCritical,"Critical",IF($L907&gt;=DecisionWarn,"Warning","On track"))),IF($K907="Unconfirmed",IF($L907&gt;=UnconfirmedWarn,"Warning","On track"),""))</f>
        <v/>
      </c>
      <c r="N907" s="29" t="str">
        <f aca="false">IF($M907="","",IF($M907="Critical",3000,IF($M907="Warning",2000,1000))+$L907+ROW()/100000)</f>
        <v/>
      </c>
      <c r="O907" s="29" t="str">
        <f aca="false">IF($K907="Open",IF($C907="Conflict","decide "&amp;$A907&amp;": &lt;which version stands&gt;","decide "&amp;$A907&amp;": &lt;outcome&gt;"),IF($K907="Unconfirmed","confirm "&amp;$A907,""))</f>
        <v/>
      </c>
    </row>
    <row r="908" customFormat="false" ht="15" hidden="false" customHeight="false" outlineLevel="0" collapsed="false">
      <c r="A908" s="24"/>
      <c r="B908" s="27"/>
      <c r="C908" s="28"/>
      <c r="D908" s="24"/>
      <c r="E908" s="24"/>
      <c r="F908" s="24"/>
      <c r="G908" s="28"/>
      <c r="H908" s="28"/>
      <c r="I908" s="24"/>
      <c r="J908" s="24"/>
      <c r="K908" s="29" t="str">
        <f aca="false">IF($A908="","",IF(OR($C908="Decision",$C908="Conflict"),IF(COUNTIFS($I$2:$I$1001,$A908,$C$2:$C$1001,"Resolved")=0,"Open","Closed"),IF(AND($H908="Unconfirmed",OR($C908="New",$C908="Know")),IF(COUNTIFS($I$2:$I$1001,$A908,$C$2:$C$1001,"Confirmed")=0,"Unconfirmed","Confirmed"),"Logged")))</f>
        <v/>
      </c>
      <c r="L908" s="29" t="str">
        <f aca="false">IF($A908="","",AsOf-$B908)</f>
        <v/>
      </c>
      <c r="M908" s="29" t="str">
        <f aca="false">IF($K908="Open",IF($C908="Conflict","Critical",IF($L908&gt;=DecisionCritical,"Critical",IF($L908&gt;=DecisionWarn,"Warning","On track"))),IF($K908="Unconfirmed",IF($L908&gt;=UnconfirmedWarn,"Warning","On track"),""))</f>
        <v/>
      </c>
      <c r="N908" s="29" t="str">
        <f aca="false">IF($M908="","",IF($M908="Critical",3000,IF($M908="Warning",2000,1000))+$L908+ROW()/100000)</f>
        <v/>
      </c>
      <c r="O908" s="29" t="str">
        <f aca="false">IF($K908="Open",IF($C908="Conflict","decide "&amp;$A908&amp;": &lt;which version stands&gt;","decide "&amp;$A908&amp;": &lt;outcome&gt;"),IF($K908="Unconfirmed","confirm "&amp;$A908,""))</f>
        <v/>
      </c>
    </row>
    <row r="909" customFormat="false" ht="15" hidden="false" customHeight="false" outlineLevel="0" collapsed="false">
      <c r="A909" s="24"/>
      <c r="B909" s="27"/>
      <c r="C909" s="28"/>
      <c r="D909" s="24"/>
      <c r="E909" s="24"/>
      <c r="F909" s="24"/>
      <c r="G909" s="28"/>
      <c r="H909" s="28"/>
      <c r="I909" s="24"/>
      <c r="J909" s="24"/>
      <c r="K909" s="29" t="str">
        <f aca="false">IF($A909="","",IF(OR($C909="Decision",$C909="Conflict"),IF(COUNTIFS($I$2:$I$1001,$A909,$C$2:$C$1001,"Resolved")=0,"Open","Closed"),IF(AND($H909="Unconfirmed",OR($C909="New",$C909="Know")),IF(COUNTIFS($I$2:$I$1001,$A909,$C$2:$C$1001,"Confirmed")=0,"Unconfirmed","Confirmed"),"Logged")))</f>
        <v/>
      </c>
      <c r="L909" s="29" t="str">
        <f aca="false">IF($A909="","",AsOf-$B909)</f>
        <v/>
      </c>
      <c r="M909" s="29" t="str">
        <f aca="false">IF($K909="Open",IF($C909="Conflict","Critical",IF($L909&gt;=DecisionCritical,"Critical",IF($L909&gt;=DecisionWarn,"Warning","On track"))),IF($K909="Unconfirmed",IF($L909&gt;=UnconfirmedWarn,"Warning","On track"),""))</f>
        <v/>
      </c>
      <c r="N909" s="29" t="str">
        <f aca="false">IF($M909="","",IF($M909="Critical",3000,IF($M909="Warning",2000,1000))+$L909+ROW()/100000)</f>
        <v/>
      </c>
      <c r="O909" s="29" t="str">
        <f aca="false">IF($K909="Open",IF($C909="Conflict","decide "&amp;$A909&amp;": &lt;which version stands&gt;","decide "&amp;$A909&amp;": &lt;outcome&gt;"),IF($K909="Unconfirmed","confirm "&amp;$A909,""))</f>
        <v/>
      </c>
    </row>
    <row r="910" customFormat="false" ht="15" hidden="false" customHeight="false" outlineLevel="0" collapsed="false">
      <c r="A910" s="24"/>
      <c r="B910" s="27"/>
      <c r="C910" s="28"/>
      <c r="D910" s="24"/>
      <c r="E910" s="24"/>
      <c r="F910" s="24"/>
      <c r="G910" s="28"/>
      <c r="H910" s="28"/>
      <c r="I910" s="24"/>
      <c r="J910" s="24"/>
      <c r="K910" s="29" t="str">
        <f aca="false">IF($A910="","",IF(OR($C910="Decision",$C910="Conflict"),IF(COUNTIFS($I$2:$I$1001,$A910,$C$2:$C$1001,"Resolved")=0,"Open","Closed"),IF(AND($H910="Unconfirmed",OR($C910="New",$C910="Know")),IF(COUNTIFS($I$2:$I$1001,$A910,$C$2:$C$1001,"Confirmed")=0,"Unconfirmed","Confirmed"),"Logged")))</f>
        <v/>
      </c>
      <c r="L910" s="29" t="str">
        <f aca="false">IF($A910="","",AsOf-$B910)</f>
        <v/>
      </c>
      <c r="M910" s="29" t="str">
        <f aca="false">IF($K910="Open",IF($C910="Conflict","Critical",IF($L910&gt;=DecisionCritical,"Critical",IF($L910&gt;=DecisionWarn,"Warning","On track"))),IF($K910="Unconfirmed",IF($L910&gt;=UnconfirmedWarn,"Warning","On track"),""))</f>
        <v/>
      </c>
      <c r="N910" s="29" t="str">
        <f aca="false">IF($M910="","",IF($M910="Critical",3000,IF($M910="Warning",2000,1000))+$L910+ROW()/100000)</f>
        <v/>
      </c>
      <c r="O910" s="29" t="str">
        <f aca="false">IF($K910="Open",IF($C910="Conflict","decide "&amp;$A910&amp;": &lt;which version stands&gt;","decide "&amp;$A910&amp;": &lt;outcome&gt;"),IF($K910="Unconfirmed","confirm "&amp;$A910,""))</f>
        <v/>
      </c>
    </row>
    <row r="911" customFormat="false" ht="15" hidden="false" customHeight="false" outlineLevel="0" collapsed="false">
      <c r="A911" s="24"/>
      <c r="B911" s="27"/>
      <c r="C911" s="28"/>
      <c r="D911" s="24"/>
      <c r="E911" s="24"/>
      <c r="F911" s="24"/>
      <c r="G911" s="28"/>
      <c r="H911" s="28"/>
      <c r="I911" s="24"/>
      <c r="J911" s="24"/>
      <c r="K911" s="29" t="str">
        <f aca="false">IF($A911="","",IF(OR($C911="Decision",$C911="Conflict"),IF(COUNTIFS($I$2:$I$1001,$A911,$C$2:$C$1001,"Resolved")=0,"Open","Closed"),IF(AND($H911="Unconfirmed",OR($C911="New",$C911="Know")),IF(COUNTIFS($I$2:$I$1001,$A911,$C$2:$C$1001,"Confirmed")=0,"Unconfirmed","Confirmed"),"Logged")))</f>
        <v/>
      </c>
      <c r="L911" s="29" t="str">
        <f aca="false">IF($A911="","",AsOf-$B911)</f>
        <v/>
      </c>
      <c r="M911" s="29" t="str">
        <f aca="false">IF($K911="Open",IF($C911="Conflict","Critical",IF($L911&gt;=DecisionCritical,"Critical",IF($L911&gt;=DecisionWarn,"Warning","On track"))),IF($K911="Unconfirmed",IF($L911&gt;=UnconfirmedWarn,"Warning","On track"),""))</f>
        <v/>
      </c>
      <c r="N911" s="29" t="str">
        <f aca="false">IF($M911="","",IF($M911="Critical",3000,IF($M911="Warning",2000,1000))+$L911+ROW()/100000)</f>
        <v/>
      </c>
      <c r="O911" s="29" t="str">
        <f aca="false">IF($K911="Open",IF($C911="Conflict","decide "&amp;$A911&amp;": &lt;which version stands&gt;","decide "&amp;$A911&amp;": &lt;outcome&gt;"),IF($K911="Unconfirmed","confirm "&amp;$A911,""))</f>
        <v/>
      </c>
    </row>
    <row r="912" customFormat="false" ht="15" hidden="false" customHeight="false" outlineLevel="0" collapsed="false">
      <c r="A912" s="24"/>
      <c r="B912" s="27"/>
      <c r="C912" s="28"/>
      <c r="D912" s="24"/>
      <c r="E912" s="24"/>
      <c r="F912" s="24"/>
      <c r="G912" s="28"/>
      <c r="H912" s="28"/>
      <c r="I912" s="24"/>
      <c r="J912" s="24"/>
      <c r="K912" s="29" t="str">
        <f aca="false">IF($A912="","",IF(OR($C912="Decision",$C912="Conflict"),IF(COUNTIFS($I$2:$I$1001,$A912,$C$2:$C$1001,"Resolved")=0,"Open","Closed"),IF(AND($H912="Unconfirmed",OR($C912="New",$C912="Know")),IF(COUNTIFS($I$2:$I$1001,$A912,$C$2:$C$1001,"Confirmed")=0,"Unconfirmed","Confirmed"),"Logged")))</f>
        <v/>
      </c>
      <c r="L912" s="29" t="str">
        <f aca="false">IF($A912="","",AsOf-$B912)</f>
        <v/>
      </c>
      <c r="M912" s="29" t="str">
        <f aca="false">IF($K912="Open",IF($C912="Conflict","Critical",IF($L912&gt;=DecisionCritical,"Critical",IF($L912&gt;=DecisionWarn,"Warning","On track"))),IF($K912="Unconfirmed",IF($L912&gt;=UnconfirmedWarn,"Warning","On track"),""))</f>
        <v/>
      </c>
      <c r="N912" s="29" t="str">
        <f aca="false">IF($M912="","",IF($M912="Critical",3000,IF($M912="Warning",2000,1000))+$L912+ROW()/100000)</f>
        <v/>
      </c>
      <c r="O912" s="29" t="str">
        <f aca="false">IF($K912="Open",IF($C912="Conflict","decide "&amp;$A912&amp;": &lt;which version stands&gt;","decide "&amp;$A912&amp;": &lt;outcome&gt;"),IF($K912="Unconfirmed","confirm "&amp;$A912,""))</f>
        <v/>
      </c>
    </row>
    <row r="913" customFormat="false" ht="15" hidden="false" customHeight="false" outlineLevel="0" collapsed="false">
      <c r="A913" s="24"/>
      <c r="B913" s="27"/>
      <c r="C913" s="28"/>
      <c r="D913" s="24"/>
      <c r="E913" s="24"/>
      <c r="F913" s="24"/>
      <c r="G913" s="28"/>
      <c r="H913" s="28"/>
      <c r="I913" s="24"/>
      <c r="J913" s="24"/>
      <c r="K913" s="29" t="str">
        <f aca="false">IF($A913="","",IF(OR($C913="Decision",$C913="Conflict"),IF(COUNTIFS($I$2:$I$1001,$A913,$C$2:$C$1001,"Resolved")=0,"Open","Closed"),IF(AND($H913="Unconfirmed",OR($C913="New",$C913="Know")),IF(COUNTIFS($I$2:$I$1001,$A913,$C$2:$C$1001,"Confirmed")=0,"Unconfirmed","Confirmed"),"Logged")))</f>
        <v/>
      </c>
      <c r="L913" s="29" t="str">
        <f aca="false">IF($A913="","",AsOf-$B913)</f>
        <v/>
      </c>
      <c r="M913" s="29" t="str">
        <f aca="false">IF($K913="Open",IF($C913="Conflict","Critical",IF($L913&gt;=DecisionCritical,"Critical",IF($L913&gt;=DecisionWarn,"Warning","On track"))),IF($K913="Unconfirmed",IF($L913&gt;=UnconfirmedWarn,"Warning","On track"),""))</f>
        <v/>
      </c>
      <c r="N913" s="29" t="str">
        <f aca="false">IF($M913="","",IF($M913="Critical",3000,IF($M913="Warning",2000,1000))+$L913+ROW()/100000)</f>
        <v/>
      </c>
      <c r="O913" s="29" t="str">
        <f aca="false">IF($K913="Open",IF($C913="Conflict","decide "&amp;$A913&amp;": &lt;which version stands&gt;","decide "&amp;$A913&amp;": &lt;outcome&gt;"),IF($K913="Unconfirmed","confirm "&amp;$A913,""))</f>
        <v/>
      </c>
    </row>
    <row r="914" customFormat="false" ht="15" hidden="false" customHeight="false" outlineLevel="0" collapsed="false">
      <c r="A914" s="24"/>
      <c r="B914" s="27"/>
      <c r="C914" s="28"/>
      <c r="D914" s="24"/>
      <c r="E914" s="24"/>
      <c r="F914" s="24"/>
      <c r="G914" s="28"/>
      <c r="H914" s="28"/>
      <c r="I914" s="24"/>
      <c r="J914" s="24"/>
      <c r="K914" s="29" t="str">
        <f aca="false">IF($A914="","",IF(OR($C914="Decision",$C914="Conflict"),IF(COUNTIFS($I$2:$I$1001,$A914,$C$2:$C$1001,"Resolved")=0,"Open","Closed"),IF(AND($H914="Unconfirmed",OR($C914="New",$C914="Know")),IF(COUNTIFS($I$2:$I$1001,$A914,$C$2:$C$1001,"Confirmed")=0,"Unconfirmed","Confirmed"),"Logged")))</f>
        <v/>
      </c>
      <c r="L914" s="29" t="str">
        <f aca="false">IF($A914="","",AsOf-$B914)</f>
        <v/>
      </c>
      <c r="M914" s="29" t="str">
        <f aca="false">IF($K914="Open",IF($C914="Conflict","Critical",IF($L914&gt;=DecisionCritical,"Critical",IF($L914&gt;=DecisionWarn,"Warning","On track"))),IF($K914="Unconfirmed",IF($L914&gt;=UnconfirmedWarn,"Warning","On track"),""))</f>
        <v/>
      </c>
      <c r="N914" s="29" t="str">
        <f aca="false">IF($M914="","",IF($M914="Critical",3000,IF($M914="Warning",2000,1000))+$L914+ROW()/100000)</f>
        <v/>
      </c>
      <c r="O914" s="29" t="str">
        <f aca="false">IF($K914="Open",IF($C914="Conflict","decide "&amp;$A914&amp;": &lt;which version stands&gt;","decide "&amp;$A914&amp;": &lt;outcome&gt;"),IF($K914="Unconfirmed","confirm "&amp;$A914,""))</f>
        <v/>
      </c>
    </row>
    <row r="915" customFormat="false" ht="15" hidden="false" customHeight="false" outlineLevel="0" collapsed="false">
      <c r="A915" s="24"/>
      <c r="B915" s="27"/>
      <c r="C915" s="28"/>
      <c r="D915" s="24"/>
      <c r="E915" s="24"/>
      <c r="F915" s="24"/>
      <c r="G915" s="28"/>
      <c r="H915" s="28"/>
      <c r="I915" s="24"/>
      <c r="J915" s="24"/>
      <c r="K915" s="29" t="str">
        <f aca="false">IF($A915="","",IF(OR($C915="Decision",$C915="Conflict"),IF(COUNTIFS($I$2:$I$1001,$A915,$C$2:$C$1001,"Resolved")=0,"Open","Closed"),IF(AND($H915="Unconfirmed",OR($C915="New",$C915="Know")),IF(COUNTIFS($I$2:$I$1001,$A915,$C$2:$C$1001,"Confirmed")=0,"Unconfirmed","Confirmed"),"Logged")))</f>
        <v/>
      </c>
      <c r="L915" s="29" t="str">
        <f aca="false">IF($A915="","",AsOf-$B915)</f>
        <v/>
      </c>
      <c r="M915" s="29" t="str">
        <f aca="false">IF($K915="Open",IF($C915="Conflict","Critical",IF($L915&gt;=DecisionCritical,"Critical",IF($L915&gt;=DecisionWarn,"Warning","On track"))),IF($K915="Unconfirmed",IF($L915&gt;=UnconfirmedWarn,"Warning","On track"),""))</f>
        <v/>
      </c>
      <c r="N915" s="29" t="str">
        <f aca="false">IF($M915="","",IF($M915="Critical",3000,IF($M915="Warning",2000,1000))+$L915+ROW()/100000)</f>
        <v/>
      </c>
      <c r="O915" s="29" t="str">
        <f aca="false">IF($K915="Open",IF($C915="Conflict","decide "&amp;$A915&amp;": &lt;which version stands&gt;","decide "&amp;$A915&amp;": &lt;outcome&gt;"),IF($K915="Unconfirmed","confirm "&amp;$A915,""))</f>
        <v/>
      </c>
    </row>
    <row r="916" customFormat="false" ht="15" hidden="false" customHeight="false" outlineLevel="0" collapsed="false">
      <c r="A916" s="24"/>
      <c r="B916" s="27"/>
      <c r="C916" s="28"/>
      <c r="D916" s="24"/>
      <c r="E916" s="24"/>
      <c r="F916" s="24"/>
      <c r="G916" s="28"/>
      <c r="H916" s="28"/>
      <c r="I916" s="24"/>
      <c r="J916" s="24"/>
      <c r="K916" s="29" t="str">
        <f aca="false">IF($A916="","",IF(OR($C916="Decision",$C916="Conflict"),IF(COUNTIFS($I$2:$I$1001,$A916,$C$2:$C$1001,"Resolved")=0,"Open","Closed"),IF(AND($H916="Unconfirmed",OR($C916="New",$C916="Know")),IF(COUNTIFS($I$2:$I$1001,$A916,$C$2:$C$1001,"Confirmed")=0,"Unconfirmed","Confirmed"),"Logged")))</f>
        <v/>
      </c>
      <c r="L916" s="29" t="str">
        <f aca="false">IF($A916="","",AsOf-$B916)</f>
        <v/>
      </c>
      <c r="M916" s="29" t="str">
        <f aca="false">IF($K916="Open",IF($C916="Conflict","Critical",IF($L916&gt;=DecisionCritical,"Critical",IF($L916&gt;=DecisionWarn,"Warning","On track"))),IF($K916="Unconfirmed",IF($L916&gt;=UnconfirmedWarn,"Warning","On track"),""))</f>
        <v/>
      </c>
      <c r="N916" s="29" t="str">
        <f aca="false">IF($M916="","",IF($M916="Critical",3000,IF($M916="Warning",2000,1000))+$L916+ROW()/100000)</f>
        <v/>
      </c>
      <c r="O916" s="29" t="str">
        <f aca="false">IF($K916="Open",IF($C916="Conflict","decide "&amp;$A916&amp;": &lt;which version stands&gt;","decide "&amp;$A916&amp;": &lt;outcome&gt;"),IF($K916="Unconfirmed","confirm "&amp;$A916,""))</f>
        <v/>
      </c>
    </row>
    <row r="917" customFormat="false" ht="15" hidden="false" customHeight="false" outlineLevel="0" collapsed="false">
      <c r="A917" s="24"/>
      <c r="B917" s="27"/>
      <c r="C917" s="28"/>
      <c r="D917" s="24"/>
      <c r="E917" s="24"/>
      <c r="F917" s="24"/>
      <c r="G917" s="28"/>
      <c r="H917" s="28"/>
      <c r="I917" s="24"/>
      <c r="J917" s="24"/>
      <c r="K917" s="29" t="str">
        <f aca="false">IF($A917="","",IF(OR($C917="Decision",$C917="Conflict"),IF(COUNTIFS($I$2:$I$1001,$A917,$C$2:$C$1001,"Resolved")=0,"Open","Closed"),IF(AND($H917="Unconfirmed",OR($C917="New",$C917="Know")),IF(COUNTIFS($I$2:$I$1001,$A917,$C$2:$C$1001,"Confirmed")=0,"Unconfirmed","Confirmed"),"Logged")))</f>
        <v/>
      </c>
      <c r="L917" s="29" t="str">
        <f aca="false">IF($A917="","",AsOf-$B917)</f>
        <v/>
      </c>
      <c r="M917" s="29" t="str">
        <f aca="false">IF($K917="Open",IF($C917="Conflict","Critical",IF($L917&gt;=DecisionCritical,"Critical",IF($L917&gt;=DecisionWarn,"Warning","On track"))),IF($K917="Unconfirmed",IF($L917&gt;=UnconfirmedWarn,"Warning","On track"),""))</f>
        <v/>
      </c>
      <c r="N917" s="29" t="str">
        <f aca="false">IF($M917="","",IF($M917="Critical",3000,IF($M917="Warning",2000,1000))+$L917+ROW()/100000)</f>
        <v/>
      </c>
      <c r="O917" s="29" t="str">
        <f aca="false">IF($K917="Open",IF($C917="Conflict","decide "&amp;$A917&amp;": &lt;which version stands&gt;","decide "&amp;$A917&amp;": &lt;outcome&gt;"),IF($K917="Unconfirmed","confirm "&amp;$A917,""))</f>
        <v/>
      </c>
    </row>
    <row r="918" customFormat="false" ht="15" hidden="false" customHeight="false" outlineLevel="0" collapsed="false">
      <c r="A918" s="24"/>
      <c r="B918" s="27"/>
      <c r="C918" s="28"/>
      <c r="D918" s="24"/>
      <c r="E918" s="24"/>
      <c r="F918" s="24"/>
      <c r="G918" s="28"/>
      <c r="H918" s="28"/>
      <c r="I918" s="24"/>
      <c r="J918" s="24"/>
      <c r="K918" s="29" t="str">
        <f aca="false">IF($A918="","",IF(OR($C918="Decision",$C918="Conflict"),IF(COUNTIFS($I$2:$I$1001,$A918,$C$2:$C$1001,"Resolved")=0,"Open","Closed"),IF(AND($H918="Unconfirmed",OR($C918="New",$C918="Know")),IF(COUNTIFS($I$2:$I$1001,$A918,$C$2:$C$1001,"Confirmed")=0,"Unconfirmed","Confirmed"),"Logged")))</f>
        <v/>
      </c>
      <c r="L918" s="29" t="str">
        <f aca="false">IF($A918="","",AsOf-$B918)</f>
        <v/>
      </c>
      <c r="M918" s="29" t="str">
        <f aca="false">IF($K918="Open",IF($C918="Conflict","Critical",IF($L918&gt;=DecisionCritical,"Critical",IF($L918&gt;=DecisionWarn,"Warning","On track"))),IF($K918="Unconfirmed",IF($L918&gt;=UnconfirmedWarn,"Warning","On track"),""))</f>
        <v/>
      </c>
      <c r="N918" s="29" t="str">
        <f aca="false">IF($M918="","",IF($M918="Critical",3000,IF($M918="Warning",2000,1000))+$L918+ROW()/100000)</f>
        <v/>
      </c>
      <c r="O918" s="29" t="str">
        <f aca="false">IF($K918="Open",IF($C918="Conflict","decide "&amp;$A918&amp;": &lt;which version stands&gt;","decide "&amp;$A918&amp;": &lt;outcome&gt;"),IF($K918="Unconfirmed","confirm "&amp;$A918,""))</f>
        <v/>
      </c>
    </row>
    <row r="919" customFormat="false" ht="15" hidden="false" customHeight="false" outlineLevel="0" collapsed="false">
      <c r="A919" s="24"/>
      <c r="B919" s="27"/>
      <c r="C919" s="28"/>
      <c r="D919" s="24"/>
      <c r="E919" s="24"/>
      <c r="F919" s="24"/>
      <c r="G919" s="28"/>
      <c r="H919" s="28"/>
      <c r="I919" s="24"/>
      <c r="J919" s="24"/>
      <c r="K919" s="29" t="str">
        <f aca="false">IF($A919="","",IF(OR($C919="Decision",$C919="Conflict"),IF(COUNTIFS($I$2:$I$1001,$A919,$C$2:$C$1001,"Resolved")=0,"Open","Closed"),IF(AND($H919="Unconfirmed",OR($C919="New",$C919="Know")),IF(COUNTIFS($I$2:$I$1001,$A919,$C$2:$C$1001,"Confirmed")=0,"Unconfirmed","Confirmed"),"Logged")))</f>
        <v/>
      </c>
      <c r="L919" s="29" t="str">
        <f aca="false">IF($A919="","",AsOf-$B919)</f>
        <v/>
      </c>
      <c r="M919" s="29" t="str">
        <f aca="false">IF($K919="Open",IF($C919="Conflict","Critical",IF($L919&gt;=DecisionCritical,"Critical",IF($L919&gt;=DecisionWarn,"Warning","On track"))),IF($K919="Unconfirmed",IF($L919&gt;=UnconfirmedWarn,"Warning","On track"),""))</f>
        <v/>
      </c>
      <c r="N919" s="29" t="str">
        <f aca="false">IF($M919="","",IF($M919="Critical",3000,IF($M919="Warning",2000,1000))+$L919+ROW()/100000)</f>
        <v/>
      </c>
      <c r="O919" s="29" t="str">
        <f aca="false">IF($K919="Open",IF($C919="Conflict","decide "&amp;$A919&amp;": &lt;which version stands&gt;","decide "&amp;$A919&amp;": &lt;outcome&gt;"),IF($K919="Unconfirmed","confirm "&amp;$A919,""))</f>
        <v/>
      </c>
    </row>
    <row r="920" customFormat="false" ht="15" hidden="false" customHeight="false" outlineLevel="0" collapsed="false">
      <c r="A920" s="24"/>
      <c r="B920" s="27"/>
      <c r="C920" s="28"/>
      <c r="D920" s="24"/>
      <c r="E920" s="24"/>
      <c r="F920" s="24"/>
      <c r="G920" s="28"/>
      <c r="H920" s="28"/>
      <c r="I920" s="24"/>
      <c r="J920" s="24"/>
      <c r="K920" s="29" t="str">
        <f aca="false">IF($A920="","",IF(OR($C920="Decision",$C920="Conflict"),IF(COUNTIFS($I$2:$I$1001,$A920,$C$2:$C$1001,"Resolved")=0,"Open","Closed"),IF(AND($H920="Unconfirmed",OR($C920="New",$C920="Know")),IF(COUNTIFS($I$2:$I$1001,$A920,$C$2:$C$1001,"Confirmed")=0,"Unconfirmed","Confirmed"),"Logged")))</f>
        <v/>
      </c>
      <c r="L920" s="29" t="str">
        <f aca="false">IF($A920="","",AsOf-$B920)</f>
        <v/>
      </c>
      <c r="M920" s="29" t="str">
        <f aca="false">IF($K920="Open",IF($C920="Conflict","Critical",IF($L920&gt;=DecisionCritical,"Critical",IF($L920&gt;=DecisionWarn,"Warning","On track"))),IF($K920="Unconfirmed",IF($L920&gt;=UnconfirmedWarn,"Warning","On track"),""))</f>
        <v/>
      </c>
      <c r="N920" s="29" t="str">
        <f aca="false">IF($M920="","",IF($M920="Critical",3000,IF($M920="Warning",2000,1000))+$L920+ROW()/100000)</f>
        <v/>
      </c>
      <c r="O920" s="29" t="str">
        <f aca="false">IF($K920="Open",IF($C920="Conflict","decide "&amp;$A920&amp;": &lt;which version stands&gt;","decide "&amp;$A920&amp;": &lt;outcome&gt;"),IF($K920="Unconfirmed","confirm "&amp;$A920,""))</f>
        <v/>
      </c>
    </row>
    <row r="921" customFormat="false" ht="15" hidden="false" customHeight="false" outlineLevel="0" collapsed="false">
      <c r="A921" s="24"/>
      <c r="B921" s="27"/>
      <c r="C921" s="28"/>
      <c r="D921" s="24"/>
      <c r="E921" s="24"/>
      <c r="F921" s="24"/>
      <c r="G921" s="28"/>
      <c r="H921" s="28"/>
      <c r="I921" s="24"/>
      <c r="J921" s="24"/>
      <c r="K921" s="29" t="str">
        <f aca="false">IF($A921="","",IF(OR($C921="Decision",$C921="Conflict"),IF(COUNTIFS($I$2:$I$1001,$A921,$C$2:$C$1001,"Resolved")=0,"Open","Closed"),IF(AND($H921="Unconfirmed",OR($C921="New",$C921="Know")),IF(COUNTIFS($I$2:$I$1001,$A921,$C$2:$C$1001,"Confirmed")=0,"Unconfirmed","Confirmed"),"Logged")))</f>
        <v/>
      </c>
      <c r="L921" s="29" t="str">
        <f aca="false">IF($A921="","",AsOf-$B921)</f>
        <v/>
      </c>
      <c r="M921" s="29" t="str">
        <f aca="false">IF($K921="Open",IF($C921="Conflict","Critical",IF($L921&gt;=DecisionCritical,"Critical",IF($L921&gt;=DecisionWarn,"Warning","On track"))),IF($K921="Unconfirmed",IF($L921&gt;=UnconfirmedWarn,"Warning","On track"),""))</f>
        <v/>
      </c>
      <c r="N921" s="29" t="str">
        <f aca="false">IF($M921="","",IF($M921="Critical",3000,IF($M921="Warning",2000,1000))+$L921+ROW()/100000)</f>
        <v/>
      </c>
      <c r="O921" s="29" t="str">
        <f aca="false">IF($K921="Open",IF($C921="Conflict","decide "&amp;$A921&amp;": &lt;which version stands&gt;","decide "&amp;$A921&amp;": &lt;outcome&gt;"),IF($K921="Unconfirmed","confirm "&amp;$A921,""))</f>
        <v/>
      </c>
    </row>
    <row r="922" customFormat="false" ht="15" hidden="false" customHeight="false" outlineLevel="0" collapsed="false">
      <c r="A922" s="24"/>
      <c r="B922" s="27"/>
      <c r="C922" s="28"/>
      <c r="D922" s="24"/>
      <c r="E922" s="24"/>
      <c r="F922" s="24"/>
      <c r="G922" s="28"/>
      <c r="H922" s="28"/>
      <c r="I922" s="24"/>
      <c r="J922" s="24"/>
      <c r="K922" s="29" t="str">
        <f aca="false">IF($A922="","",IF(OR($C922="Decision",$C922="Conflict"),IF(COUNTIFS($I$2:$I$1001,$A922,$C$2:$C$1001,"Resolved")=0,"Open","Closed"),IF(AND($H922="Unconfirmed",OR($C922="New",$C922="Know")),IF(COUNTIFS($I$2:$I$1001,$A922,$C$2:$C$1001,"Confirmed")=0,"Unconfirmed","Confirmed"),"Logged")))</f>
        <v/>
      </c>
      <c r="L922" s="29" t="str">
        <f aca="false">IF($A922="","",AsOf-$B922)</f>
        <v/>
      </c>
      <c r="M922" s="29" t="str">
        <f aca="false">IF($K922="Open",IF($C922="Conflict","Critical",IF($L922&gt;=DecisionCritical,"Critical",IF($L922&gt;=DecisionWarn,"Warning","On track"))),IF($K922="Unconfirmed",IF($L922&gt;=UnconfirmedWarn,"Warning","On track"),""))</f>
        <v/>
      </c>
      <c r="N922" s="29" t="str">
        <f aca="false">IF($M922="","",IF($M922="Critical",3000,IF($M922="Warning",2000,1000))+$L922+ROW()/100000)</f>
        <v/>
      </c>
      <c r="O922" s="29" t="str">
        <f aca="false">IF($K922="Open",IF($C922="Conflict","decide "&amp;$A922&amp;": &lt;which version stands&gt;","decide "&amp;$A922&amp;": &lt;outcome&gt;"),IF($K922="Unconfirmed","confirm "&amp;$A922,""))</f>
        <v/>
      </c>
    </row>
    <row r="923" customFormat="false" ht="15" hidden="false" customHeight="false" outlineLevel="0" collapsed="false">
      <c r="A923" s="24"/>
      <c r="B923" s="27"/>
      <c r="C923" s="28"/>
      <c r="D923" s="24"/>
      <c r="E923" s="24"/>
      <c r="F923" s="24"/>
      <c r="G923" s="28"/>
      <c r="H923" s="28"/>
      <c r="I923" s="24"/>
      <c r="J923" s="24"/>
      <c r="K923" s="29" t="str">
        <f aca="false">IF($A923="","",IF(OR($C923="Decision",$C923="Conflict"),IF(COUNTIFS($I$2:$I$1001,$A923,$C$2:$C$1001,"Resolved")=0,"Open","Closed"),IF(AND($H923="Unconfirmed",OR($C923="New",$C923="Know")),IF(COUNTIFS($I$2:$I$1001,$A923,$C$2:$C$1001,"Confirmed")=0,"Unconfirmed","Confirmed"),"Logged")))</f>
        <v/>
      </c>
      <c r="L923" s="29" t="str">
        <f aca="false">IF($A923="","",AsOf-$B923)</f>
        <v/>
      </c>
      <c r="M923" s="29" t="str">
        <f aca="false">IF($K923="Open",IF($C923="Conflict","Critical",IF($L923&gt;=DecisionCritical,"Critical",IF($L923&gt;=DecisionWarn,"Warning","On track"))),IF($K923="Unconfirmed",IF($L923&gt;=UnconfirmedWarn,"Warning","On track"),""))</f>
        <v/>
      </c>
      <c r="N923" s="29" t="str">
        <f aca="false">IF($M923="","",IF($M923="Critical",3000,IF($M923="Warning",2000,1000))+$L923+ROW()/100000)</f>
        <v/>
      </c>
      <c r="O923" s="29" t="str">
        <f aca="false">IF($K923="Open",IF($C923="Conflict","decide "&amp;$A923&amp;": &lt;which version stands&gt;","decide "&amp;$A923&amp;": &lt;outcome&gt;"),IF($K923="Unconfirmed","confirm "&amp;$A923,""))</f>
        <v/>
      </c>
    </row>
    <row r="924" customFormat="false" ht="15" hidden="false" customHeight="false" outlineLevel="0" collapsed="false">
      <c r="A924" s="24"/>
      <c r="B924" s="27"/>
      <c r="C924" s="28"/>
      <c r="D924" s="24"/>
      <c r="E924" s="24"/>
      <c r="F924" s="24"/>
      <c r="G924" s="28"/>
      <c r="H924" s="28"/>
      <c r="I924" s="24"/>
      <c r="J924" s="24"/>
      <c r="K924" s="29" t="str">
        <f aca="false">IF($A924="","",IF(OR($C924="Decision",$C924="Conflict"),IF(COUNTIFS($I$2:$I$1001,$A924,$C$2:$C$1001,"Resolved")=0,"Open","Closed"),IF(AND($H924="Unconfirmed",OR($C924="New",$C924="Know")),IF(COUNTIFS($I$2:$I$1001,$A924,$C$2:$C$1001,"Confirmed")=0,"Unconfirmed","Confirmed"),"Logged")))</f>
        <v/>
      </c>
      <c r="L924" s="29" t="str">
        <f aca="false">IF($A924="","",AsOf-$B924)</f>
        <v/>
      </c>
      <c r="M924" s="29" t="str">
        <f aca="false">IF($K924="Open",IF($C924="Conflict","Critical",IF($L924&gt;=DecisionCritical,"Critical",IF($L924&gt;=DecisionWarn,"Warning","On track"))),IF($K924="Unconfirmed",IF($L924&gt;=UnconfirmedWarn,"Warning","On track"),""))</f>
        <v/>
      </c>
      <c r="N924" s="29" t="str">
        <f aca="false">IF($M924="","",IF($M924="Critical",3000,IF($M924="Warning",2000,1000))+$L924+ROW()/100000)</f>
        <v/>
      </c>
      <c r="O924" s="29" t="str">
        <f aca="false">IF($K924="Open",IF($C924="Conflict","decide "&amp;$A924&amp;": &lt;which version stands&gt;","decide "&amp;$A924&amp;": &lt;outcome&gt;"),IF($K924="Unconfirmed","confirm "&amp;$A924,""))</f>
        <v/>
      </c>
    </row>
    <row r="925" customFormat="false" ht="15" hidden="false" customHeight="false" outlineLevel="0" collapsed="false">
      <c r="A925" s="24"/>
      <c r="B925" s="27"/>
      <c r="C925" s="28"/>
      <c r="D925" s="24"/>
      <c r="E925" s="24"/>
      <c r="F925" s="24"/>
      <c r="G925" s="28"/>
      <c r="H925" s="28"/>
      <c r="I925" s="24"/>
      <c r="J925" s="24"/>
      <c r="K925" s="29" t="str">
        <f aca="false">IF($A925="","",IF(OR($C925="Decision",$C925="Conflict"),IF(COUNTIFS($I$2:$I$1001,$A925,$C$2:$C$1001,"Resolved")=0,"Open","Closed"),IF(AND($H925="Unconfirmed",OR($C925="New",$C925="Know")),IF(COUNTIFS($I$2:$I$1001,$A925,$C$2:$C$1001,"Confirmed")=0,"Unconfirmed","Confirmed"),"Logged")))</f>
        <v/>
      </c>
      <c r="L925" s="29" t="str">
        <f aca="false">IF($A925="","",AsOf-$B925)</f>
        <v/>
      </c>
      <c r="M925" s="29" t="str">
        <f aca="false">IF($K925="Open",IF($C925="Conflict","Critical",IF($L925&gt;=DecisionCritical,"Critical",IF($L925&gt;=DecisionWarn,"Warning","On track"))),IF($K925="Unconfirmed",IF($L925&gt;=UnconfirmedWarn,"Warning","On track"),""))</f>
        <v/>
      </c>
      <c r="N925" s="29" t="str">
        <f aca="false">IF($M925="","",IF($M925="Critical",3000,IF($M925="Warning",2000,1000))+$L925+ROW()/100000)</f>
        <v/>
      </c>
      <c r="O925" s="29" t="str">
        <f aca="false">IF($K925="Open",IF($C925="Conflict","decide "&amp;$A925&amp;": &lt;which version stands&gt;","decide "&amp;$A925&amp;": &lt;outcome&gt;"),IF($K925="Unconfirmed","confirm "&amp;$A925,""))</f>
        <v/>
      </c>
    </row>
    <row r="926" customFormat="false" ht="15" hidden="false" customHeight="false" outlineLevel="0" collapsed="false">
      <c r="A926" s="24"/>
      <c r="B926" s="27"/>
      <c r="C926" s="28"/>
      <c r="D926" s="24"/>
      <c r="E926" s="24"/>
      <c r="F926" s="24"/>
      <c r="G926" s="28"/>
      <c r="H926" s="28"/>
      <c r="I926" s="24"/>
      <c r="J926" s="24"/>
      <c r="K926" s="29" t="str">
        <f aca="false">IF($A926="","",IF(OR($C926="Decision",$C926="Conflict"),IF(COUNTIFS($I$2:$I$1001,$A926,$C$2:$C$1001,"Resolved")=0,"Open","Closed"),IF(AND($H926="Unconfirmed",OR($C926="New",$C926="Know")),IF(COUNTIFS($I$2:$I$1001,$A926,$C$2:$C$1001,"Confirmed")=0,"Unconfirmed","Confirmed"),"Logged")))</f>
        <v/>
      </c>
      <c r="L926" s="29" t="str">
        <f aca="false">IF($A926="","",AsOf-$B926)</f>
        <v/>
      </c>
      <c r="M926" s="29" t="str">
        <f aca="false">IF($K926="Open",IF($C926="Conflict","Critical",IF($L926&gt;=DecisionCritical,"Critical",IF($L926&gt;=DecisionWarn,"Warning","On track"))),IF($K926="Unconfirmed",IF($L926&gt;=UnconfirmedWarn,"Warning","On track"),""))</f>
        <v/>
      </c>
      <c r="N926" s="29" t="str">
        <f aca="false">IF($M926="","",IF($M926="Critical",3000,IF($M926="Warning",2000,1000))+$L926+ROW()/100000)</f>
        <v/>
      </c>
      <c r="O926" s="29" t="str">
        <f aca="false">IF($K926="Open",IF($C926="Conflict","decide "&amp;$A926&amp;": &lt;which version stands&gt;","decide "&amp;$A926&amp;": &lt;outcome&gt;"),IF($K926="Unconfirmed","confirm "&amp;$A926,""))</f>
        <v/>
      </c>
    </row>
    <row r="927" customFormat="false" ht="15" hidden="false" customHeight="false" outlineLevel="0" collapsed="false">
      <c r="A927" s="24"/>
      <c r="B927" s="27"/>
      <c r="C927" s="28"/>
      <c r="D927" s="24"/>
      <c r="E927" s="24"/>
      <c r="F927" s="24"/>
      <c r="G927" s="28"/>
      <c r="H927" s="28"/>
      <c r="I927" s="24"/>
      <c r="J927" s="24"/>
      <c r="K927" s="29" t="str">
        <f aca="false">IF($A927="","",IF(OR($C927="Decision",$C927="Conflict"),IF(COUNTIFS($I$2:$I$1001,$A927,$C$2:$C$1001,"Resolved")=0,"Open","Closed"),IF(AND($H927="Unconfirmed",OR($C927="New",$C927="Know")),IF(COUNTIFS($I$2:$I$1001,$A927,$C$2:$C$1001,"Confirmed")=0,"Unconfirmed","Confirmed"),"Logged")))</f>
        <v/>
      </c>
      <c r="L927" s="29" t="str">
        <f aca="false">IF($A927="","",AsOf-$B927)</f>
        <v/>
      </c>
      <c r="M927" s="29" t="str">
        <f aca="false">IF($K927="Open",IF($C927="Conflict","Critical",IF($L927&gt;=DecisionCritical,"Critical",IF($L927&gt;=DecisionWarn,"Warning","On track"))),IF($K927="Unconfirmed",IF($L927&gt;=UnconfirmedWarn,"Warning","On track"),""))</f>
        <v/>
      </c>
      <c r="N927" s="29" t="str">
        <f aca="false">IF($M927="","",IF($M927="Critical",3000,IF($M927="Warning",2000,1000))+$L927+ROW()/100000)</f>
        <v/>
      </c>
      <c r="O927" s="29" t="str">
        <f aca="false">IF($K927="Open",IF($C927="Conflict","decide "&amp;$A927&amp;": &lt;which version stands&gt;","decide "&amp;$A927&amp;": &lt;outcome&gt;"),IF($K927="Unconfirmed","confirm "&amp;$A927,""))</f>
        <v/>
      </c>
    </row>
    <row r="928" customFormat="false" ht="15" hidden="false" customHeight="false" outlineLevel="0" collapsed="false">
      <c r="A928" s="24"/>
      <c r="B928" s="27"/>
      <c r="C928" s="28"/>
      <c r="D928" s="24"/>
      <c r="E928" s="24"/>
      <c r="F928" s="24"/>
      <c r="G928" s="28"/>
      <c r="H928" s="28"/>
      <c r="I928" s="24"/>
      <c r="J928" s="24"/>
      <c r="K928" s="29" t="str">
        <f aca="false">IF($A928="","",IF(OR($C928="Decision",$C928="Conflict"),IF(COUNTIFS($I$2:$I$1001,$A928,$C$2:$C$1001,"Resolved")=0,"Open","Closed"),IF(AND($H928="Unconfirmed",OR($C928="New",$C928="Know")),IF(COUNTIFS($I$2:$I$1001,$A928,$C$2:$C$1001,"Confirmed")=0,"Unconfirmed","Confirmed"),"Logged")))</f>
        <v/>
      </c>
      <c r="L928" s="29" t="str">
        <f aca="false">IF($A928="","",AsOf-$B928)</f>
        <v/>
      </c>
      <c r="M928" s="29" t="str">
        <f aca="false">IF($K928="Open",IF($C928="Conflict","Critical",IF($L928&gt;=DecisionCritical,"Critical",IF($L928&gt;=DecisionWarn,"Warning","On track"))),IF($K928="Unconfirmed",IF($L928&gt;=UnconfirmedWarn,"Warning","On track"),""))</f>
        <v/>
      </c>
      <c r="N928" s="29" t="str">
        <f aca="false">IF($M928="","",IF($M928="Critical",3000,IF($M928="Warning",2000,1000))+$L928+ROW()/100000)</f>
        <v/>
      </c>
      <c r="O928" s="29" t="str">
        <f aca="false">IF($K928="Open",IF($C928="Conflict","decide "&amp;$A928&amp;": &lt;which version stands&gt;","decide "&amp;$A928&amp;": &lt;outcome&gt;"),IF($K928="Unconfirmed","confirm "&amp;$A928,""))</f>
        <v/>
      </c>
    </row>
    <row r="929" customFormat="false" ht="15" hidden="false" customHeight="false" outlineLevel="0" collapsed="false">
      <c r="A929" s="24"/>
      <c r="B929" s="27"/>
      <c r="C929" s="28"/>
      <c r="D929" s="24"/>
      <c r="E929" s="24"/>
      <c r="F929" s="24"/>
      <c r="G929" s="28"/>
      <c r="H929" s="28"/>
      <c r="I929" s="24"/>
      <c r="J929" s="24"/>
      <c r="K929" s="29" t="str">
        <f aca="false">IF($A929="","",IF(OR($C929="Decision",$C929="Conflict"),IF(COUNTIFS($I$2:$I$1001,$A929,$C$2:$C$1001,"Resolved")=0,"Open","Closed"),IF(AND($H929="Unconfirmed",OR($C929="New",$C929="Know")),IF(COUNTIFS($I$2:$I$1001,$A929,$C$2:$C$1001,"Confirmed")=0,"Unconfirmed","Confirmed"),"Logged")))</f>
        <v/>
      </c>
      <c r="L929" s="29" t="str">
        <f aca="false">IF($A929="","",AsOf-$B929)</f>
        <v/>
      </c>
      <c r="M929" s="29" t="str">
        <f aca="false">IF($K929="Open",IF($C929="Conflict","Critical",IF($L929&gt;=DecisionCritical,"Critical",IF($L929&gt;=DecisionWarn,"Warning","On track"))),IF($K929="Unconfirmed",IF($L929&gt;=UnconfirmedWarn,"Warning","On track"),""))</f>
        <v/>
      </c>
      <c r="N929" s="29" t="str">
        <f aca="false">IF($M929="","",IF($M929="Critical",3000,IF($M929="Warning",2000,1000))+$L929+ROW()/100000)</f>
        <v/>
      </c>
      <c r="O929" s="29" t="str">
        <f aca="false">IF($K929="Open",IF($C929="Conflict","decide "&amp;$A929&amp;": &lt;which version stands&gt;","decide "&amp;$A929&amp;": &lt;outcome&gt;"),IF($K929="Unconfirmed","confirm "&amp;$A929,""))</f>
        <v/>
      </c>
    </row>
    <row r="930" customFormat="false" ht="15" hidden="false" customHeight="false" outlineLevel="0" collapsed="false">
      <c r="A930" s="24"/>
      <c r="B930" s="27"/>
      <c r="C930" s="28"/>
      <c r="D930" s="24"/>
      <c r="E930" s="24"/>
      <c r="F930" s="24"/>
      <c r="G930" s="28"/>
      <c r="H930" s="28"/>
      <c r="I930" s="24"/>
      <c r="J930" s="24"/>
      <c r="K930" s="29" t="str">
        <f aca="false">IF($A930="","",IF(OR($C930="Decision",$C930="Conflict"),IF(COUNTIFS($I$2:$I$1001,$A930,$C$2:$C$1001,"Resolved")=0,"Open","Closed"),IF(AND($H930="Unconfirmed",OR($C930="New",$C930="Know")),IF(COUNTIFS($I$2:$I$1001,$A930,$C$2:$C$1001,"Confirmed")=0,"Unconfirmed","Confirmed"),"Logged")))</f>
        <v/>
      </c>
      <c r="L930" s="29" t="str">
        <f aca="false">IF($A930="","",AsOf-$B930)</f>
        <v/>
      </c>
      <c r="M930" s="29" t="str">
        <f aca="false">IF($K930="Open",IF($C930="Conflict","Critical",IF($L930&gt;=DecisionCritical,"Critical",IF($L930&gt;=DecisionWarn,"Warning","On track"))),IF($K930="Unconfirmed",IF($L930&gt;=UnconfirmedWarn,"Warning","On track"),""))</f>
        <v/>
      </c>
      <c r="N930" s="29" t="str">
        <f aca="false">IF($M930="","",IF($M930="Critical",3000,IF($M930="Warning",2000,1000))+$L930+ROW()/100000)</f>
        <v/>
      </c>
      <c r="O930" s="29" t="str">
        <f aca="false">IF($K930="Open",IF($C930="Conflict","decide "&amp;$A930&amp;": &lt;which version stands&gt;","decide "&amp;$A930&amp;": &lt;outcome&gt;"),IF($K930="Unconfirmed","confirm "&amp;$A930,""))</f>
        <v/>
      </c>
    </row>
    <row r="931" customFormat="false" ht="15" hidden="false" customHeight="false" outlineLevel="0" collapsed="false">
      <c r="A931" s="24"/>
      <c r="B931" s="27"/>
      <c r="C931" s="28"/>
      <c r="D931" s="24"/>
      <c r="E931" s="24"/>
      <c r="F931" s="24"/>
      <c r="G931" s="28"/>
      <c r="H931" s="28"/>
      <c r="I931" s="24"/>
      <c r="J931" s="24"/>
      <c r="K931" s="29" t="str">
        <f aca="false">IF($A931="","",IF(OR($C931="Decision",$C931="Conflict"),IF(COUNTIFS($I$2:$I$1001,$A931,$C$2:$C$1001,"Resolved")=0,"Open","Closed"),IF(AND($H931="Unconfirmed",OR($C931="New",$C931="Know")),IF(COUNTIFS($I$2:$I$1001,$A931,$C$2:$C$1001,"Confirmed")=0,"Unconfirmed","Confirmed"),"Logged")))</f>
        <v/>
      </c>
      <c r="L931" s="29" t="str">
        <f aca="false">IF($A931="","",AsOf-$B931)</f>
        <v/>
      </c>
      <c r="M931" s="29" t="str">
        <f aca="false">IF($K931="Open",IF($C931="Conflict","Critical",IF($L931&gt;=DecisionCritical,"Critical",IF($L931&gt;=DecisionWarn,"Warning","On track"))),IF($K931="Unconfirmed",IF($L931&gt;=UnconfirmedWarn,"Warning","On track"),""))</f>
        <v/>
      </c>
      <c r="N931" s="29" t="str">
        <f aca="false">IF($M931="","",IF($M931="Critical",3000,IF($M931="Warning",2000,1000))+$L931+ROW()/100000)</f>
        <v/>
      </c>
      <c r="O931" s="29" t="str">
        <f aca="false">IF($K931="Open",IF($C931="Conflict","decide "&amp;$A931&amp;": &lt;which version stands&gt;","decide "&amp;$A931&amp;": &lt;outcome&gt;"),IF($K931="Unconfirmed","confirm "&amp;$A931,""))</f>
        <v/>
      </c>
    </row>
    <row r="932" customFormat="false" ht="15" hidden="false" customHeight="false" outlineLevel="0" collapsed="false">
      <c r="A932" s="24"/>
      <c r="B932" s="27"/>
      <c r="C932" s="28"/>
      <c r="D932" s="24"/>
      <c r="E932" s="24"/>
      <c r="F932" s="24"/>
      <c r="G932" s="28"/>
      <c r="H932" s="28"/>
      <c r="I932" s="24"/>
      <c r="J932" s="24"/>
      <c r="K932" s="29" t="str">
        <f aca="false">IF($A932="","",IF(OR($C932="Decision",$C932="Conflict"),IF(COUNTIFS($I$2:$I$1001,$A932,$C$2:$C$1001,"Resolved")=0,"Open","Closed"),IF(AND($H932="Unconfirmed",OR($C932="New",$C932="Know")),IF(COUNTIFS($I$2:$I$1001,$A932,$C$2:$C$1001,"Confirmed")=0,"Unconfirmed","Confirmed"),"Logged")))</f>
        <v/>
      </c>
      <c r="L932" s="29" t="str">
        <f aca="false">IF($A932="","",AsOf-$B932)</f>
        <v/>
      </c>
      <c r="M932" s="29" t="str">
        <f aca="false">IF($K932="Open",IF($C932="Conflict","Critical",IF($L932&gt;=DecisionCritical,"Critical",IF($L932&gt;=DecisionWarn,"Warning","On track"))),IF($K932="Unconfirmed",IF($L932&gt;=UnconfirmedWarn,"Warning","On track"),""))</f>
        <v/>
      </c>
      <c r="N932" s="29" t="str">
        <f aca="false">IF($M932="","",IF($M932="Critical",3000,IF($M932="Warning",2000,1000))+$L932+ROW()/100000)</f>
        <v/>
      </c>
      <c r="O932" s="29" t="str">
        <f aca="false">IF($K932="Open",IF($C932="Conflict","decide "&amp;$A932&amp;": &lt;which version stands&gt;","decide "&amp;$A932&amp;": &lt;outcome&gt;"),IF($K932="Unconfirmed","confirm "&amp;$A932,""))</f>
        <v/>
      </c>
    </row>
    <row r="933" customFormat="false" ht="15" hidden="false" customHeight="false" outlineLevel="0" collapsed="false">
      <c r="A933" s="24"/>
      <c r="B933" s="27"/>
      <c r="C933" s="28"/>
      <c r="D933" s="24"/>
      <c r="E933" s="24"/>
      <c r="F933" s="24"/>
      <c r="G933" s="28"/>
      <c r="H933" s="28"/>
      <c r="I933" s="24"/>
      <c r="J933" s="24"/>
      <c r="K933" s="29" t="str">
        <f aca="false">IF($A933="","",IF(OR($C933="Decision",$C933="Conflict"),IF(COUNTIFS($I$2:$I$1001,$A933,$C$2:$C$1001,"Resolved")=0,"Open","Closed"),IF(AND($H933="Unconfirmed",OR($C933="New",$C933="Know")),IF(COUNTIFS($I$2:$I$1001,$A933,$C$2:$C$1001,"Confirmed")=0,"Unconfirmed","Confirmed"),"Logged")))</f>
        <v/>
      </c>
      <c r="L933" s="29" t="str">
        <f aca="false">IF($A933="","",AsOf-$B933)</f>
        <v/>
      </c>
      <c r="M933" s="29" t="str">
        <f aca="false">IF($K933="Open",IF($C933="Conflict","Critical",IF($L933&gt;=DecisionCritical,"Critical",IF($L933&gt;=DecisionWarn,"Warning","On track"))),IF($K933="Unconfirmed",IF($L933&gt;=UnconfirmedWarn,"Warning","On track"),""))</f>
        <v/>
      </c>
      <c r="N933" s="29" t="str">
        <f aca="false">IF($M933="","",IF($M933="Critical",3000,IF($M933="Warning",2000,1000))+$L933+ROW()/100000)</f>
        <v/>
      </c>
      <c r="O933" s="29" t="str">
        <f aca="false">IF($K933="Open",IF($C933="Conflict","decide "&amp;$A933&amp;": &lt;which version stands&gt;","decide "&amp;$A933&amp;": &lt;outcome&gt;"),IF($K933="Unconfirmed","confirm "&amp;$A933,""))</f>
        <v/>
      </c>
    </row>
    <row r="934" customFormat="false" ht="15" hidden="false" customHeight="false" outlineLevel="0" collapsed="false">
      <c r="A934" s="24"/>
      <c r="B934" s="27"/>
      <c r="C934" s="28"/>
      <c r="D934" s="24"/>
      <c r="E934" s="24"/>
      <c r="F934" s="24"/>
      <c r="G934" s="28"/>
      <c r="H934" s="28"/>
      <c r="I934" s="24"/>
      <c r="J934" s="24"/>
      <c r="K934" s="29" t="str">
        <f aca="false">IF($A934="","",IF(OR($C934="Decision",$C934="Conflict"),IF(COUNTIFS($I$2:$I$1001,$A934,$C$2:$C$1001,"Resolved")=0,"Open","Closed"),IF(AND($H934="Unconfirmed",OR($C934="New",$C934="Know")),IF(COUNTIFS($I$2:$I$1001,$A934,$C$2:$C$1001,"Confirmed")=0,"Unconfirmed","Confirmed"),"Logged")))</f>
        <v/>
      </c>
      <c r="L934" s="29" t="str">
        <f aca="false">IF($A934="","",AsOf-$B934)</f>
        <v/>
      </c>
      <c r="M934" s="29" t="str">
        <f aca="false">IF($K934="Open",IF($C934="Conflict","Critical",IF($L934&gt;=DecisionCritical,"Critical",IF($L934&gt;=DecisionWarn,"Warning","On track"))),IF($K934="Unconfirmed",IF($L934&gt;=UnconfirmedWarn,"Warning","On track"),""))</f>
        <v/>
      </c>
      <c r="N934" s="29" t="str">
        <f aca="false">IF($M934="","",IF($M934="Critical",3000,IF($M934="Warning",2000,1000))+$L934+ROW()/100000)</f>
        <v/>
      </c>
      <c r="O934" s="29" t="str">
        <f aca="false">IF($K934="Open",IF($C934="Conflict","decide "&amp;$A934&amp;": &lt;which version stands&gt;","decide "&amp;$A934&amp;": &lt;outcome&gt;"),IF($K934="Unconfirmed","confirm "&amp;$A934,""))</f>
        <v/>
      </c>
    </row>
    <row r="935" customFormat="false" ht="15" hidden="false" customHeight="false" outlineLevel="0" collapsed="false">
      <c r="A935" s="24"/>
      <c r="B935" s="27"/>
      <c r="C935" s="28"/>
      <c r="D935" s="24"/>
      <c r="E935" s="24"/>
      <c r="F935" s="24"/>
      <c r="G935" s="28"/>
      <c r="H935" s="28"/>
      <c r="I935" s="24"/>
      <c r="J935" s="24"/>
      <c r="K935" s="29" t="str">
        <f aca="false">IF($A935="","",IF(OR($C935="Decision",$C935="Conflict"),IF(COUNTIFS($I$2:$I$1001,$A935,$C$2:$C$1001,"Resolved")=0,"Open","Closed"),IF(AND($H935="Unconfirmed",OR($C935="New",$C935="Know")),IF(COUNTIFS($I$2:$I$1001,$A935,$C$2:$C$1001,"Confirmed")=0,"Unconfirmed","Confirmed"),"Logged")))</f>
        <v/>
      </c>
      <c r="L935" s="29" t="str">
        <f aca="false">IF($A935="","",AsOf-$B935)</f>
        <v/>
      </c>
      <c r="M935" s="29" t="str">
        <f aca="false">IF($K935="Open",IF($C935="Conflict","Critical",IF($L935&gt;=DecisionCritical,"Critical",IF($L935&gt;=DecisionWarn,"Warning","On track"))),IF($K935="Unconfirmed",IF($L935&gt;=UnconfirmedWarn,"Warning","On track"),""))</f>
        <v/>
      </c>
      <c r="N935" s="29" t="str">
        <f aca="false">IF($M935="","",IF($M935="Critical",3000,IF($M935="Warning",2000,1000))+$L935+ROW()/100000)</f>
        <v/>
      </c>
      <c r="O935" s="29" t="str">
        <f aca="false">IF($K935="Open",IF($C935="Conflict","decide "&amp;$A935&amp;": &lt;which version stands&gt;","decide "&amp;$A935&amp;": &lt;outcome&gt;"),IF($K935="Unconfirmed","confirm "&amp;$A935,""))</f>
        <v/>
      </c>
    </row>
    <row r="936" customFormat="false" ht="15" hidden="false" customHeight="false" outlineLevel="0" collapsed="false">
      <c r="A936" s="24"/>
      <c r="B936" s="27"/>
      <c r="C936" s="28"/>
      <c r="D936" s="24"/>
      <c r="E936" s="24"/>
      <c r="F936" s="24"/>
      <c r="G936" s="28"/>
      <c r="H936" s="28"/>
      <c r="I936" s="24"/>
      <c r="J936" s="24"/>
      <c r="K936" s="29" t="str">
        <f aca="false">IF($A936="","",IF(OR($C936="Decision",$C936="Conflict"),IF(COUNTIFS($I$2:$I$1001,$A936,$C$2:$C$1001,"Resolved")=0,"Open","Closed"),IF(AND($H936="Unconfirmed",OR($C936="New",$C936="Know")),IF(COUNTIFS($I$2:$I$1001,$A936,$C$2:$C$1001,"Confirmed")=0,"Unconfirmed","Confirmed"),"Logged")))</f>
        <v/>
      </c>
      <c r="L936" s="29" t="str">
        <f aca="false">IF($A936="","",AsOf-$B936)</f>
        <v/>
      </c>
      <c r="M936" s="29" t="str">
        <f aca="false">IF($K936="Open",IF($C936="Conflict","Critical",IF($L936&gt;=DecisionCritical,"Critical",IF($L936&gt;=DecisionWarn,"Warning","On track"))),IF($K936="Unconfirmed",IF($L936&gt;=UnconfirmedWarn,"Warning","On track"),""))</f>
        <v/>
      </c>
      <c r="N936" s="29" t="str">
        <f aca="false">IF($M936="","",IF($M936="Critical",3000,IF($M936="Warning",2000,1000))+$L936+ROW()/100000)</f>
        <v/>
      </c>
      <c r="O936" s="29" t="str">
        <f aca="false">IF($K936="Open",IF($C936="Conflict","decide "&amp;$A936&amp;": &lt;which version stands&gt;","decide "&amp;$A936&amp;": &lt;outcome&gt;"),IF($K936="Unconfirmed","confirm "&amp;$A936,""))</f>
        <v/>
      </c>
    </row>
    <row r="937" customFormat="false" ht="15" hidden="false" customHeight="false" outlineLevel="0" collapsed="false">
      <c r="A937" s="24"/>
      <c r="B937" s="27"/>
      <c r="C937" s="28"/>
      <c r="D937" s="24"/>
      <c r="E937" s="24"/>
      <c r="F937" s="24"/>
      <c r="G937" s="28"/>
      <c r="H937" s="28"/>
      <c r="I937" s="24"/>
      <c r="J937" s="24"/>
      <c r="K937" s="29" t="str">
        <f aca="false">IF($A937="","",IF(OR($C937="Decision",$C937="Conflict"),IF(COUNTIFS($I$2:$I$1001,$A937,$C$2:$C$1001,"Resolved")=0,"Open","Closed"),IF(AND($H937="Unconfirmed",OR($C937="New",$C937="Know")),IF(COUNTIFS($I$2:$I$1001,$A937,$C$2:$C$1001,"Confirmed")=0,"Unconfirmed","Confirmed"),"Logged")))</f>
        <v/>
      </c>
      <c r="L937" s="29" t="str">
        <f aca="false">IF($A937="","",AsOf-$B937)</f>
        <v/>
      </c>
      <c r="M937" s="29" t="str">
        <f aca="false">IF($K937="Open",IF($C937="Conflict","Critical",IF($L937&gt;=DecisionCritical,"Critical",IF($L937&gt;=DecisionWarn,"Warning","On track"))),IF($K937="Unconfirmed",IF($L937&gt;=UnconfirmedWarn,"Warning","On track"),""))</f>
        <v/>
      </c>
      <c r="N937" s="29" t="str">
        <f aca="false">IF($M937="","",IF($M937="Critical",3000,IF($M937="Warning",2000,1000))+$L937+ROW()/100000)</f>
        <v/>
      </c>
      <c r="O937" s="29" t="str">
        <f aca="false">IF($K937="Open",IF($C937="Conflict","decide "&amp;$A937&amp;": &lt;which version stands&gt;","decide "&amp;$A937&amp;": &lt;outcome&gt;"),IF($K937="Unconfirmed","confirm "&amp;$A937,""))</f>
        <v/>
      </c>
    </row>
    <row r="938" customFormat="false" ht="15" hidden="false" customHeight="false" outlineLevel="0" collapsed="false">
      <c r="A938" s="24"/>
      <c r="B938" s="27"/>
      <c r="C938" s="28"/>
      <c r="D938" s="24"/>
      <c r="E938" s="24"/>
      <c r="F938" s="24"/>
      <c r="G938" s="28"/>
      <c r="H938" s="28"/>
      <c r="I938" s="24"/>
      <c r="J938" s="24"/>
      <c r="K938" s="29" t="str">
        <f aca="false">IF($A938="","",IF(OR($C938="Decision",$C938="Conflict"),IF(COUNTIFS($I$2:$I$1001,$A938,$C$2:$C$1001,"Resolved")=0,"Open","Closed"),IF(AND($H938="Unconfirmed",OR($C938="New",$C938="Know")),IF(COUNTIFS($I$2:$I$1001,$A938,$C$2:$C$1001,"Confirmed")=0,"Unconfirmed","Confirmed"),"Logged")))</f>
        <v/>
      </c>
      <c r="L938" s="29" t="str">
        <f aca="false">IF($A938="","",AsOf-$B938)</f>
        <v/>
      </c>
      <c r="M938" s="29" t="str">
        <f aca="false">IF($K938="Open",IF($C938="Conflict","Critical",IF($L938&gt;=DecisionCritical,"Critical",IF($L938&gt;=DecisionWarn,"Warning","On track"))),IF($K938="Unconfirmed",IF($L938&gt;=UnconfirmedWarn,"Warning","On track"),""))</f>
        <v/>
      </c>
      <c r="N938" s="29" t="str">
        <f aca="false">IF($M938="","",IF($M938="Critical",3000,IF($M938="Warning",2000,1000))+$L938+ROW()/100000)</f>
        <v/>
      </c>
      <c r="O938" s="29" t="str">
        <f aca="false">IF($K938="Open",IF($C938="Conflict","decide "&amp;$A938&amp;": &lt;which version stands&gt;","decide "&amp;$A938&amp;": &lt;outcome&gt;"),IF($K938="Unconfirmed","confirm "&amp;$A938,""))</f>
        <v/>
      </c>
    </row>
    <row r="939" customFormat="false" ht="15" hidden="false" customHeight="false" outlineLevel="0" collapsed="false">
      <c r="A939" s="24"/>
      <c r="B939" s="27"/>
      <c r="C939" s="28"/>
      <c r="D939" s="24"/>
      <c r="E939" s="24"/>
      <c r="F939" s="24"/>
      <c r="G939" s="28"/>
      <c r="H939" s="28"/>
      <c r="I939" s="24"/>
      <c r="J939" s="24"/>
      <c r="K939" s="29" t="str">
        <f aca="false">IF($A939="","",IF(OR($C939="Decision",$C939="Conflict"),IF(COUNTIFS($I$2:$I$1001,$A939,$C$2:$C$1001,"Resolved")=0,"Open","Closed"),IF(AND($H939="Unconfirmed",OR($C939="New",$C939="Know")),IF(COUNTIFS($I$2:$I$1001,$A939,$C$2:$C$1001,"Confirmed")=0,"Unconfirmed","Confirmed"),"Logged")))</f>
        <v/>
      </c>
      <c r="L939" s="29" t="str">
        <f aca="false">IF($A939="","",AsOf-$B939)</f>
        <v/>
      </c>
      <c r="M939" s="29" t="str">
        <f aca="false">IF($K939="Open",IF($C939="Conflict","Critical",IF($L939&gt;=DecisionCritical,"Critical",IF($L939&gt;=DecisionWarn,"Warning","On track"))),IF($K939="Unconfirmed",IF($L939&gt;=UnconfirmedWarn,"Warning","On track"),""))</f>
        <v/>
      </c>
      <c r="N939" s="29" t="str">
        <f aca="false">IF($M939="","",IF($M939="Critical",3000,IF($M939="Warning",2000,1000))+$L939+ROW()/100000)</f>
        <v/>
      </c>
      <c r="O939" s="29" t="str">
        <f aca="false">IF($K939="Open",IF($C939="Conflict","decide "&amp;$A939&amp;": &lt;which version stands&gt;","decide "&amp;$A939&amp;": &lt;outcome&gt;"),IF($K939="Unconfirmed","confirm "&amp;$A939,""))</f>
        <v/>
      </c>
    </row>
    <row r="940" customFormat="false" ht="15" hidden="false" customHeight="false" outlineLevel="0" collapsed="false">
      <c r="A940" s="24"/>
      <c r="B940" s="27"/>
      <c r="C940" s="28"/>
      <c r="D940" s="24"/>
      <c r="E940" s="24"/>
      <c r="F940" s="24"/>
      <c r="G940" s="28"/>
      <c r="H940" s="28"/>
      <c r="I940" s="24"/>
      <c r="J940" s="24"/>
      <c r="K940" s="29" t="str">
        <f aca="false">IF($A940="","",IF(OR($C940="Decision",$C940="Conflict"),IF(COUNTIFS($I$2:$I$1001,$A940,$C$2:$C$1001,"Resolved")=0,"Open","Closed"),IF(AND($H940="Unconfirmed",OR($C940="New",$C940="Know")),IF(COUNTIFS($I$2:$I$1001,$A940,$C$2:$C$1001,"Confirmed")=0,"Unconfirmed","Confirmed"),"Logged")))</f>
        <v/>
      </c>
      <c r="L940" s="29" t="str">
        <f aca="false">IF($A940="","",AsOf-$B940)</f>
        <v/>
      </c>
      <c r="M940" s="29" t="str">
        <f aca="false">IF($K940="Open",IF($C940="Conflict","Critical",IF($L940&gt;=DecisionCritical,"Critical",IF($L940&gt;=DecisionWarn,"Warning","On track"))),IF($K940="Unconfirmed",IF($L940&gt;=UnconfirmedWarn,"Warning","On track"),""))</f>
        <v/>
      </c>
      <c r="N940" s="29" t="str">
        <f aca="false">IF($M940="","",IF($M940="Critical",3000,IF($M940="Warning",2000,1000))+$L940+ROW()/100000)</f>
        <v/>
      </c>
      <c r="O940" s="29" t="str">
        <f aca="false">IF($K940="Open",IF($C940="Conflict","decide "&amp;$A940&amp;": &lt;which version stands&gt;","decide "&amp;$A940&amp;": &lt;outcome&gt;"),IF($K940="Unconfirmed","confirm "&amp;$A940,""))</f>
        <v/>
      </c>
    </row>
    <row r="941" customFormat="false" ht="15" hidden="false" customHeight="false" outlineLevel="0" collapsed="false">
      <c r="A941" s="24"/>
      <c r="B941" s="27"/>
      <c r="C941" s="28"/>
      <c r="D941" s="24"/>
      <c r="E941" s="24"/>
      <c r="F941" s="24"/>
      <c r="G941" s="28"/>
      <c r="H941" s="28"/>
      <c r="I941" s="24"/>
      <c r="J941" s="24"/>
      <c r="K941" s="29" t="str">
        <f aca="false">IF($A941="","",IF(OR($C941="Decision",$C941="Conflict"),IF(COUNTIFS($I$2:$I$1001,$A941,$C$2:$C$1001,"Resolved")=0,"Open","Closed"),IF(AND($H941="Unconfirmed",OR($C941="New",$C941="Know")),IF(COUNTIFS($I$2:$I$1001,$A941,$C$2:$C$1001,"Confirmed")=0,"Unconfirmed","Confirmed"),"Logged")))</f>
        <v/>
      </c>
      <c r="L941" s="29" t="str">
        <f aca="false">IF($A941="","",AsOf-$B941)</f>
        <v/>
      </c>
      <c r="M941" s="29" t="str">
        <f aca="false">IF($K941="Open",IF($C941="Conflict","Critical",IF($L941&gt;=DecisionCritical,"Critical",IF($L941&gt;=DecisionWarn,"Warning","On track"))),IF($K941="Unconfirmed",IF($L941&gt;=UnconfirmedWarn,"Warning","On track"),""))</f>
        <v/>
      </c>
      <c r="N941" s="29" t="str">
        <f aca="false">IF($M941="","",IF($M941="Critical",3000,IF($M941="Warning",2000,1000))+$L941+ROW()/100000)</f>
        <v/>
      </c>
      <c r="O941" s="29" t="str">
        <f aca="false">IF($K941="Open",IF($C941="Conflict","decide "&amp;$A941&amp;": &lt;which version stands&gt;","decide "&amp;$A941&amp;": &lt;outcome&gt;"),IF($K941="Unconfirmed","confirm "&amp;$A941,""))</f>
        <v/>
      </c>
    </row>
    <row r="942" customFormat="false" ht="15" hidden="false" customHeight="false" outlineLevel="0" collapsed="false">
      <c r="A942" s="24"/>
      <c r="B942" s="27"/>
      <c r="C942" s="28"/>
      <c r="D942" s="24"/>
      <c r="E942" s="24"/>
      <c r="F942" s="24"/>
      <c r="G942" s="28"/>
      <c r="H942" s="28"/>
      <c r="I942" s="24"/>
      <c r="J942" s="24"/>
      <c r="K942" s="29" t="str">
        <f aca="false">IF($A942="","",IF(OR($C942="Decision",$C942="Conflict"),IF(COUNTIFS($I$2:$I$1001,$A942,$C$2:$C$1001,"Resolved")=0,"Open","Closed"),IF(AND($H942="Unconfirmed",OR($C942="New",$C942="Know")),IF(COUNTIFS($I$2:$I$1001,$A942,$C$2:$C$1001,"Confirmed")=0,"Unconfirmed","Confirmed"),"Logged")))</f>
        <v/>
      </c>
      <c r="L942" s="29" t="str">
        <f aca="false">IF($A942="","",AsOf-$B942)</f>
        <v/>
      </c>
      <c r="M942" s="29" t="str">
        <f aca="false">IF($K942="Open",IF($C942="Conflict","Critical",IF($L942&gt;=DecisionCritical,"Critical",IF($L942&gt;=DecisionWarn,"Warning","On track"))),IF($K942="Unconfirmed",IF($L942&gt;=UnconfirmedWarn,"Warning","On track"),""))</f>
        <v/>
      </c>
      <c r="N942" s="29" t="str">
        <f aca="false">IF($M942="","",IF($M942="Critical",3000,IF($M942="Warning",2000,1000))+$L942+ROW()/100000)</f>
        <v/>
      </c>
      <c r="O942" s="29" t="str">
        <f aca="false">IF($K942="Open",IF($C942="Conflict","decide "&amp;$A942&amp;": &lt;which version stands&gt;","decide "&amp;$A942&amp;": &lt;outcome&gt;"),IF($K942="Unconfirmed","confirm "&amp;$A942,""))</f>
        <v/>
      </c>
    </row>
    <row r="943" customFormat="false" ht="15" hidden="false" customHeight="false" outlineLevel="0" collapsed="false">
      <c r="A943" s="24"/>
      <c r="B943" s="27"/>
      <c r="C943" s="28"/>
      <c r="D943" s="24"/>
      <c r="E943" s="24"/>
      <c r="F943" s="24"/>
      <c r="G943" s="28"/>
      <c r="H943" s="28"/>
      <c r="I943" s="24"/>
      <c r="J943" s="24"/>
      <c r="K943" s="29" t="str">
        <f aca="false">IF($A943="","",IF(OR($C943="Decision",$C943="Conflict"),IF(COUNTIFS($I$2:$I$1001,$A943,$C$2:$C$1001,"Resolved")=0,"Open","Closed"),IF(AND($H943="Unconfirmed",OR($C943="New",$C943="Know")),IF(COUNTIFS($I$2:$I$1001,$A943,$C$2:$C$1001,"Confirmed")=0,"Unconfirmed","Confirmed"),"Logged")))</f>
        <v/>
      </c>
      <c r="L943" s="29" t="str">
        <f aca="false">IF($A943="","",AsOf-$B943)</f>
        <v/>
      </c>
      <c r="M943" s="29" t="str">
        <f aca="false">IF($K943="Open",IF($C943="Conflict","Critical",IF($L943&gt;=DecisionCritical,"Critical",IF($L943&gt;=DecisionWarn,"Warning","On track"))),IF($K943="Unconfirmed",IF($L943&gt;=UnconfirmedWarn,"Warning","On track"),""))</f>
        <v/>
      </c>
      <c r="N943" s="29" t="str">
        <f aca="false">IF($M943="","",IF($M943="Critical",3000,IF($M943="Warning",2000,1000))+$L943+ROW()/100000)</f>
        <v/>
      </c>
      <c r="O943" s="29" t="str">
        <f aca="false">IF($K943="Open",IF($C943="Conflict","decide "&amp;$A943&amp;": &lt;which version stands&gt;","decide "&amp;$A943&amp;": &lt;outcome&gt;"),IF($K943="Unconfirmed","confirm "&amp;$A943,""))</f>
        <v/>
      </c>
    </row>
    <row r="944" customFormat="false" ht="15" hidden="false" customHeight="false" outlineLevel="0" collapsed="false">
      <c r="A944" s="24"/>
      <c r="B944" s="27"/>
      <c r="C944" s="28"/>
      <c r="D944" s="24"/>
      <c r="E944" s="24"/>
      <c r="F944" s="24"/>
      <c r="G944" s="28"/>
      <c r="H944" s="28"/>
      <c r="I944" s="24"/>
      <c r="J944" s="24"/>
      <c r="K944" s="29" t="str">
        <f aca="false">IF($A944="","",IF(OR($C944="Decision",$C944="Conflict"),IF(COUNTIFS($I$2:$I$1001,$A944,$C$2:$C$1001,"Resolved")=0,"Open","Closed"),IF(AND($H944="Unconfirmed",OR($C944="New",$C944="Know")),IF(COUNTIFS($I$2:$I$1001,$A944,$C$2:$C$1001,"Confirmed")=0,"Unconfirmed","Confirmed"),"Logged")))</f>
        <v/>
      </c>
      <c r="L944" s="29" t="str">
        <f aca="false">IF($A944="","",AsOf-$B944)</f>
        <v/>
      </c>
      <c r="M944" s="29" t="str">
        <f aca="false">IF($K944="Open",IF($C944="Conflict","Critical",IF($L944&gt;=DecisionCritical,"Critical",IF($L944&gt;=DecisionWarn,"Warning","On track"))),IF($K944="Unconfirmed",IF($L944&gt;=UnconfirmedWarn,"Warning","On track"),""))</f>
        <v/>
      </c>
      <c r="N944" s="29" t="str">
        <f aca="false">IF($M944="","",IF($M944="Critical",3000,IF($M944="Warning",2000,1000))+$L944+ROW()/100000)</f>
        <v/>
      </c>
      <c r="O944" s="29" t="str">
        <f aca="false">IF($K944="Open",IF($C944="Conflict","decide "&amp;$A944&amp;": &lt;which version stands&gt;","decide "&amp;$A944&amp;": &lt;outcome&gt;"),IF($K944="Unconfirmed","confirm "&amp;$A944,""))</f>
        <v/>
      </c>
    </row>
    <row r="945" customFormat="false" ht="15" hidden="false" customHeight="false" outlineLevel="0" collapsed="false">
      <c r="A945" s="24"/>
      <c r="B945" s="27"/>
      <c r="C945" s="28"/>
      <c r="D945" s="24"/>
      <c r="E945" s="24"/>
      <c r="F945" s="24"/>
      <c r="G945" s="28"/>
      <c r="H945" s="28"/>
      <c r="I945" s="24"/>
      <c r="J945" s="24"/>
      <c r="K945" s="29" t="str">
        <f aca="false">IF($A945="","",IF(OR($C945="Decision",$C945="Conflict"),IF(COUNTIFS($I$2:$I$1001,$A945,$C$2:$C$1001,"Resolved")=0,"Open","Closed"),IF(AND($H945="Unconfirmed",OR($C945="New",$C945="Know")),IF(COUNTIFS($I$2:$I$1001,$A945,$C$2:$C$1001,"Confirmed")=0,"Unconfirmed","Confirmed"),"Logged")))</f>
        <v/>
      </c>
      <c r="L945" s="29" t="str">
        <f aca="false">IF($A945="","",AsOf-$B945)</f>
        <v/>
      </c>
      <c r="M945" s="29" t="str">
        <f aca="false">IF($K945="Open",IF($C945="Conflict","Critical",IF($L945&gt;=DecisionCritical,"Critical",IF($L945&gt;=DecisionWarn,"Warning","On track"))),IF($K945="Unconfirmed",IF($L945&gt;=UnconfirmedWarn,"Warning","On track"),""))</f>
        <v/>
      </c>
      <c r="N945" s="29" t="str">
        <f aca="false">IF($M945="","",IF($M945="Critical",3000,IF($M945="Warning",2000,1000))+$L945+ROW()/100000)</f>
        <v/>
      </c>
      <c r="O945" s="29" t="str">
        <f aca="false">IF($K945="Open",IF($C945="Conflict","decide "&amp;$A945&amp;": &lt;which version stands&gt;","decide "&amp;$A945&amp;": &lt;outcome&gt;"),IF($K945="Unconfirmed","confirm "&amp;$A945,""))</f>
        <v/>
      </c>
    </row>
    <row r="946" customFormat="false" ht="15" hidden="false" customHeight="false" outlineLevel="0" collapsed="false">
      <c r="A946" s="24"/>
      <c r="B946" s="27"/>
      <c r="C946" s="28"/>
      <c r="D946" s="24"/>
      <c r="E946" s="24"/>
      <c r="F946" s="24"/>
      <c r="G946" s="28"/>
      <c r="H946" s="28"/>
      <c r="I946" s="24"/>
      <c r="J946" s="24"/>
      <c r="K946" s="29" t="str">
        <f aca="false">IF($A946="","",IF(OR($C946="Decision",$C946="Conflict"),IF(COUNTIFS($I$2:$I$1001,$A946,$C$2:$C$1001,"Resolved")=0,"Open","Closed"),IF(AND($H946="Unconfirmed",OR($C946="New",$C946="Know")),IF(COUNTIFS($I$2:$I$1001,$A946,$C$2:$C$1001,"Confirmed")=0,"Unconfirmed","Confirmed"),"Logged")))</f>
        <v/>
      </c>
      <c r="L946" s="29" t="str">
        <f aca="false">IF($A946="","",AsOf-$B946)</f>
        <v/>
      </c>
      <c r="M946" s="29" t="str">
        <f aca="false">IF($K946="Open",IF($C946="Conflict","Critical",IF($L946&gt;=DecisionCritical,"Critical",IF($L946&gt;=DecisionWarn,"Warning","On track"))),IF($K946="Unconfirmed",IF($L946&gt;=UnconfirmedWarn,"Warning","On track"),""))</f>
        <v/>
      </c>
      <c r="N946" s="29" t="str">
        <f aca="false">IF($M946="","",IF($M946="Critical",3000,IF($M946="Warning",2000,1000))+$L946+ROW()/100000)</f>
        <v/>
      </c>
      <c r="O946" s="29" t="str">
        <f aca="false">IF($K946="Open",IF($C946="Conflict","decide "&amp;$A946&amp;": &lt;which version stands&gt;","decide "&amp;$A946&amp;": &lt;outcome&gt;"),IF($K946="Unconfirmed","confirm "&amp;$A946,""))</f>
        <v/>
      </c>
    </row>
    <row r="947" customFormat="false" ht="15" hidden="false" customHeight="false" outlineLevel="0" collapsed="false">
      <c r="A947" s="24"/>
      <c r="B947" s="27"/>
      <c r="C947" s="28"/>
      <c r="D947" s="24"/>
      <c r="E947" s="24"/>
      <c r="F947" s="24"/>
      <c r="G947" s="28"/>
      <c r="H947" s="28"/>
      <c r="I947" s="24"/>
      <c r="J947" s="24"/>
      <c r="K947" s="29" t="str">
        <f aca="false">IF($A947="","",IF(OR($C947="Decision",$C947="Conflict"),IF(COUNTIFS($I$2:$I$1001,$A947,$C$2:$C$1001,"Resolved")=0,"Open","Closed"),IF(AND($H947="Unconfirmed",OR($C947="New",$C947="Know")),IF(COUNTIFS($I$2:$I$1001,$A947,$C$2:$C$1001,"Confirmed")=0,"Unconfirmed","Confirmed"),"Logged")))</f>
        <v/>
      </c>
      <c r="L947" s="29" t="str">
        <f aca="false">IF($A947="","",AsOf-$B947)</f>
        <v/>
      </c>
      <c r="M947" s="29" t="str">
        <f aca="false">IF($K947="Open",IF($C947="Conflict","Critical",IF($L947&gt;=DecisionCritical,"Critical",IF($L947&gt;=DecisionWarn,"Warning","On track"))),IF($K947="Unconfirmed",IF($L947&gt;=UnconfirmedWarn,"Warning","On track"),""))</f>
        <v/>
      </c>
      <c r="N947" s="29" t="str">
        <f aca="false">IF($M947="","",IF($M947="Critical",3000,IF($M947="Warning",2000,1000))+$L947+ROW()/100000)</f>
        <v/>
      </c>
      <c r="O947" s="29" t="str">
        <f aca="false">IF($K947="Open",IF($C947="Conflict","decide "&amp;$A947&amp;": &lt;which version stands&gt;","decide "&amp;$A947&amp;": &lt;outcome&gt;"),IF($K947="Unconfirmed","confirm "&amp;$A947,""))</f>
        <v/>
      </c>
    </row>
    <row r="948" customFormat="false" ht="15" hidden="false" customHeight="false" outlineLevel="0" collapsed="false">
      <c r="A948" s="24"/>
      <c r="B948" s="27"/>
      <c r="C948" s="28"/>
      <c r="D948" s="24"/>
      <c r="E948" s="24"/>
      <c r="F948" s="24"/>
      <c r="G948" s="28"/>
      <c r="H948" s="28"/>
      <c r="I948" s="24"/>
      <c r="J948" s="24"/>
      <c r="K948" s="29" t="str">
        <f aca="false">IF($A948="","",IF(OR($C948="Decision",$C948="Conflict"),IF(COUNTIFS($I$2:$I$1001,$A948,$C$2:$C$1001,"Resolved")=0,"Open","Closed"),IF(AND($H948="Unconfirmed",OR($C948="New",$C948="Know")),IF(COUNTIFS($I$2:$I$1001,$A948,$C$2:$C$1001,"Confirmed")=0,"Unconfirmed","Confirmed"),"Logged")))</f>
        <v/>
      </c>
      <c r="L948" s="29" t="str">
        <f aca="false">IF($A948="","",AsOf-$B948)</f>
        <v/>
      </c>
      <c r="M948" s="29" t="str">
        <f aca="false">IF($K948="Open",IF($C948="Conflict","Critical",IF($L948&gt;=DecisionCritical,"Critical",IF($L948&gt;=DecisionWarn,"Warning","On track"))),IF($K948="Unconfirmed",IF($L948&gt;=UnconfirmedWarn,"Warning","On track"),""))</f>
        <v/>
      </c>
      <c r="N948" s="29" t="str">
        <f aca="false">IF($M948="","",IF($M948="Critical",3000,IF($M948="Warning",2000,1000))+$L948+ROW()/100000)</f>
        <v/>
      </c>
      <c r="O948" s="29" t="str">
        <f aca="false">IF($K948="Open",IF($C948="Conflict","decide "&amp;$A948&amp;": &lt;which version stands&gt;","decide "&amp;$A948&amp;": &lt;outcome&gt;"),IF($K948="Unconfirmed","confirm "&amp;$A948,""))</f>
        <v/>
      </c>
    </row>
    <row r="949" customFormat="false" ht="15" hidden="false" customHeight="false" outlineLevel="0" collapsed="false">
      <c r="A949" s="24"/>
      <c r="B949" s="27"/>
      <c r="C949" s="28"/>
      <c r="D949" s="24"/>
      <c r="E949" s="24"/>
      <c r="F949" s="24"/>
      <c r="G949" s="28"/>
      <c r="H949" s="28"/>
      <c r="I949" s="24"/>
      <c r="J949" s="24"/>
      <c r="K949" s="29" t="str">
        <f aca="false">IF($A949="","",IF(OR($C949="Decision",$C949="Conflict"),IF(COUNTIFS($I$2:$I$1001,$A949,$C$2:$C$1001,"Resolved")=0,"Open","Closed"),IF(AND($H949="Unconfirmed",OR($C949="New",$C949="Know")),IF(COUNTIFS($I$2:$I$1001,$A949,$C$2:$C$1001,"Confirmed")=0,"Unconfirmed","Confirmed"),"Logged")))</f>
        <v/>
      </c>
      <c r="L949" s="29" t="str">
        <f aca="false">IF($A949="","",AsOf-$B949)</f>
        <v/>
      </c>
      <c r="M949" s="29" t="str">
        <f aca="false">IF($K949="Open",IF($C949="Conflict","Critical",IF($L949&gt;=DecisionCritical,"Critical",IF($L949&gt;=DecisionWarn,"Warning","On track"))),IF($K949="Unconfirmed",IF($L949&gt;=UnconfirmedWarn,"Warning","On track"),""))</f>
        <v/>
      </c>
      <c r="N949" s="29" t="str">
        <f aca="false">IF($M949="","",IF($M949="Critical",3000,IF($M949="Warning",2000,1000))+$L949+ROW()/100000)</f>
        <v/>
      </c>
      <c r="O949" s="29" t="str">
        <f aca="false">IF($K949="Open",IF($C949="Conflict","decide "&amp;$A949&amp;": &lt;which version stands&gt;","decide "&amp;$A949&amp;": &lt;outcome&gt;"),IF($K949="Unconfirmed","confirm "&amp;$A949,""))</f>
        <v/>
      </c>
    </row>
    <row r="950" customFormat="false" ht="15" hidden="false" customHeight="false" outlineLevel="0" collapsed="false">
      <c r="A950" s="24"/>
      <c r="B950" s="27"/>
      <c r="C950" s="28"/>
      <c r="D950" s="24"/>
      <c r="E950" s="24"/>
      <c r="F950" s="24"/>
      <c r="G950" s="28"/>
      <c r="H950" s="28"/>
      <c r="I950" s="24"/>
      <c r="J950" s="24"/>
      <c r="K950" s="29" t="str">
        <f aca="false">IF($A950="","",IF(OR($C950="Decision",$C950="Conflict"),IF(COUNTIFS($I$2:$I$1001,$A950,$C$2:$C$1001,"Resolved")=0,"Open","Closed"),IF(AND($H950="Unconfirmed",OR($C950="New",$C950="Know")),IF(COUNTIFS($I$2:$I$1001,$A950,$C$2:$C$1001,"Confirmed")=0,"Unconfirmed","Confirmed"),"Logged")))</f>
        <v/>
      </c>
      <c r="L950" s="29" t="str">
        <f aca="false">IF($A950="","",AsOf-$B950)</f>
        <v/>
      </c>
      <c r="M950" s="29" t="str">
        <f aca="false">IF($K950="Open",IF($C950="Conflict","Critical",IF($L950&gt;=DecisionCritical,"Critical",IF($L950&gt;=DecisionWarn,"Warning","On track"))),IF($K950="Unconfirmed",IF($L950&gt;=UnconfirmedWarn,"Warning","On track"),""))</f>
        <v/>
      </c>
      <c r="N950" s="29" t="str">
        <f aca="false">IF($M950="","",IF($M950="Critical",3000,IF($M950="Warning",2000,1000))+$L950+ROW()/100000)</f>
        <v/>
      </c>
      <c r="O950" s="29" t="str">
        <f aca="false">IF($K950="Open",IF($C950="Conflict","decide "&amp;$A950&amp;": &lt;which version stands&gt;","decide "&amp;$A950&amp;": &lt;outcome&gt;"),IF($K950="Unconfirmed","confirm "&amp;$A950,""))</f>
        <v/>
      </c>
    </row>
    <row r="951" customFormat="false" ht="15" hidden="false" customHeight="false" outlineLevel="0" collapsed="false">
      <c r="A951" s="24"/>
      <c r="B951" s="27"/>
      <c r="C951" s="28"/>
      <c r="D951" s="24"/>
      <c r="E951" s="24"/>
      <c r="F951" s="24"/>
      <c r="G951" s="28"/>
      <c r="H951" s="28"/>
      <c r="I951" s="24"/>
      <c r="J951" s="24"/>
      <c r="K951" s="29" t="str">
        <f aca="false">IF($A951="","",IF(OR($C951="Decision",$C951="Conflict"),IF(COUNTIFS($I$2:$I$1001,$A951,$C$2:$C$1001,"Resolved")=0,"Open","Closed"),IF(AND($H951="Unconfirmed",OR($C951="New",$C951="Know")),IF(COUNTIFS($I$2:$I$1001,$A951,$C$2:$C$1001,"Confirmed")=0,"Unconfirmed","Confirmed"),"Logged")))</f>
        <v/>
      </c>
      <c r="L951" s="29" t="str">
        <f aca="false">IF($A951="","",AsOf-$B951)</f>
        <v/>
      </c>
      <c r="M951" s="29" t="str">
        <f aca="false">IF($K951="Open",IF($C951="Conflict","Critical",IF($L951&gt;=DecisionCritical,"Critical",IF($L951&gt;=DecisionWarn,"Warning","On track"))),IF($K951="Unconfirmed",IF($L951&gt;=UnconfirmedWarn,"Warning","On track"),""))</f>
        <v/>
      </c>
      <c r="N951" s="29" t="str">
        <f aca="false">IF($M951="","",IF($M951="Critical",3000,IF($M951="Warning",2000,1000))+$L951+ROW()/100000)</f>
        <v/>
      </c>
      <c r="O951" s="29" t="str">
        <f aca="false">IF($K951="Open",IF($C951="Conflict","decide "&amp;$A951&amp;": &lt;which version stands&gt;","decide "&amp;$A951&amp;": &lt;outcome&gt;"),IF($K951="Unconfirmed","confirm "&amp;$A951,""))</f>
        <v/>
      </c>
    </row>
    <row r="952" customFormat="false" ht="15" hidden="false" customHeight="false" outlineLevel="0" collapsed="false">
      <c r="A952" s="24"/>
      <c r="B952" s="27"/>
      <c r="C952" s="28"/>
      <c r="D952" s="24"/>
      <c r="E952" s="24"/>
      <c r="F952" s="24"/>
      <c r="G952" s="28"/>
      <c r="H952" s="28"/>
      <c r="I952" s="24"/>
      <c r="J952" s="24"/>
      <c r="K952" s="29" t="str">
        <f aca="false">IF($A952="","",IF(OR($C952="Decision",$C952="Conflict"),IF(COUNTIFS($I$2:$I$1001,$A952,$C$2:$C$1001,"Resolved")=0,"Open","Closed"),IF(AND($H952="Unconfirmed",OR($C952="New",$C952="Know")),IF(COUNTIFS($I$2:$I$1001,$A952,$C$2:$C$1001,"Confirmed")=0,"Unconfirmed","Confirmed"),"Logged")))</f>
        <v/>
      </c>
      <c r="L952" s="29" t="str">
        <f aca="false">IF($A952="","",AsOf-$B952)</f>
        <v/>
      </c>
      <c r="M952" s="29" t="str">
        <f aca="false">IF($K952="Open",IF($C952="Conflict","Critical",IF($L952&gt;=DecisionCritical,"Critical",IF($L952&gt;=DecisionWarn,"Warning","On track"))),IF($K952="Unconfirmed",IF($L952&gt;=UnconfirmedWarn,"Warning","On track"),""))</f>
        <v/>
      </c>
      <c r="N952" s="29" t="str">
        <f aca="false">IF($M952="","",IF($M952="Critical",3000,IF($M952="Warning",2000,1000))+$L952+ROW()/100000)</f>
        <v/>
      </c>
      <c r="O952" s="29" t="str">
        <f aca="false">IF($K952="Open",IF($C952="Conflict","decide "&amp;$A952&amp;": &lt;which version stands&gt;","decide "&amp;$A952&amp;": &lt;outcome&gt;"),IF($K952="Unconfirmed","confirm "&amp;$A952,""))</f>
        <v/>
      </c>
    </row>
    <row r="953" customFormat="false" ht="15" hidden="false" customHeight="false" outlineLevel="0" collapsed="false">
      <c r="A953" s="24"/>
      <c r="B953" s="27"/>
      <c r="C953" s="28"/>
      <c r="D953" s="24"/>
      <c r="E953" s="24"/>
      <c r="F953" s="24"/>
      <c r="G953" s="28"/>
      <c r="H953" s="28"/>
      <c r="I953" s="24"/>
      <c r="J953" s="24"/>
      <c r="K953" s="29" t="str">
        <f aca="false">IF($A953="","",IF(OR($C953="Decision",$C953="Conflict"),IF(COUNTIFS($I$2:$I$1001,$A953,$C$2:$C$1001,"Resolved")=0,"Open","Closed"),IF(AND($H953="Unconfirmed",OR($C953="New",$C953="Know")),IF(COUNTIFS($I$2:$I$1001,$A953,$C$2:$C$1001,"Confirmed")=0,"Unconfirmed","Confirmed"),"Logged")))</f>
        <v/>
      </c>
      <c r="L953" s="29" t="str">
        <f aca="false">IF($A953="","",AsOf-$B953)</f>
        <v/>
      </c>
      <c r="M953" s="29" t="str">
        <f aca="false">IF($K953="Open",IF($C953="Conflict","Critical",IF($L953&gt;=DecisionCritical,"Critical",IF($L953&gt;=DecisionWarn,"Warning","On track"))),IF($K953="Unconfirmed",IF($L953&gt;=UnconfirmedWarn,"Warning","On track"),""))</f>
        <v/>
      </c>
      <c r="N953" s="29" t="str">
        <f aca="false">IF($M953="","",IF($M953="Critical",3000,IF($M953="Warning",2000,1000))+$L953+ROW()/100000)</f>
        <v/>
      </c>
      <c r="O953" s="29" t="str">
        <f aca="false">IF($K953="Open",IF($C953="Conflict","decide "&amp;$A953&amp;": &lt;which version stands&gt;","decide "&amp;$A953&amp;": &lt;outcome&gt;"),IF($K953="Unconfirmed","confirm "&amp;$A953,""))</f>
        <v/>
      </c>
    </row>
    <row r="954" customFormat="false" ht="15" hidden="false" customHeight="false" outlineLevel="0" collapsed="false">
      <c r="A954" s="24"/>
      <c r="B954" s="27"/>
      <c r="C954" s="28"/>
      <c r="D954" s="24"/>
      <c r="E954" s="24"/>
      <c r="F954" s="24"/>
      <c r="G954" s="28"/>
      <c r="H954" s="28"/>
      <c r="I954" s="24"/>
      <c r="J954" s="24"/>
      <c r="K954" s="29" t="str">
        <f aca="false">IF($A954="","",IF(OR($C954="Decision",$C954="Conflict"),IF(COUNTIFS($I$2:$I$1001,$A954,$C$2:$C$1001,"Resolved")=0,"Open","Closed"),IF(AND($H954="Unconfirmed",OR($C954="New",$C954="Know")),IF(COUNTIFS($I$2:$I$1001,$A954,$C$2:$C$1001,"Confirmed")=0,"Unconfirmed","Confirmed"),"Logged")))</f>
        <v/>
      </c>
      <c r="L954" s="29" t="str">
        <f aca="false">IF($A954="","",AsOf-$B954)</f>
        <v/>
      </c>
      <c r="M954" s="29" t="str">
        <f aca="false">IF($K954="Open",IF($C954="Conflict","Critical",IF($L954&gt;=DecisionCritical,"Critical",IF($L954&gt;=DecisionWarn,"Warning","On track"))),IF($K954="Unconfirmed",IF($L954&gt;=UnconfirmedWarn,"Warning","On track"),""))</f>
        <v/>
      </c>
      <c r="N954" s="29" t="str">
        <f aca="false">IF($M954="","",IF($M954="Critical",3000,IF($M954="Warning",2000,1000))+$L954+ROW()/100000)</f>
        <v/>
      </c>
      <c r="O954" s="29" t="str">
        <f aca="false">IF($K954="Open",IF($C954="Conflict","decide "&amp;$A954&amp;": &lt;which version stands&gt;","decide "&amp;$A954&amp;": &lt;outcome&gt;"),IF($K954="Unconfirmed","confirm "&amp;$A954,""))</f>
        <v/>
      </c>
    </row>
    <row r="955" customFormat="false" ht="15" hidden="false" customHeight="false" outlineLevel="0" collapsed="false">
      <c r="A955" s="24"/>
      <c r="B955" s="27"/>
      <c r="C955" s="28"/>
      <c r="D955" s="24"/>
      <c r="E955" s="24"/>
      <c r="F955" s="24"/>
      <c r="G955" s="28"/>
      <c r="H955" s="28"/>
      <c r="I955" s="24"/>
      <c r="J955" s="24"/>
      <c r="K955" s="29" t="str">
        <f aca="false">IF($A955="","",IF(OR($C955="Decision",$C955="Conflict"),IF(COUNTIFS($I$2:$I$1001,$A955,$C$2:$C$1001,"Resolved")=0,"Open","Closed"),IF(AND($H955="Unconfirmed",OR($C955="New",$C955="Know")),IF(COUNTIFS($I$2:$I$1001,$A955,$C$2:$C$1001,"Confirmed")=0,"Unconfirmed","Confirmed"),"Logged")))</f>
        <v/>
      </c>
      <c r="L955" s="29" t="str">
        <f aca="false">IF($A955="","",AsOf-$B955)</f>
        <v/>
      </c>
      <c r="M955" s="29" t="str">
        <f aca="false">IF($K955="Open",IF($C955="Conflict","Critical",IF($L955&gt;=DecisionCritical,"Critical",IF($L955&gt;=DecisionWarn,"Warning","On track"))),IF($K955="Unconfirmed",IF($L955&gt;=UnconfirmedWarn,"Warning","On track"),""))</f>
        <v/>
      </c>
      <c r="N955" s="29" t="str">
        <f aca="false">IF($M955="","",IF($M955="Critical",3000,IF($M955="Warning",2000,1000))+$L955+ROW()/100000)</f>
        <v/>
      </c>
      <c r="O955" s="29" t="str">
        <f aca="false">IF($K955="Open",IF($C955="Conflict","decide "&amp;$A955&amp;": &lt;which version stands&gt;","decide "&amp;$A955&amp;": &lt;outcome&gt;"),IF($K955="Unconfirmed","confirm "&amp;$A955,""))</f>
        <v/>
      </c>
    </row>
    <row r="956" customFormat="false" ht="15" hidden="false" customHeight="false" outlineLevel="0" collapsed="false">
      <c r="A956" s="24"/>
      <c r="B956" s="27"/>
      <c r="C956" s="28"/>
      <c r="D956" s="24"/>
      <c r="E956" s="24"/>
      <c r="F956" s="24"/>
      <c r="G956" s="28"/>
      <c r="H956" s="28"/>
      <c r="I956" s="24"/>
      <c r="J956" s="24"/>
      <c r="K956" s="29" t="str">
        <f aca="false">IF($A956="","",IF(OR($C956="Decision",$C956="Conflict"),IF(COUNTIFS($I$2:$I$1001,$A956,$C$2:$C$1001,"Resolved")=0,"Open","Closed"),IF(AND($H956="Unconfirmed",OR($C956="New",$C956="Know")),IF(COUNTIFS($I$2:$I$1001,$A956,$C$2:$C$1001,"Confirmed")=0,"Unconfirmed","Confirmed"),"Logged")))</f>
        <v/>
      </c>
      <c r="L956" s="29" t="str">
        <f aca="false">IF($A956="","",AsOf-$B956)</f>
        <v/>
      </c>
      <c r="M956" s="29" t="str">
        <f aca="false">IF($K956="Open",IF($C956="Conflict","Critical",IF($L956&gt;=DecisionCritical,"Critical",IF($L956&gt;=DecisionWarn,"Warning","On track"))),IF($K956="Unconfirmed",IF($L956&gt;=UnconfirmedWarn,"Warning","On track"),""))</f>
        <v/>
      </c>
      <c r="N956" s="29" t="str">
        <f aca="false">IF($M956="","",IF($M956="Critical",3000,IF($M956="Warning",2000,1000))+$L956+ROW()/100000)</f>
        <v/>
      </c>
      <c r="O956" s="29" t="str">
        <f aca="false">IF($K956="Open",IF($C956="Conflict","decide "&amp;$A956&amp;": &lt;which version stands&gt;","decide "&amp;$A956&amp;": &lt;outcome&gt;"),IF($K956="Unconfirmed","confirm "&amp;$A956,""))</f>
        <v/>
      </c>
    </row>
    <row r="957" customFormat="false" ht="15" hidden="false" customHeight="false" outlineLevel="0" collapsed="false">
      <c r="A957" s="24"/>
      <c r="B957" s="27"/>
      <c r="C957" s="28"/>
      <c r="D957" s="24"/>
      <c r="E957" s="24"/>
      <c r="F957" s="24"/>
      <c r="G957" s="28"/>
      <c r="H957" s="28"/>
      <c r="I957" s="24"/>
      <c r="J957" s="24"/>
      <c r="K957" s="29" t="str">
        <f aca="false">IF($A957="","",IF(OR($C957="Decision",$C957="Conflict"),IF(COUNTIFS($I$2:$I$1001,$A957,$C$2:$C$1001,"Resolved")=0,"Open","Closed"),IF(AND($H957="Unconfirmed",OR($C957="New",$C957="Know")),IF(COUNTIFS($I$2:$I$1001,$A957,$C$2:$C$1001,"Confirmed")=0,"Unconfirmed","Confirmed"),"Logged")))</f>
        <v/>
      </c>
      <c r="L957" s="29" t="str">
        <f aca="false">IF($A957="","",AsOf-$B957)</f>
        <v/>
      </c>
      <c r="M957" s="29" t="str">
        <f aca="false">IF($K957="Open",IF($C957="Conflict","Critical",IF($L957&gt;=DecisionCritical,"Critical",IF($L957&gt;=DecisionWarn,"Warning","On track"))),IF($K957="Unconfirmed",IF($L957&gt;=UnconfirmedWarn,"Warning","On track"),""))</f>
        <v/>
      </c>
      <c r="N957" s="29" t="str">
        <f aca="false">IF($M957="","",IF($M957="Critical",3000,IF($M957="Warning",2000,1000))+$L957+ROW()/100000)</f>
        <v/>
      </c>
      <c r="O957" s="29" t="str">
        <f aca="false">IF($K957="Open",IF($C957="Conflict","decide "&amp;$A957&amp;": &lt;which version stands&gt;","decide "&amp;$A957&amp;": &lt;outcome&gt;"),IF($K957="Unconfirmed","confirm "&amp;$A957,""))</f>
        <v/>
      </c>
    </row>
    <row r="958" customFormat="false" ht="15" hidden="false" customHeight="false" outlineLevel="0" collapsed="false">
      <c r="A958" s="24"/>
      <c r="B958" s="27"/>
      <c r="C958" s="28"/>
      <c r="D958" s="24"/>
      <c r="E958" s="24"/>
      <c r="F958" s="24"/>
      <c r="G958" s="28"/>
      <c r="H958" s="28"/>
      <c r="I958" s="24"/>
      <c r="J958" s="24"/>
      <c r="K958" s="29" t="str">
        <f aca="false">IF($A958="","",IF(OR($C958="Decision",$C958="Conflict"),IF(COUNTIFS($I$2:$I$1001,$A958,$C$2:$C$1001,"Resolved")=0,"Open","Closed"),IF(AND($H958="Unconfirmed",OR($C958="New",$C958="Know")),IF(COUNTIFS($I$2:$I$1001,$A958,$C$2:$C$1001,"Confirmed")=0,"Unconfirmed","Confirmed"),"Logged")))</f>
        <v/>
      </c>
      <c r="L958" s="29" t="str">
        <f aca="false">IF($A958="","",AsOf-$B958)</f>
        <v/>
      </c>
      <c r="M958" s="29" t="str">
        <f aca="false">IF($K958="Open",IF($C958="Conflict","Critical",IF($L958&gt;=DecisionCritical,"Critical",IF($L958&gt;=DecisionWarn,"Warning","On track"))),IF($K958="Unconfirmed",IF($L958&gt;=UnconfirmedWarn,"Warning","On track"),""))</f>
        <v/>
      </c>
      <c r="N958" s="29" t="str">
        <f aca="false">IF($M958="","",IF($M958="Critical",3000,IF($M958="Warning",2000,1000))+$L958+ROW()/100000)</f>
        <v/>
      </c>
      <c r="O958" s="29" t="str">
        <f aca="false">IF($K958="Open",IF($C958="Conflict","decide "&amp;$A958&amp;": &lt;which version stands&gt;","decide "&amp;$A958&amp;": &lt;outcome&gt;"),IF($K958="Unconfirmed","confirm "&amp;$A958,""))</f>
        <v/>
      </c>
    </row>
    <row r="959" customFormat="false" ht="15" hidden="false" customHeight="false" outlineLevel="0" collapsed="false">
      <c r="A959" s="24"/>
      <c r="B959" s="27"/>
      <c r="C959" s="28"/>
      <c r="D959" s="24"/>
      <c r="E959" s="24"/>
      <c r="F959" s="24"/>
      <c r="G959" s="28"/>
      <c r="H959" s="28"/>
      <c r="I959" s="24"/>
      <c r="J959" s="24"/>
      <c r="K959" s="29" t="str">
        <f aca="false">IF($A959="","",IF(OR($C959="Decision",$C959="Conflict"),IF(COUNTIFS($I$2:$I$1001,$A959,$C$2:$C$1001,"Resolved")=0,"Open","Closed"),IF(AND($H959="Unconfirmed",OR($C959="New",$C959="Know")),IF(COUNTIFS($I$2:$I$1001,$A959,$C$2:$C$1001,"Confirmed")=0,"Unconfirmed","Confirmed"),"Logged")))</f>
        <v/>
      </c>
      <c r="L959" s="29" t="str">
        <f aca="false">IF($A959="","",AsOf-$B959)</f>
        <v/>
      </c>
      <c r="M959" s="29" t="str">
        <f aca="false">IF($K959="Open",IF($C959="Conflict","Critical",IF($L959&gt;=DecisionCritical,"Critical",IF($L959&gt;=DecisionWarn,"Warning","On track"))),IF($K959="Unconfirmed",IF($L959&gt;=UnconfirmedWarn,"Warning","On track"),""))</f>
        <v/>
      </c>
      <c r="N959" s="29" t="str">
        <f aca="false">IF($M959="","",IF($M959="Critical",3000,IF($M959="Warning",2000,1000))+$L959+ROW()/100000)</f>
        <v/>
      </c>
      <c r="O959" s="29" t="str">
        <f aca="false">IF($K959="Open",IF($C959="Conflict","decide "&amp;$A959&amp;": &lt;which version stands&gt;","decide "&amp;$A959&amp;": &lt;outcome&gt;"),IF($K959="Unconfirmed","confirm "&amp;$A959,""))</f>
        <v/>
      </c>
    </row>
    <row r="960" customFormat="false" ht="15" hidden="false" customHeight="false" outlineLevel="0" collapsed="false">
      <c r="A960" s="24"/>
      <c r="B960" s="27"/>
      <c r="C960" s="28"/>
      <c r="D960" s="24"/>
      <c r="E960" s="24"/>
      <c r="F960" s="24"/>
      <c r="G960" s="28"/>
      <c r="H960" s="28"/>
      <c r="I960" s="24"/>
      <c r="J960" s="24"/>
      <c r="K960" s="29" t="str">
        <f aca="false">IF($A960="","",IF(OR($C960="Decision",$C960="Conflict"),IF(COUNTIFS($I$2:$I$1001,$A960,$C$2:$C$1001,"Resolved")=0,"Open","Closed"),IF(AND($H960="Unconfirmed",OR($C960="New",$C960="Know")),IF(COUNTIFS($I$2:$I$1001,$A960,$C$2:$C$1001,"Confirmed")=0,"Unconfirmed","Confirmed"),"Logged")))</f>
        <v/>
      </c>
      <c r="L960" s="29" t="str">
        <f aca="false">IF($A960="","",AsOf-$B960)</f>
        <v/>
      </c>
      <c r="M960" s="29" t="str">
        <f aca="false">IF($K960="Open",IF($C960="Conflict","Critical",IF($L960&gt;=DecisionCritical,"Critical",IF($L960&gt;=DecisionWarn,"Warning","On track"))),IF($K960="Unconfirmed",IF($L960&gt;=UnconfirmedWarn,"Warning","On track"),""))</f>
        <v/>
      </c>
      <c r="N960" s="29" t="str">
        <f aca="false">IF($M960="","",IF($M960="Critical",3000,IF($M960="Warning",2000,1000))+$L960+ROW()/100000)</f>
        <v/>
      </c>
      <c r="O960" s="29" t="str">
        <f aca="false">IF($K960="Open",IF($C960="Conflict","decide "&amp;$A960&amp;": &lt;which version stands&gt;","decide "&amp;$A960&amp;": &lt;outcome&gt;"),IF($K960="Unconfirmed","confirm "&amp;$A960,""))</f>
        <v/>
      </c>
    </row>
    <row r="961" customFormat="false" ht="15" hidden="false" customHeight="false" outlineLevel="0" collapsed="false">
      <c r="A961" s="24"/>
      <c r="B961" s="27"/>
      <c r="C961" s="28"/>
      <c r="D961" s="24"/>
      <c r="E961" s="24"/>
      <c r="F961" s="24"/>
      <c r="G961" s="28"/>
      <c r="H961" s="28"/>
      <c r="I961" s="24"/>
      <c r="J961" s="24"/>
      <c r="K961" s="29" t="str">
        <f aca="false">IF($A961="","",IF(OR($C961="Decision",$C961="Conflict"),IF(COUNTIFS($I$2:$I$1001,$A961,$C$2:$C$1001,"Resolved")=0,"Open","Closed"),IF(AND($H961="Unconfirmed",OR($C961="New",$C961="Know")),IF(COUNTIFS($I$2:$I$1001,$A961,$C$2:$C$1001,"Confirmed")=0,"Unconfirmed","Confirmed"),"Logged")))</f>
        <v/>
      </c>
      <c r="L961" s="29" t="str">
        <f aca="false">IF($A961="","",AsOf-$B961)</f>
        <v/>
      </c>
      <c r="M961" s="29" t="str">
        <f aca="false">IF($K961="Open",IF($C961="Conflict","Critical",IF($L961&gt;=DecisionCritical,"Critical",IF($L961&gt;=DecisionWarn,"Warning","On track"))),IF($K961="Unconfirmed",IF($L961&gt;=UnconfirmedWarn,"Warning","On track"),""))</f>
        <v/>
      </c>
      <c r="N961" s="29" t="str">
        <f aca="false">IF($M961="","",IF($M961="Critical",3000,IF($M961="Warning",2000,1000))+$L961+ROW()/100000)</f>
        <v/>
      </c>
      <c r="O961" s="29" t="str">
        <f aca="false">IF($K961="Open",IF($C961="Conflict","decide "&amp;$A961&amp;": &lt;which version stands&gt;","decide "&amp;$A961&amp;": &lt;outcome&gt;"),IF($K961="Unconfirmed","confirm "&amp;$A961,""))</f>
        <v/>
      </c>
    </row>
    <row r="962" customFormat="false" ht="15" hidden="false" customHeight="false" outlineLevel="0" collapsed="false">
      <c r="A962" s="24"/>
      <c r="B962" s="27"/>
      <c r="C962" s="28"/>
      <c r="D962" s="24"/>
      <c r="E962" s="24"/>
      <c r="F962" s="24"/>
      <c r="G962" s="28"/>
      <c r="H962" s="28"/>
      <c r="I962" s="24"/>
      <c r="J962" s="24"/>
      <c r="K962" s="29" t="str">
        <f aca="false">IF($A962="","",IF(OR($C962="Decision",$C962="Conflict"),IF(COUNTIFS($I$2:$I$1001,$A962,$C$2:$C$1001,"Resolved")=0,"Open","Closed"),IF(AND($H962="Unconfirmed",OR($C962="New",$C962="Know")),IF(COUNTIFS($I$2:$I$1001,$A962,$C$2:$C$1001,"Confirmed")=0,"Unconfirmed","Confirmed"),"Logged")))</f>
        <v/>
      </c>
      <c r="L962" s="29" t="str">
        <f aca="false">IF($A962="","",AsOf-$B962)</f>
        <v/>
      </c>
      <c r="M962" s="29" t="str">
        <f aca="false">IF($K962="Open",IF($C962="Conflict","Critical",IF($L962&gt;=DecisionCritical,"Critical",IF($L962&gt;=DecisionWarn,"Warning","On track"))),IF($K962="Unconfirmed",IF($L962&gt;=UnconfirmedWarn,"Warning","On track"),""))</f>
        <v/>
      </c>
      <c r="N962" s="29" t="str">
        <f aca="false">IF($M962="","",IF($M962="Critical",3000,IF($M962="Warning",2000,1000))+$L962+ROW()/100000)</f>
        <v/>
      </c>
      <c r="O962" s="29" t="str">
        <f aca="false">IF($K962="Open",IF($C962="Conflict","decide "&amp;$A962&amp;": &lt;which version stands&gt;","decide "&amp;$A962&amp;": &lt;outcome&gt;"),IF($K962="Unconfirmed","confirm "&amp;$A962,""))</f>
        <v/>
      </c>
    </row>
    <row r="963" customFormat="false" ht="15" hidden="false" customHeight="false" outlineLevel="0" collapsed="false">
      <c r="A963" s="24"/>
      <c r="B963" s="27"/>
      <c r="C963" s="28"/>
      <c r="D963" s="24"/>
      <c r="E963" s="24"/>
      <c r="F963" s="24"/>
      <c r="G963" s="28"/>
      <c r="H963" s="28"/>
      <c r="I963" s="24"/>
      <c r="J963" s="24"/>
      <c r="K963" s="29" t="str">
        <f aca="false">IF($A963="","",IF(OR($C963="Decision",$C963="Conflict"),IF(COUNTIFS($I$2:$I$1001,$A963,$C$2:$C$1001,"Resolved")=0,"Open","Closed"),IF(AND($H963="Unconfirmed",OR($C963="New",$C963="Know")),IF(COUNTIFS($I$2:$I$1001,$A963,$C$2:$C$1001,"Confirmed")=0,"Unconfirmed","Confirmed"),"Logged")))</f>
        <v/>
      </c>
      <c r="L963" s="29" t="str">
        <f aca="false">IF($A963="","",AsOf-$B963)</f>
        <v/>
      </c>
      <c r="M963" s="29" t="str">
        <f aca="false">IF($K963="Open",IF($C963="Conflict","Critical",IF($L963&gt;=DecisionCritical,"Critical",IF($L963&gt;=DecisionWarn,"Warning","On track"))),IF($K963="Unconfirmed",IF($L963&gt;=UnconfirmedWarn,"Warning","On track"),""))</f>
        <v/>
      </c>
      <c r="N963" s="29" t="str">
        <f aca="false">IF($M963="","",IF($M963="Critical",3000,IF($M963="Warning",2000,1000))+$L963+ROW()/100000)</f>
        <v/>
      </c>
      <c r="O963" s="29" t="str">
        <f aca="false">IF($K963="Open",IF($C963="Conflict","decide "&amp;$A963&amp;": &lt;which version stands&gt;","decide "&amp;$A963&amp;": &lt;outcome&gt;"),IF($K963="Unconfirmed","confirm "&amp;$A963,""))</f>
        <v/>
      </c>
    </row>
    <row r="964" customFormat="false" ht="15" hidden="false" customHeight="false" outlineLevel="0" collapsed="false">
      <c r="A964" s="24"/>
      <c r="B964" s="27"/>
      <c r="C964" s="28"/>
      <c r="D964" s="24"/>
      <c r="E964" s="24"/>
      <c r="F964" s="24"/>
      <c r="G964" s="28"/>
      <c r="H964" s="28"/>
      <c r="I964" s="24"/>
      <c r="J964" s="24"/>
      <c r="K964" s="29" t="str">
        <f aca="false">IF($A964="","",IF(OR($C964="Decision",$C964="Conflict"),IF(COUNTIFS($I$2:$I$1001,$A964,$C$2:$C$1001,"Resolved")=0,"Open","Closed"),IF(AND($H964="Unconfirmed",OR($C964="New",$C964="Know")),IF(COUNTIFS($I$2:$I$1001,$A964,$C$2:$C$1001,"Confirmed")=0,"Unconfirmed","Confirmed"),"Logged")))</f>
        <v/>
      </c>
      <c r="L964" s="29" t="str">
        <f aca="false">IF($A964="","",AsOf-$B964)</f>
        <v/>
      </c>
      <c r="M964" s="29" t="str">
        <f aca="false">IF($K964="Open",IF($C964="Conflict","Critical",IF($L964&gt;=DecisionCritical,"Critical",IF($L964&gt;=DecisionWarn,"Warning","On track"))),IF($K964="Unconfirmed",IF($L964&gt;=UnconfirmedWarn,"Warning","On track"),""))</f>
        <v/>
      </c>
      <c r="N964" s="29" t="str">
        <f aca="false">IF($M964="","",IF($M964="Critical",3000,IF($M964="Warning",2000,1000))+$L964+ROW()/100000)</f>
        <v/>
      </c>
      <c r="O964" s="29" t="str">
        <f aca="false">IF($K964="Open",IF($C964="Conflict","decide "&amp;$A964&amp;": &lt;which version stands&gt;","decide "&amp;$A964&amp;": &lt;outcome&gt;"),IF($K964="Unconfirmed","confirm "&amp;$A964,""))</f>
        <v/>
      </c>
    </row>
    <row r="965" customFormat="false" ht="15" hidden="false" customHeight="false" outlineLevel="0" collapsed="false">
      <c r="A965" s="24"/>
      <c r="B965" s="27"/>
      <c r="C965" s="28"/>
      <c r="D965" s="24"/>
      <c r="E965" s="24"/>
      <c r="F965" s="24"/>
      <c r="G965" s="28"/>
      <c r="H965" s="28"/>
      <c r="I965" s="24"/>
      <c r="J965" s="24"/>
      <c r="K965" s="29" t="str">
        <f aca="false">IF($A965="","",IF(OR($C965="Decision",$C965="Conflict"),IF(COUNTIFS($I$2:$I$1001,$A965,$C$2:$C$1001,"Resolved")=0,"Open","Closed"),IF(AND($H965="Unconfirmed",OR($C965="New",$C965="Know")),IF(COUNTIFS($I$2:$I$1001,$A965,$C$2:$C$1001,"Confirmed")=0,"Unconfirmed","Confirmed"),"Logged")))</f>
        <v/>
      </c>
      <c r="L965" s="29" t="str">
        <f aca="false">IF($A965="","",AsOf-$B965)</f>
        <v/>
      </c>
      <c r="M965" s="29" t="str">
        <f aca="false">IF($K965="Open",IF($C965="Conflict","Critical",IF($L965&gt;=DecisionCritical,"Critical",IF($L965&gt;=DecisionWarn,"Warning","On track"))),IF($K965="Unconfirmed",IF($L965&gt;=UnconfirmedWarn,"Warning","On track"),""))</f>
        <v/>
      </c>
      <c r="N965" s="29" t="str">
        <f aca="false">IF($M965="","",IF($M965="Critical",3000,IF($M965="Warning",2000,1000))+$L965+ROW()/100000)</f>
        <v/>
      </c>
      <c r="O965" s="29" t="str">
        <f aca="false">IF($K965="Open",IF($C965="Conflict","decide "&amp;$A965&amp;": &lt;which version stands&gt;","decide "&amp;$A965&amp;": &lt;outcome&gt;"),IF($K965="Unconfirmed","confirm "&amp;$A965,""))</f>
        <v/>
      </c>
    </row>
    <row r="966" customFormat="false" ht="15" hidden="false" customHeight="false" outlineLevel="0" collapsed="false">
      <c r="A966" s="24"/>
      <c r="B966" s="27"/>
      <c r="C966" s="28"/>
      <c r="D966" s="24"/>
      <c r="E966" s="24"/>
      <c r="F966" s="24"/>
      <c r="G966" s="28"/>
      <c r="H966" s="28"/>
      <c r="I966" s="24"/>
      <c r="J966" s="24"/>
      <c r="K966" s="29" t="str">
        <f aca="false">IF($A966="","",IF(OR($C966="Decision",$C966="Conflict"),IF(COUNTIFS($I$2:$I$1001,$A966,$C$2:$C$1001,"Resolved")=0,"Open","Closed"),IF(AND($H966="Unconfirmed",OR($C966="New",$C966="Know")),IF(COUNTIFS($I$2:$I$1001,$A966,$C$2:$C$1001,"Confirmed")=0,"Unconfirmed","Confirmed"),"Logged")))</f>
        <v/>
      </c>
      <c r="L966" s="29" t="str">
        <f aca="false">IF($A966="","",AsOf-$B966)</f>
        <v/>
      </c>
      <c r="M966" s="29" t="str">
        <f aca="false">IF($K966="Open",IF($C966="Conflict","Critical",IF($L966&gt;=DecisionCritical,"Critical",IF($L966&gt;=DecisionWarn,"Warning","On track"))),IF($K966="Unconfirmed",IF($L966&gt;=UnconfirmedWarn,"Warning","On track"),""))</f>
        <v/>
      </c>
      <c r="N966" s="29" t="str">
        <f aca="false">IF($M966="","",IF($M966="Critical",3000,IF($M966="Warning",2000,1000))+$L966+ROW()/100000)</f>
        <v/>
      </c>
      <c r="O966" s="29" t="str">
        <f aca="false">IF($K966="Open",IF($C966="Conflict","decide "&amp;$A966&amp;": &lt;which version stands&gt;","decide "&amp;$A966&amp;": &lt;outcome&gt;"),IF($K966="Unconfirmed","confirm "&amp;$A966,""))</f>
        <v/>
      </c>
    </row>
    <row r="967" customFormat="false" ht="15" hidden="false" customHeight="false" outlineLevel="0" collapsed="false">
      <c r="A967" s="24"/>
      <c r="B967" s="27"/>
      <c r="C967" s="28"/>
      <c r="D967" s="24"/>
      <c r="E967" s="24"/>
      <c r="F967" s="24"/>
      <c r="G967" s="28"/>
      <c r="H967" s="28"/>
      <c r="I967" s="24"/>
      <c r="J967" s="24"/>
      <c r="K967" s="29" t="str">
        <f aca="false">IF($A967="","",IF(OR($C967="Decision",$C967="Conflict"),IF(COUNTIFS($I$2:$I$1001,$A967,$C$2:$C$1001,"Resolved")=0,"Open","Closed"),IF(AND($H967="Unconfirmed",OR($C967="New",$C967="Know")),IF(COUNTIFS($I$2:$I$1001,$A967,$C$2:$C$1001,"Confirmed")=0,"Unconfirmed","Confirmed"),"Logged")))</f>
        <v/>
      </c>
      <c r="L967" s="29" t="str">
        <f aca="false">IF($A967="","",AsOf-$B967)</f>
        <v/>
      </c>
      <c r="M967" s="29" t="str">
        <f aca="false">IF($K967="Open",IF($C967="Conflict","Critical",IF($L967&gt;=DecisionCritical,"Critical",IF($L967&gt;=DecisionWarn,"Warning","On track"))),IF($K967="Unconfirmed",IF($L967&gt;=UnconfirmedWarn,"Warning","On track"),""))</f>
        <v/>
      </c>
      <c r="N967" s="29" t="str">
        <f aca="false">IF($M967="","",IF($M967="Critical",3000,IF($M967="Warning",2000,1000))+$L967+ROW()/100000)</f>
        <v/>
      </c>
      <c r="O967" s="29" t="str">
        <f aca="false">IF($K967="Open",IF($C967="Conflict","decide "&amp;$A967&amp;": &lt;which version stands&gt;","decide "&amp;$A967&amp;": &lt;outcome&gt;"),IF($K967="Unconfirmed","confirm "&amp;$A967,""))</f>
        <v/>
      </c>
    </row>
    <row r="968" customFormat="false" ht="15" hidden="false" customHeight="false" outlineLevel="0" collapsed="false">
      <c r="A968" s="24"/>
      <c r="B968" s="27"/>
      <c r="C968" s="28"/>
      <c r="D968" s="24"/>
      <c r="E968" s="24"/>
      <c r="F968" s="24"/>
      <c r="G968" s="28"/>
      <c r="H968" s="28"/>
      <c r="I968" s="24"/>
      <c r="J968" s="24"/>
      <c r="K968" s="29" t="str">
        <f aca="false">IF($A968="","",IF(OR($C968="Decision",$C968="Conflict"),IF(COUNTIFS($I$2:$I$1001,$A968,$C$2:$C$1001,"Resolved")=0,"Open","Closed"),IF(AND($H968="Unconfirmed",OR($C968="New",$C968="Know")),IF(COUNTIFS($I$2:$I$1001,$A968,$C$2:$C$1001,"Confirmed")=0,"Unconfirmed","Confirmed"),"Logged")))</f>
        <v/>
      </c>
      <c r="L968" s="29" t="str">
        <f aca="false">IF($A968="","",AsOf-$B968)</f>
        <v/>
      </c>
      <c r="M968" s="29" t="str">
        <f aca="false">IF($K968="Open",IF($C968="Conflict","Critical",IF($L968&gt;=DecisionCritical,"Critical",IF($L968&gt;=DecisionWarn,"Warning","On track"))),IF($K968="Unconfirmed",IF($L968&gt;=UnconfirmedWarn,"Warning","On track"),""))</f>
        <v/>
      </c>
      <c r="N968" s="29" t="str">
        <f aca="false">IF($M968="","",IF($M968="Critical",3000,IF($M968="Warning",2000,1000))+$L968+ROW()/100000)</f>
        <v/>
      </c>
      <c r="O968" s="29" t="str">
        <f aca="false">IF($K968="Open",IF($C968="Conflict","decide "&amp;$A968&amp;": &lt;which version stands&gt;","decide "&amp;$A968&amp;": &lt;outcome&gt;"),IF($K968="Unconfirmed","confirm "&amp;$A968,""))</f>
        <v/>
      </c>
    </row>
    <row r="969" customFormat="false" ht="15" hidden="false" customHeight="false" outlineLevel="0" collapsed="false">
      <c r="A969" s="24"/>
      <c r="B969" s="27"/>
      <c r="C969" s="28"/>
      <c r="D969" s="24"/>
      <c r="E969" s="24"/>
      <c r="F969" s="24"/>
      <c r="G969" s="28"/>
      <c r="H969" s="28"/>
      <c r="I969" s="24"/>
      <c r="J969" s="24"/>
      <c r="K969" s="29" t="str">
        <f aca="false">IF($A969="","",IF(OR($C969="Decision",$C969="Conflict"),IF(COUNTIFS($I$2:$I$1001,$A969,$C$2:$C$1001,"Resolved")=0,"Open","Closed"),IF(AND($H969="Unconfirmed",OR($C969="New",$C969="Know")),IF(COUNTIFS($I$2:$I$1001,$A969,$C$2:$C$1001,"Confirmed")=0,"Unconfirmed","Confirmed"),"Logged")))</f>
        <v/>
      </c>
      <c r="L969" s="29" t="str">
        <f aca="false">IF($A969="","",AsOf-$B969)</f>
        <v/>
      </c>
      <c r="M969" s="29" t="str">
        <f aca="false">IF($K969="Open",IF($C969="Conflict","Critical",IF($L969&gt;=DecisionCritical,"Critical",IF($L969&gt;=DecisionWarn,"Warning","On track"))),IF($K969="Unconfirmed",IF($L969&gt;=UnconfirmedWarn,"Warning","On track"),""))</f>
        <v/>
      </c>
      <c r="N969" s="29" t="str">
        <f aca="false">IF($M969="","",IF($M969="Critical",3000,IF($M969="Warning",2000,1000))+$L969+ROW()/100000)</f>
        <v/>
      </c>
      <c r="O969" s="29" t="str">
        <f aca="false">IF($K969="Open",IF($C969="Conflict","decide "&amp;$A969&amp;": &lt;which version stands&gt;","decide "&amp;$A969&amp;": &lt;outcome&gt;"),IF($K969="Unconfirmed","confirm "&amp;$A969,""))</f>
        <v/>
      </c>
    </row>
    <row r="970" customFormat="false" ht="15" hidden="false" customHeight="false" outlineLevel="0" collapsed="false">
      <c r="A970" s="24"/>
      <c r="B970" s="27"/>
      <c r="C970" s="28"/>
      <c r="D970" s="24"/>
      <c r="E970" s="24"/>
      <c r="F970" s="24"/>
      <c r="G970" s="28"/>
      <c r="H970" s="28"/>
      <c r="I970" s="24"/>
      <c r="J970" s="24"/>
      <c r="K970" s="29" t="str">
        <f aca="false">IF($A970="","",IF(OR($C970="Decision",$C970="Conflict"),IF(COUNTIFS($I$2:$I$1001,$A970,$C$2:$C$1001,"Resolved")=0,"Open","Closed"),IF(AND($H970="Unconfirmed",OR($C970="New",$C970="Know")),IF(COUNTIFS($I$2:$I$1001,$A970,$C$2:$C$1001,"Confirmed")=0,"Unconfirmed","Confirmed"),"Logged")))</f>
        <v/>
      </c>
      <c r="L970" s="29" t="str">
        <f aca="false">IF($A970="","",AsOf-$B970)</f>
        <v/>
      </c>
      <c r="M970" s="29" t="str">
        <f aca="false">IF($K970="Open",IF($C970="Conflict","Critical",IF($L970&gt;=DecisionCritical,"Critical",IF($L970&gt;=DecisionWarn,"Warning","On track"))),IF($K970="Unconfirmed",IF($L970&gt;=UnconfirmedWarn,"Warning","On track"),""))</f>
        <v/>
      </c>
      <c r="N970" s="29" t="str">
        <f aca="false">IF($M970="","",IF($M970="Critical",3000,IF($M970="Warning",2000,1000))+$L970+ROW()/100000)</f>
        <v/>
      </c>
      <c r="O970" s="29" t="str">
        <f aca="false">IF($K970="Open",IF($C970="Conflict","decide "&amp;$A970&amp;": &lt;which version stands&gt;","decide "&amp;$A970&amp;": &lt;outcome&gt;"),IF($K970="Unconfirmed","confirm "&amp;$A970,""))</f>
        <v/>
      </c>
    </row>
    <row r="971" customFormat="false" ht="15" hidden="false" customHeight="false" outlineLevel="0" collapsed="false">
      <c r="A971" s="24"/>
      <c r="B971" s="27"/>
      <c r="C971" s="28"/>
      <c r="D971" s="24"/>
      <c r="E971" s="24"/>
      <c r="F971" s="24"/>
      <c r="G971" s="28"/>
      <c r="H971" s="28"/>
      <c r="I971" s="24"/>
      <c r="J971" s="24"/>
      <c r="K971" s="29" t="str">
        <f aca="false">IF($A971="","",IF(OR($C971="Decision",$C971="Conflict"),IF(COUNTIFS($I$2:$I$1001,$A971,$C$2:$C$1001,"Resolved")=0,"Open","Closed"),IF(AND($H971="Unconfirmed",OR($C971="New",$C971="Know")),IF(COUNTIFS($I$2:$I$1001,$A971,$C$2:$C$1001,"Confirmed")=0,"Unconfirmed","Confirmed"),"Logged")))</f>
        <v/>
      </c>
      <c r="L971" s="29" t="str">
        <f aca="false">IF($A971="","",AsOf-$B971)</f>
        <v/>
      </c>
      <c r="M971" s="29" t="str">
        <f aca="false">IF($K971="Open",IF($C971="Conflict","Critical",IF($L971&gt;=DecisionCritical,"Critical",IF($L971&gt;=DecisionWarn,"Warning","On track"))),IF($K971="Unconfirmed",IF($L971&gt;=UnconfirmedWarn,"Warning","On track"),""))</f>
        <v/>
      </c>
      <c r="N971" s="29" t="str">
        <f aca="false">IF($M971="","",IF($M971="Critical",3000,IF($M971="Warning",2000,1000))+$L971+ROW()/100000)</f>
        <v/>
      </c>
      <c r="O971" s="29" t="str">
        <f aca="false">IF($K971="Open",IF($C971="Conflict","decide "&amp;$A971&amp;": &lt;which version stands&gt;","decide "&amp;$A971&amp;": &lt;outcome&gt;"),IF($K971="Unconfirmed","confirm "&amp;$A971,""))</f>
        <v/>
      </c>
    </row>
    <row r="972" customFormat="false" ht="15" hidden="false" customHeight="false" outlineLevel="0" collapsed="false">
      <c r="A972" s="24"/>
      <c r="B972" s="27"/>
      <c r="C972" s="28"/>
      <c r="D972" s="24"/>
      <c r="E972" s="24"/>
      <c r="F972" s="24"/>
      <c r="G972" s="28"/>
      <c r="H972" s="28"/>
      <c r="I972" s="24"/>
      <c r="J972" s="24"/>
      <c r="K972" s="29" t="str">
        <f aca="false">IF($A972="","",IF(OR($C972="Decision",$C972="Conflict"),IF(COUNTIFS($I$2:$I$1001,$A972,$C$2:$C$1001,"Resolved")=0,"Open","Closed"),IF(AND($H972="Unconfirmed",OR($C972="New",$C972="Know")),IF(COUNTIFS($I$2:$I$1001,$A972,$C$2:$C$1001,"Confirmed")=0,"Unconfirmed","Confirmed"),"Logged")))</f>
        <v/>
      </c>
      <c r="L972" s="29" t="str">
        <f aca="false">IF($A972="","",AsOf-$B972)</f>
        <v/>
      </c>
      <c r="M972" s="29" t="str">
        <f aca="false">IF($K972="Open",IF($C972="Conflict","Critical",IF($L972&gt;=DecisionCritical,"Critical",IF($L972&gt;=DecisionWarn,"Warning","On track"))),IF($K972="Unconfirmed",IF($L972&gt;=UnconfirmedWarn,"Warning","On track"),""))</f>
        <v/>
      </c>
      <c r="N972" s="29" t="str">
        <f aca="false">IF($M972="","",IF($M972="Critical",3000,IF($M972="Warning",2000,1000))+$L972+ROW()/100000)</f>
        <v/>
      </c>
      <c r="O972" s="29" t="str">
        <f aca="false">IF($K972="Open",IF($C972="Conflict","decide "&amp;$A972&amp;": &lt;which version stands&gt;","decide "&amp;$A972&amp;": &lt;outcome&gt;"),IF($K972="Unconfirmed","confirm "&amp;$A972,""))</f>
        <v/>
      </c>
    </row>
    <row r="973" customFormat="false" ht="15" hidden="false" customHeight="false" outlineLevel="0" collapsed="false">
      <c r="A973" s="24"/>
      <c r="B973" s="27"/>
      <c r="C973" s="28"/>
      <c r="D973" s="24"/>
      <c r="E973" s="24"/>
      <c r="F973" s="24"/>
      <c r="G973" s="28"/>
      <c r="H973" s="28"/>
      <c r="I973" s="24"/>
      <c r="J973" s="24"/>
      <c r="K973" s="29" t="str">
        <f aca="false">IF($A973="","",IF(OR($C973="Decision",$C973="Conflict"),IF(COUNTIFS($I$2:$I$1001,$A973,$C$2:$C$1001,"Resolved")=0,"Open","Closed"),IF(AND($H973="Unconfirmed",OR($C973="New",$C973="Know")),IF(COUNTIFS($I$2:$I$1001,$A973,$C$2:$C$1001,"Confirmed")=0,"Unconfirmed","Confirmed"),"Logged")))</f>
        <v/>
      </c>
      <c r="L973" s="29" t="str">
        <f aca="false">IF($A973="","",AsOf-$B973)</f>
        <v/>
      </c>
      <c r="M973" s="29" t="str">
        <f aca="false">IF($K973="Open",IF($C973="Conflict","Critical",IF($L973&gt;=DecisionCritical,"Critical",IF($L973&gt;=DecisionWarn,"Warning","On track"))),IF($K973="Unconfirmed",IF($L973&gt;=UnconfirmedWarn,"Warning","On track"),""))</f>
        <v/>
      </c>
      <c r="N973" s="29" t="str">
        <f aca="false">IF($M973="","",IF($M973="Critical",3000,IF($M973="Warning",2000,1000))+$L973+ROW()/100000)</f>
        <v/>
      </c>
      <c r="O973" s="29" t="str">
        <f aca="false">IF($K973="Open",IF($C973="Conflict","decide "&amp;$A973&amp;": &lt;which version stands&gt;","decide "&amp;$A973&amp;": &lt;outcome&gt;"),IF($K973="Unconfirmed","confirm "&amp;$A973,""))</f>
        <v/>
      </c>
    </row>
    <row r="974" customFormat="false" ht="15" hidden="false" customHeight="false" outlineLevel="0" collapsed="false">
      <c r="A974" s="24"/>
      <c r="B974" s="27"/>
      <c r="C974" s="28"/>
      <c r="D974" s="24"/>
      <c r="E974" s="24"/>
      <c r="F974" s="24"/>
      <c r="G974" s="28"/>
      <c r="H974" s="28"/>
      <c r="I974" s="24"/>
      <c r="J974" s="24"/>
      <c r="K974" s="29" t="str">
        <f aca="false">IF($A974="","",IF(OR($C974="Decision",$C974="Conflict"),IF(COUNTIFS($I$2:$I$1001,$A974,$C$2:$C$1001,"Resolved")=0,"Open","Closed"),IF(AND($H974="Unconfirmed",OR($C974="New",$C974="Know")),IF(COUNTIFS($I$2:$I$1001,$A974,$C$2:$C$1001,"Confirmed")=0,"Unconfirmed","Confirmed"),"Logged")))</f>
        <v/>
      </c>
      <c r="L974" s="29" t="str">
        <f aca="false">IF($A974="","",AsOf-$B974)</f>
        <v/>
      </c>
      <c r="M974" s="29" t="str">
        <f aca="false">IF($K974="Open",IF($C974="Conflict","Critical",IF($L974&gt;=DecisionCritical,"Critical",IF($L974&gt;=DecisionWarn,"Warning","On track"))),IF($K974="Unconfirmed",IF($L974&gt;=UnconfirmedWarn,"Warning","On track"),""))</f>
        <v/>
      </c>
      <c r="N974" s="29" t="str">
        <f aca="false">IF($M974="","",IF($M974="Critical",3000,IF($M974="Warning",2000,1000))+$L974+ROW()/100000)</f>
        <v/>
      </c>
      <c r="O974" s="29" t="str">
        <f aca="false">IF($K974="Open",IF($C974="Conflict","decide "&amp;$A974&amp;": &lt;which version stands&gt;","decide "&amp;$A974&amp;": &lt;outcome&gt;"),IF($K974="Unconfirmed","confirm "&amp;$A974,""))</f>
        <v/>
      </c>
    </row>
    <row r="975" customFormat="false" ht="15" hidden="false" customHeight="false" outlineLevel="0" collapsed="false">
      <c r="A975" s="24"/>
      <c r="B975" s="27"/>
      <c r="C975" s="28"/>
      <c r="D975" s="24"/>
      <c r="E975" s="24"/>
      <c r="F975" s="24"/>
      <c r="G975" s="28"/>
      <c r="H975" s="28"/>
      <c r="I975" s="24"/>
      <c r="J975" s="24"/>
      <c r="K975" s="29" t="str">
        <f aca="false">IF($A975="","",IF(OR($C975="Decision",$C975="Conflict"),IF(COUNTIFS($I$2:$I$1001,$A975,$C$2:$C$1001,"Resolved")=0,"Open","Closed"),IF(AND($H975="Unconfirmed",OR($C975="New",$C975="Know")),IF(COUNTIFS($I$2:$I$1001,$A975,$C$2:$C$1001,"Confirmed")=0,"Unconfirmed","Confirmed"),"Logged")))</f>
        <v/>
      </c>
      <c r="L975" s="29" t="str">
        <f aca="false">IF($A975="","",AsOf-$B975)</f>
        <v/>
      </c>
      <c r="M975" s="29" t="str">
        <f aca="false">IF($K975="Open",IF($C975="Conflict","Critical",IF($L975&gt;=DecisionCritical,"Critical",IF($L975&gt;=DecisionWarn,"Warning","On track"))),IF($K975="Unconfirmed",IF($L975&gt;=UnconfirmedWarn,"Warning","On track"),""))</f>
        <v/>
      </c>
      <c r="N975" s="29" t="str">
        <f aca="false">IF($M975="","",IF($M975="Critical",3000,IF($M975="Warning",2000,1000))+$L975+ROW()/100000)</f>
        <v/>
      </c>
      <c r="O975" s="29" t="str">
        <f aca="false">IF($K975="Open",IF($C975="Conflict","decide "&amp;$A975&amp;": &lt;which version stands&gt;","decide "&amp;$A975&amp;": &lt;outcome&gt;"),IF($K975="Unconfirmed","confirm "&amp;$A975,""))</f>
        <v/>
      </c>
    </row>
    <row r="976" customFormat="false" ht="15" hidden="false" customHeight="false" outlineLevel="0" collapsed="false">
      <c r="A976" s="24"/>
      <c r="B976" s="27"/>
      <c r="C976" s="28"/>
      <c r="D976" s="24"/>
      <c r="E976" s="24"/>
      <c r="F976" s="24"/>
      <c r="G976" s="28"/>
      <c r="H976" s="28"/>
      <c r="I976" s="24"/>
      <c r="J976" s="24"/>
      <c r="K976" s="29" t="str">
        <f aca="false">IF($A976="","",IF(OR($C976="Decision",$C976="Conflict"),IF(COUNTIFS($I$2:$I$1001,$A976,$C$2:$C$1001,"Resolved")=0,"Open","Closed"),IF(AND($H976="Unconfirmed",OR($C976="New",$C976="Know")),IF(COUNTIFS($I$2:$I$1001,$A976,$C$2:$C$1001,"Confirmed")=0,"Unconfirmed","Confirmed"),"Logged")))</f>
        <v/>
      </c>
      <c r="L976" s="29" t="str">
        <f aca="false">IF($A976="","",AsOf-$B976)</f>
        <v/>
      </c>
      <c r="M976" s="29" t="str">
        <f aca="false">IF($K976="Open",IF($C976="Conflict","Critical",IF($L976&gt;=DecisionCritical,"Critical",IF($L976&gt;=DecisionWarn,"Warning","On track"))),IF($K976="Unconfirmed",IF($L976&gt;=UnconfirmedWarn,"Warning","On track"),""))</f>
        <v/>
      </c>
      <c r="N976" s="29" t="str">
        <f aca="false">IF($M976="","",IF($M976="Critical",3000,IF($M976="Warning",2000,1000))+$L976+ROW()/100000)</f>
        <v/>
      </c>
      <c r="O976" s="29" t="str">
        <f aca="false">IF($K976="Open",IF($C976="Conflict","decide "&amp;$A976&amp;": &lt;which version stands&gt;","decide "&amp;$A976&amp;": &lt;outcome&gt;"),IF($K976="Unconfirmed","confirm "&amp;$A976,""))</f>
        <v/>
      </c>
    </row>
    <row r="977" customFormat="false" ht="15" hidden="false" customHeight="false" outlineLevel="0" collapsed="false">
      <c r="A977" s="24"/>
      <c r="B977" s="27"/>
      <c r="C977" s="28"/>
      <c r="D977" s="24"/>
      <c r="E977" s="24"/>
      <c r="F977" s="24"/>
      <c r="G977" s="28"/>
      <c r="H977" s="28"/>
      <c r="I977" s="24"/>
      <c r="J977" s="24"/>
      <c r="K977" s="29" t="str">
        <f aca="false">IF($A977="","",IF(OR($C977="Decision",$C977="Conflict"),IF(COUNTIFS($I$2:$I$1001,$A977,$C$2:$C$1001,"Resolved")=0,"Open","Closed"),IF(AND($H977="Unconfirmed",OR($C977="New",$C977="Know")),IF(COUNTIFS($I$2:$I$1001,$A977,$C$2:$C$1001,"Confirmed")=0,"Unconfirmed","Confirmed"),"Logged")))</f>
        <v/>
      </c>
      <c r="L977" s="29" t="str">
        <f aca="false">IF($A977="","",AsOf-$B977)</f>
        <v/>
      </c>
      <c r="M977" s="29" t="str">
        <f aca="false">IF($K977="Open",IF($C977="Conflict","Critical",IF($L977&gt;=DecisionCritical,"Critical",IF($L977&gt;=DecisionWarn,"Warning","On track"))),IF($K977="Unconfirmed",IF($L977&gt;=UnconfirmedWarn,"Warning","On track"),""))</f>
        <v/>
      </c>
      <c r="N977" s="29" t="str">
        <f aca="false">IF($M977="","",IF($M977="Critical",3000,IF($M977="Warning",2000,1000))+$L977+ROW()/100000)</f>
        <v/>
      </c>
      <c r="O977" s="29" t="str">
        <f aca="false">IF($K977="Open",IF($C977="Conflict","decide "&amp;$A977&amp;": &lt;which version stands&gt;","decide "&amp;$A977&amp;": &lt;outcome&gt;"),IF($K977="Unconfirmed","confirm "&amp;$A977,""))</f>
        <v/>
      </c>
    </row>
    <row r="978" customFormat="false" ht="15" hidden="false" customHeight="false" outlineLevel="0" collapsed="false">
      <c r="A978" s="24"/>
      <c r="B978" s="27"/>
      <c r="C978" s="28"/>
      <c r="D978" s="24"/>
      <c r="E978" s="24"/>
      <c r="F978" s="24"/>
      <c r="G978" s="28"/>
      <c r="H978" s="28"/>
      <c r="I978" s="24"/>
      <c r="J978" s="24"/>
      <c r="K978" s="29" t="str">
        <f aca="false">IF($A978="","",IF(OR($C978="Decision",$C978="Conflict"),IF(COUNTIFS($I$2:$I$1001,$A978,$C$2:$C$1001,"Resolved")=0,"Open","Closed"),IF(AND($H978="Unconfirmed",OR($C978="New",$C978="Know")),IF(COUNTIFS($I$2:$I$1001,$A978,$C$2:$C$1001,"Confirmed")=0,"Unconfirmed","Confirmed"),"Logged")))</f>
        <v/>
      </c>
      <c r="L978" s="29" t="str">
        <f aca="false">IF($A978="","",AsOf-$B978)</f>
        <v/>
      </c>
      <c r="M978" s="29" t="str">
        <f aca="false">IF($K978="Open",IF($C978="Conflict","Critical",IF($L978&gt;=DecisionCritical,"Critical",IF($L978&gt;=DecisionWarn,"Warning","On track"))),IF($K978="Unconfirmed",IF($L978&gt;=UnconfirmedWarn,"Warning","On track"),""))</f>
        <v/>
      </c>
      <c r="N978" s="29" t="str">
        <f aca="false">IF($M978="","",IF($M978="Critical",3000,IF($M978="Warning",2000,1000))+$L978+ROW()/100000)</f>
        <v/>
      </c>
      <c r="O978" s="29" t="str">
        <f aca="false">IF($K978="Open",IF($C978="Conflict","decide "&amp;$A978&amp;": &lt;which version stands&gt;","decide "&amp;$A978&amp;": &lt;outcome&gt;"),IF($K978="Unconfirmed","confirm "&amp;$A978,""))</f>
        <v/>
      </c>
    </row>
    <row r="979" customFormat="false" ht="15" hidden="false" customHeight="false" outlineLevel="0" collapsed="false">
      <c r="A979" s="24"/>
      <c r="B979" s="27"/>
      <c r="C979" s="28"/>
      <c r="D979" s="24"/>
      <c r="E979" s="24"/>
      <c r="F979" s="24"/>
      <c r="G979" s="28"/>
      <c r="H979" s="28"/>
      <c r="I979" s="24"/>
      <c r="J979" s="24"/>
      <c r="K979" s="29" t="str">
        <f aca="false">IF($A979="","",IF(OR($C979="Decision",$C979="Conflict"),IF(COUNTIFS($I$2:$I$1001,$A979,$C$2:$C$1001,"Resolved")=0,"Open","Closed"),IF(AND($H979="Unconfirmed",OR($C979="New",$C979="Know")),IF(COUNTIFS($I$2:$I$1001,$A979,$C$2:$C$1001,"Confirmed")=0,"Unconfirmed","Confirmed"),"Logged")))</f>
        <v/>
      </c>
      <c r="L979" s="29" t="str">
        <f aca="false">IF($A979="","",AsOf-$B979)</f>
        <v/>
      </c>
      <c r="M979" s="29" t="str">
        <f aca="false">IF($K979="Open",IF($C979="Conflict","Critical",IF($L979&gt;=DecisionCritical,"Critical",IF($L979&gt;=DecisionWarn,"Warning","On track"))),IF($K979="Unconfirmed",IF($L979&gt;=UnconfirmedWarn,"Warning","On track"),""))</f>
        <v/>
      </c>
      <c r="N979" s="29" t="str">
        <f aca="false">IF($M979="","",IF($M979="Critical",3000,IF($M979="Warning",2000,1000))+$L979+ROW()/100000)</f>
        <v/>
      </c>
      <c r="O979" s="29" t="str">
        <f aca="false">IF($K979="Open",IF($C979="Conflict","decide "&amp;$A979&amp;": &lt;which version stands&gt;","decide "&amp;$A979&amp;": &lt;outcome&gt;"),IF($K979="Unconfirmed","confirm "&amp;$A979,""))</f>
        <v/>
      </c>
    </row>
    <row r="980" customFormat="false" ht="15" hidden="false" customHeight="false" outlineLevel="0" collapsed="false">
      <c r="A980" s="24"/>
      <c r="B980" s="27"/>
      <c r="C980" s="28"/>
      <c r="D980" s="24"/>
      <c r="E980" s="24"/>
      <c r="F980" s="24"/>
      <c r="G980" s="28"/>
      <c r="H980" s="28"/>
      <c r="I980" s="24"/>
      <c r="J980" s="24"/>
      <c r="K980" s="29" t="str">
        <f aca="false">IF($A980="","",IF(OR($C980="Decision",$C980="Conflict"),IF(COUNTIFS($I$2:$I$1001,$A980,$C$2:$C$1001,"Resolved")=0,"Open","Closed"),IF(AND($H980="Unconfirmed",OR($C980="New",$C980="Know")),IF(COUNTIFS($I$2:$I$1001,$A980,$C$2:$C$1001,"Confirmed")=0,"Unconfirmed","Confirmed"),"Logged")))</f>
        <v/>
      </c>
      <c r="L980" s="29" t="str">
        <f aca="false">IF($A980="","",AsOf-$B980)</f>
        <v/>
      </c>
      <c r="M980" s="29" t="str">
        <f aca="false">IF($K980="Open",IF($C980="Conflict","Critical",IF($L980&gt;=DecisionCritical,"Critical",IF($L980&gt;=DecisionWarn,"Warning","On track"))),IF($K980="Unconfirmed",IF($L980&gt;=UnconfirmedWarn,"Warning","On track"),""))</f>
        <v/>
      </c>
      <c r="N980" s="29" t="str">
        <f aca="false">IF($M980="","",IF($M980="Critical",3000,IF($M980="Warning",2000,1000))+$L980+ROW()/100000)</f>
        <v/>
      </c>
      <c r="O980" s="29" t="str">
        <f aca="false">IF($K980="Open",IF($C980="Conflict","decide "&amp;$A980&amp;": &lt;which version stands&gt;","decide "&amp;$A980&amp;": &lt;outcome&gt;"),IF($K980="Unconfirmed","confirm "&amp;$A980,""))</f>
        <v/>
      </c>
    </row>
    <row r="981" customFormat="false" ht="15" hidden="false" customHeight="false" outlineLevel="0" collapsed="false">
      <c r="A981" s="24"/>
      <c r="B981" s="27"/>
      <c r="C981" s="28"/>
      <c r="D981" s="24"/>
      <c r="E981" s="24"/>
      <c r="F981" s="24"/>
      <c r="G981" s="28"/>
      <c r="H981" s="28"/>
      <c r="I981" s="24"/>
      <c r="J981" s="24"/>
      <c r="K981" s="29" t="str">
        <f aca="false">IF($A981="","",IF(OR($C981="Decision",$C981="Conflict"),IF(COUNTIFS($I$2:$I$1001,$A981,$C$2:$C$1001,"Resolved")=0,"Open","Closed"),IF(AND($H981="Unconfirmed",OR($C981="New",$C981="Know")),IF(COUNTIFS($I$2:$I$1001,$A981,$C$2:$C$1001,"Confirmed")=0,"Unconfirmed","Confirmed"),"Logged")))</f>
        <v/>
      </c>
      <c r="L981" s="29" t="str">
        <f aca="false">IF($A981="","",AsOf-$B981)</f>
        <v/>
      </c>
      <c r="M981" s="29" t="str">
        <f aca="false">IF($K981="Open",IF($C981="Conflict","Critical",IF($L981&gt;=DecisionCritical,"Critical",IF($L981&gt;=DecisionWarn,"Warning","On track"))),IF($K981="Unconfirmed",IF($L981&gt;=UnconfirmedWarn,"Warning","On track"),""))</f>
        <v/>
      </c>
      <c r="N981" s="29" t="str">
        <f aca="false">IF($M981="","",IF($M981="Critical",3000,IF($M981="Warning",2000,1000))+$L981+ROW()/100000)</f>
        <v/>
      </c>
      <c r="O981" s="29" t="str">
        <f aca="false">IF($K981="Open",IF($C981="Conflict","decide "&amp;$A981&amp;": &lt;which version stands&gt;","decide "&amp;$A981&amp;": &lt;outcome&gt;"),IF($K981="Unconfirmed","confirm "&amp;$A981,""))</f>
        <v/>
      </c>
    </row>
    <row r="982" customFormat="false" ht="15" hidden="false" customHeight="false" outlineLevel="0" collapsed="false">
      <c r="A982" s="24"/>
      <c r="B982" s="27"/>
      <c r="C982" s="28"/>
      <c r="D982" s="24"/>
      <c r="E982" s="24"/>
      <c r="F982" s="24"/>
      <c r="G982" s="28"/>
      <c r="H982" s="28"/>
      <c r="I982" s="24"/>
      <c r="J982" s="24"/>
      <c r="K982" s="29" t="str">
        <f aca="false">IF($A982="","",IF(OR($C982="Decision",$C982="Conflict"),IF(COUNTIFS($I$2:$I$1001,$A982,$C$2:$C$1001,"Resolved")=0,"Open","Closed"),IF(AND($H982="Unconfirmed",OR($C982="New",$C982="Know")),IF(COUNTIFS($I$2:$I$1001,$A982,$C$2:$C$1001,"Confirmed")=0,"Unconfirmed","Confirmed"),"Logged")))</f>
        <v/>
      </c>
      <c r="L982" s="29" t="str">
        <f aca="false">IF($A982="","",AsOf-$B982)</f>
        <v/>
      </c>
      <c r="M982" s="29" t="str">
        <f aca="false">IF($K982="Open",IF($C982="Conflict","Critical",IF($L982&gt;=DecisionCritical,"Critical",IF($L982&gt;=DecisionWarn,"Warning","On track"))),IF($K982="Unconfirmed",IF($L982&gt;=UnconfirmedWarn,"Warning","On track"),""))</f>
        <v/>
      </c>
      <c r="N982" s="29" t="str">
        <f aca="false">IF($M982="","",IF($M982="Critical",3000,IF($M982="Warning",2000,1000))+$L982+ROW()/100000)</f>
        <v/>
      </c>
      <c r="O982" s="29" t="str">
        <f aca="false">IF($K982="Open",IF($C982="Conflict","decide "&amp;$A982&amp;": &lt;which version stands&gt;","decide "&amp;$A982&amp;": &lt;outcome&gt;"),IF($K982="Unconfirmed","confirm "&amp;$A982,""))</f>
        <v/>
      </c>
    </row>
    <row r="983" customFormat="false" ht="15" hidden="false" customHeight="false" outlineLevel="0" collapsed="false">
      <c r="A983" s="24"/>
      <c r="B983" s="27"/>
      <c r="C983" s="28"/>
      <c r="D983" s="24"/>
      <c r="E983" s="24"/>
      <c r="F983" s="24"/>
      <c r="G983" s="28"/>
      <c r="H983" s="28"/>
      <c r="I983" s="24"/>
      <c r="J983" s="24"/>
      <c r="K983" s="29" t="str">
        <f aca="false">IF($A983="","",IF(OR($C983="Decision",$C983="Conflict"),IF(COUNTIFS($I$2:$I$1001,$A983,$C$2:$C$1001,"Resolved")=0,"Open","Closed"),IF(AND($H983="Unconfirmed",OR($C983="New",$C983="Know")),IF(COUNTIFS($I$2:$I$1001,$A983,$C$2:$C$1001,"Confirmed")=0,"Unconfirmed","Confirmed"),"Logged")))</f>
        <v/>
      </c>
      <c r="L983" s="29" t="str">
        <f aca="false">IF($A983="","",AsOf-$B983)</f>
        <v/>
      </c>
      <c r="M983" s="29" t="str">
        <f aca="false">IF($K983="Open",IF($C983="Conflict","Critical",IF($L983&gt;=DecisionCritical,"Critical",IF($L983&gt;=DecisionWarn,"Warning","On track"))),IF($K983="Unconfirmed",IF($L983&gt;=UnconfirmedWarn,"Warning","On track"),""))</f>
        <v/>
      </c>
      <c r="N983" s="29" t="str">
        <f aca="false">IF($M983="","",IF($M983="Critical",3000,IF($M983="Warning",2000,1000))+$L983+ROW()/100000)</f>
        <v/>
      </c>
      <c r="O983" s="29" t="str">
        <f aca="false">IF($K983="Open",IF($C983="Conflict","decide "&amp;$A983&amp;": &lt;which version stands&gt;","decide "&amp;$A983&amp;": &lt;outcome&gt;"),IF($K983="Unconfirmed","confirm "&amp;$A983,""))</f>
        <v/>
      </c>
    </row>
    <row r="984" customFormat="false" ht="15" hidden="false" customHeight="false" outlineLevel="0" collapsed="false">
      <c r="A984" s="24"/>
      <c r="B984" s="27"/>
      <c r="C984" s="28"/>
      <c r="D984" s="24"/>
      <c r="E984" s="24"/>
      <c r="F984" s="24"/>
      <c r="G984" s="28"/>
      <c r="H984" s="28"/>
      <c r="I984" s="24"/>
      <c r="J984" s="24"/>
      <c r="K984" s="29" t="str">
        <f aca="false">IF($A984="","",IF(OR($C984="Decision",$C984="Conflict"),IF(COUNTIFS($I$2:$I$1001,$A984,$C$2:$C$1001,"Resolved")=0,"Open","Closed"),IF(AND($H984="Unconfirmed",OR($C984="New",$C984="Know")),IF(COUNTIFS($I$2:$I$1001,$A984,$C$2:$C$1001,"Confirmed")=0,"Unconfirmed","Confirmed"),"Logged")))</f>
        <v/>
      </c>
      <c r="L984" s="29" t="str">
        <f aca="false">IF($A984="","",AsOf-$B984)</f>
        <v/>
      </c>
      <c r="M984" s="29" t="str">
        <f aca="false">IF($K984="Open",IF($C984="Conflict","Critical",IF($L984&gt;=DecisionCritical,"Critical",IF($L984&gt;=DecisionWarn,"Warning","On track"))),IF($K984="Unconfirmed",IF($L984&gt;=UnconfirmedWarn,"Warning","On track"),""))</f>
        <v/>
      </c>
      <c r="N984" s="29" t="str">
        <f aca="false">IF($M984="","",IF($M984="Critical",3000,IF($M984="Warning",2000,1000))+$L984+ROW()/100000)</f>
        <v/>
      </c>
      <c r="O984" s="29" t="str">
        <f aca="false">IF($K984="Open",IF($C984="Conflict","decide "&amp;$A984&amp;": &lt;which version stands&gt;","decide "&amp;$A984&amp;": &lt;outcome&gt;"),IF($K984="Unconfirmed","confirm "&amp;$A984,""))</f>
        <v/>
      </c>
    </row>
    <row r="985" customFormat="false" ht="15" hidden="false" customHeight="false" outlineLevel="0" collapsed="false">
      <c r="A985" s="24"/>
      <c r="B985" s="27"/>
      <c r="C985" s="28"/>
      <c r="D985" s="24"/>
      <c r="E985" s="24"/>
      <c r="F985" s="24"/>
      <c r="G985" s="28"/>
      <c r="H985" s="28"/>
      <c r="I985" s="24"/>
      <c r="J985" s="24"/>
      <c r="K985" s="29" t="str">
        <f aca="false">IF($A985="","",IF(OR($C985="Decision",$C985="Conflict"),IF(COUNTIFS($I$2:$I$1001,$A985,$C$2:$C$1001,"Resolved")=0,"Open","Closed"),IF(AND($H985="Unconfirmed",OR($C985="New",$C985="Know")),IF(COUNTIFS($I$2:$I$1001,$A985,$C$2:$C$1001,"Confirmed")=0,"Unconfirmed","Confirmed"),"Logged")))</f>
        <v/>
      </c>
      <c r="L985" s="29" t="str">
        <f aca="false">IF($A985="","",AsOf-$B985)</f>
        <v/>
      </c>
      <c r="M985" s="29" t="str">
        <f aca="false">IF($K985="Open",IF($C985="Conflict","Critical",IF($L985&gt;=DecisionCritical,"Critical",IF($L985&gt;=DecisionWarn,"Warning","On track"))),IF($K985="Unconfirmed",IF($L985&gt;=UnconfirmedWarn,"Warning","On track"),""))</f>
        <v/>
      </c>
      <c r="N985" s="29" t="str">
        <f aca="false">IF($M985="","",IF($M985="Critical",3000,IF($M985="Warning",2000,1000))+$L985+ROW()/100000)</f>
        <v/>
      </c>
      <c r="O985" s="29" t="str">
        <f aca="false">IF($K985="Open",IF($C985="Conflict","decide "&amp;$A985&amp;": &lt;which version stands&gt;","decide "&amp;$A985&amp;": &lt;outcome&gt;"),IF($K985="Unconfirmed","confirm "&amp;$A985,""))</f>
        <v/>
      </c>
    </row>
    <row r="986" customFormat="false" ht="15" hidden="false" customHeight="false" outlineLevel="0" collapsed="false">
      <c r="A986" s="24"/>
      <c r="B986" s="27"/>
      <c r="C986" s="28"/>
      <c r="D986" s="24"/>
      <c r="E986" s="24"/>
      <c r="F986" s="24"/>
      <c r="G986" s="28"/>
      <c r="H986" s="28"/>
      <c r="I986" s="24"/>
      <c r="J986" s="24"/>
      <c r="K986" s="29" t="str">
        <f aca="false">IF($A986="","",IF(OR($C986="Decision",$C986="Conflict"),IF(COUNTIFS($I$2:$I$1001,$A986,$C$2:$C$1001,"Resolved")=0,"Open","Closed"),IF(AND($H986="Unconfirmed",OR($C986="New",$C986="Know")),IF(COUNTIFS($I$2:$I$1001,$A986,$C$2:$C$1001,"Confirmed")=0,"Unconfirmed","Confirmed"),"Logged")))</f>
        <v/>
      </c>
      <c r="L986" s="29" t="str">
        <f aca="false">IF($A986="","",AsOf-$B986)</f>
        <v/>
      </c>
      <c r="M986" s="29" t="str">
        <f aca="false">IF($K986="Open",IF($C986="Conflict","Critical",IF($L986&gt;=DecisionCritical,"Critical",IF($L986&gt;=DecisionWarn,"Warning","On track"))),IF($K986="Unconfirmed",IF($L986&gt;=UnconfirmedWarn,"Warning","On track"),""))</f>
        <v/>
      </c>
      <c r="N986" s="29" t="str">
        <f aca="false">IF($M986="","",IF($M986="Critical",3000,IF($M986="Warning",2000,1000))+$L986+ROW()/100000)</f>
        <v/>
      </c>
      <c r="O986" s="29" t="str">
        <f aca="false">IF($K986="Open",IF($C986="Conflict","decide "&amp;$A986&amp;": &lt;which version stands&gt;","decide "&amp;$A986&amp;": &lt;outcome&gt;"),IF($K986="Unconfirmed","confirm "&amp;$A986,""))</f>
        <v/>
      </c>
    </row>
    <row r="987" customFormat="false" ht="15" hidden="false" customHeight="false" outlineLevel="0" collapsed="false">
      <c r="A987" s="24"/>
      <c r="B987" s="27"/>
      <c r="C987" s="28"/>
      <c r="D987" s="24"/>
      <c r="E987" s="24"/>
      <c r="F987" s="24"/>
      <c r="G987" s="28"/>
      <c r="H987" s="28"/>
      <c r="I987" s="24"/>
      <c r="J987" s="24"/>
      <c r="K987" s="29" t="str">
        <f aca="false">IF($A987="","",IF(OR($C987="Decision",$C987="Conflict"),IF(COUNTIFS($I$2:$I$1001,$A987,$C$2:$C$1001,"Resolved")=0,"Open","Closed"),IF(AND($H987="Unconfirmed",OR($C987="New",$C987="Know")),IF(COUNTIFS($I$2:$I$1001,$A987,$C$2:$C$1001,"Confirmed")=0,"Unconfirmed","Confirmed"),"Logged")))</f>
        <v/>
      </c>
      <c r="L987" s="29" t="str">
        <f aca="false">IF($A987="","",AsOf-$B987)</f>
        <v/>
      </c>
      <c r="M987" s="29" t="str">
        <f aca="false">IF($K987="Open",IF($C987="Conflict","Critical",IF($L987&gt;=DecisionCritical,"Critical",IF($L987&gt;=DecisionWarn,"Warning","On track"))),IF($K987="Unconfirmed",IF($L987&gt;=UnconfirmedWarn,"Warning","On track"),""))</f>
        <v/>
      </c>
      <c r="N987" s="29" t="str">
        <f aca="false">IF($M987="","",IF($M987="Critical",3000,IF($M987="Warning",2000,1000))+$L987+ROW()/100000)</f>
        <v/>
      </c>
      <c r="O987" s="29" t="str">
        <f aca="false">IF($K987="Open",IF($C987="Conflict","decide "&amp;$A987&amp;": &lt;which version stands&gt;","decide "&amp;$A987&amp;": &lt;outcome&gt;"),IF($K987="Unconfirmed","confirm "&amp;$A987,""))</f>
        <v/>
      </c>
    </row>
    <row r="988" customFormat="false" ht="15" hidden="false" customHeight="false" outlineLevel="0" collapsed="false">
      <c r="A988" s="24"/>
      <c r="B988" s="27"/>
      <c r="C988" s="28"/>
      <c r="D988" s="24"/>
      <c r="E988" s="24"/>
      <c r="F988" s="24"/>
      <c r="G988" s="28"/>
      <c r="H988" s="28"/>
      <c r="I988" s="24"/>
      <c r="J988" s="24"/>
      <c r="K988" s="29" t="str">
        <f aca="false">IF($A988="","",IF(OR($C988="Decision",$C988="Conflict"),IF(COUNTIFS($I$2:$I$1001,$A988,$C$2:$C$1001,"Resolved")=0,"Open","Closed"),IF(AND($H988="Unconfirmed",OR($C988="New",$C988="Know")),IF(COUNTIFS($I$2:$I$1001,$A988,$C$2:$C$1001,"Confirmed")=0,"Unconfirmed","Confirmed"),"Logged")))</f>
        <v/>
      </c>
      <c r="L988" s="29" t="str">
        <f aca="false">IF($A988="","",AsOf-$B988)</f>
        <v/>
      </c>
      <c r="M988" s="29" t="str">
        <f aca="false">IF($K988="Open",IF($C988="Conflict","Critical",IF($L988&gt;=DecisionCritical,"Critical",IF($L988&gt;=DecisionWarn,"Warning","On track"))),IF($K988="Unconfirmed",IF($L988&gt;=UnconfirmedWarn,"Warning","On track"),""))</f>
        <v/>
      </c>
      <c r="N988" s="29" t="str">
        <f aca="false">IF($M988="","",IF($M988="Critical",3000,IF($M988="Warning",2000,1000))+$L988+ROW()/100000)</f>
        <v/>
      </c>
      <c r="O988" s="29" t="str">
        <f aca="false">IF($K988="Open",IF($C988="Conflict","decide "&amp;$A988&amp;": &lt;which version stands&gt;","decide "&amp;$A988&amp;": &lt;outcome&gt;"),IF($K988="Unconfirmed","confirm "&amp;$A988,""))</f>
        <v/>
      </c>
    </row>
    <row r="989" customFormat="false" ht="15" hidden="false" customHeight="false" outlineLevel="0" collapsed="false">
      <c r="A989" s="24"/>
      <c r="B989" s="27"/>
      <c r="C989" s="28"/>
      <c r="D989" s="24"/>
      <c r="E989" s="24"/>
      <c r="F989" s="24"/>
      <c r="G989" s="28"/>
      <c r="H989" s="28"/>
      <c r="I989" s="24"/>
      <c r="J989" s="24"/>
      <c r="K989" s="29" t="str">
        <f aca="false">IF($A989="","",IF(OR($C989="Decision",$C989="Conflict"),IF(COUNTIFS($I$2:$I$1001,$A989,$C$2:$C$1001,"Resolved")=0,"Open","Closed"),IF(AND($H989="Unconfirmed",OR($C989="New",$C989="Know")),IF(COUNTIFS($I$2:$I$1001,$A989,$C$2:$C$1001,"Confirmed")=0,"Unconfirmed","Confirmed"),"Logged")))</f>
        <v/>
      </c>
      <c r="L989" s="29" t="str">
        <f aca="false">IF($A989="","",AsOf-$B989)</f>
        <v/>
      </c>
      <c r="M989" s="29" t="str">
        <f aca="false">IF($K989="Open",IF($C989="Conflict","Critical",IF($L989&gt;=DecisionCritical,"Critical",IF($L989&gt;=DecisionWarn,"Warning","On track"))),IF($K989="Unconfirmed",IF($L989&gt;=UnconfirmedWarn,"Warning","On track"),""))</f>
        <v/>
      </c>
      <c r="N989" s="29" t="str">
        <f aca="false">IF($M989="","",IF($M989="Critical",3000,IF($M989="Warning",2000,1000))+$L989+ROW()/100000)</f>
        <v/>
      </c>
      <c r="O989" s="29" t="str">
        <f aca="false">IF($K989="Open",IF($C989="Conflict","decide "&amp;$A989&amp;": &lt;which version stands&gt;","decide "&amp;$A989&amp;": &lt;outcome&gt;"),IF($K989="Unconfirmed","confirm "&amp;$A989,""))</f>
        <v/>
      </c>
    </row>
    <row r="990" customFormat="false" ht="15" hidden="false" customHeight="false" outlineLevel="0" collapsed="false">
      <c r="A990" s="24"/>
      <c r="B990" s="27"/>
      <c r="C990" s="28"/>
      <c r="D990" s="24"/>
      <c r="E990" s="24"/>
      <c r="F990" s="24"/>
      <c r="G990" s="28"/>
      <c r="H990" s="28"/>
      <c r="I990" s="24"/>
      <c r="J990" s="24"/>
      <c r="K990" s="29" t="str">
        <f aca="false">IF($A990="","",IF(OR($C990="Decision",$C990="Conflict"),IF(COUNTIFS($I$2:$I$1001,$A990,$C$2:$C$1001,"Resolved")=0,"Open","Closed"),IF(AND($H990="Unconfirmed",OR($C990="New",$C990="Know")),IF(COUNTIFS($I$2:$I$1001,$A990,$C$2:$C$1001,"Confirmed")=0,"Unconfirmed","Confirmed"),"Logged")))</f>
        <v/>
      </c>
      <c r="L990" s="29" t="str">
        <f aca="false">IF($A990="","",AsOf-$B990)</f>
        <v/>
      </c>
      <c r="M990" s="29" t="str">
        <f aca="false">IF($K990="Open",IF($C990="Conflict","Critical",IF($L990&gt;=DecisionCritical,"Critical",IF($L990&gt;=DecisionWarn,"Warning","On track"))),IF($K990="Unconfirmed",IF($L990&gt;=UnconfirmedWarn,"Warning","On track"),""))</f>
        <v/>
      </c>
      <c r="N990" s="29" t="str">
        <f aca="false">IF($M990="","",IF($M990="Critical",3000,IF($M990="Warning",2000,1000))+$L990+ROW()/100000)</f>
        <v/>
      </c>
      <c r="O990" s="29" t="str">
        <f aca="false">IF($K990="Open",IF($C990="Conflict","decide "&amp;$A990&amp;": &lt;which version stands&gt;","decide "&amp;$A990&amp;": &lt;outcome&gt;"),IF($K990="Unconfirmed","confirm "&amp;$A990,""))</f>
        <v/>
      </c>
    </row>
    <row r="991" customFormat="false" ht="15" hidden="false" customHeight="false" outlineLevel="0" collapsed="false">
      <c r="A991" s="24"/>
      <c r="B991" s="27"/>
      <c r="C991" s="28"/>
      <c r="D991" s="24"/>
      <c r="E991" s="24"/>
      <c r="F991" s="24"/>
      <c r="G991" s="28"/>
      <c r="H991" s="28"/>
      <c r="I991" s="24"/>
      <c r="J991" s="24"/>
      <c r="K991" s="29" t="str">
        <f aca="false">IF($A991="","",IF(OR($C991="Decision",$C991="Conflict"),IF(COUNTIFS($I$2:$I$1001,$A991,$C$2:$C$1001,"Resolved")=0,"Open","Closed"),IF(AND($H991="Unconfirmed",OR($C991="New",$C991="Know")),IF(COUNTIFS($I$2:$I$1001,$A991,$C$2:$C$1001,"Confirmed")=0,"Unconfirmed","Confirmed"),"Logged")))</f>
        <v/>
      </c>
      <c r="L991" s="29" t="str">
        <f aca="false">IF($A991="","",AsOf-$B991)</f>
        <v/>
      </c>
      <c r="M991" s="29" t="str">
        <f aca="false">IF($K991="Open",IF($C991="Conflict","Critical",IF($L991&gt;=DecisionCritical,"Critical",IF($L991&gt;=DecisionWarn,"Warning","On track"))),IF($K991="Unconfirmed",IF($L991&gt;=UnconfirmedWarn,"Warning","On track"),""))</f>
        <v/>
      </c>
      <c r="N991" s="29" t="str">
        <f aca="false">IF($M991="","",IF($M991="Critical",3000,IF($M991="Warning",2000,1000))+$L991+ROW()/100000)</f>
        <v/>
      </c>
      <c r="O991" s="29" t="str">
        <f aca="false">IF($K991="Open",IF($C991="Conflict","decide "&amp;$A991&amp;": &lt;which version stands&gt;","decide "&amp;$A991&amp;": &lt;outcome&gt;"),IF($K991="Unconfirmed","confirm "&amp;$A991,""))</f>
        <v/>
      </c>
    </row>
    <row r="992" customFormat="false" ht="15" hidden="false" customHeight="false" outlineLevel="0" collapsed="false">
      <c r="A992" s="24"/>
      <c r="B992" s="27"/>
      <c r="C992" s="28"/>
      <c r="D992" s="24"/>
      <c r="E992" s="24"/>
      <c r="F992" s="24"/>
      <c r="G992" s="28"/>
      <c r="H992" s="28"/>
      <c r="I992" s="24"/>
      <c r="J992" s="24"/>
      <c r="K992" s="29" t="str">
        <f aca="false">IF($A992="","",IF(OR($C992="Decision",$C992="Conflict"),IF(COUNTIFS($I$2:$I$1001,$A992,$C$2:$C$1001,"Resolved")=0,"Open","Closed"),IF(AND($H992="Unconfirmed",OR($C992="New",$C992="Know")),IF(COUNTIFS($I$2:$I$1001,$A992,$C$2:$C$1001,"Confirmed")=0,"Unconfirmed","Confirmed"),"Logged")))</f>
        <v/>
      </c>
      <c r="L992" s="29" t="str">
        <f aca="false">IF($A992="","",AsOf-$B992)</f>
        <v/>
      </c>
      <c r="M992" s="29" t="str">
        <f aca="false">IF($K992="Open",IF($C992="Conflict","Critical",IF($L992&gt;=DecisionCritical,"Critical",IF($L992&gt;=DecisionWarn,"Warning","On track"))),IF($K992="Unconfirmed",IF($L992&gt;=UnconfirmedWarn,"Warning","On track"),""))</f>
        <v/>
      </c>
      <c r="N992" s="29" t="str">
        <f aca="false">IF($M992="","",IF($M992="Critical",3000,IF($M992="Warning",2000,1000))+$L992+ROW()/100000)</f>
        <v/>
      </c>
      <c r="O992" s="29" t="str">
        <f aca="false">IF($K992="Open",IF($C992="Conflict","decide "&amp;$A992&amp;": &lt;which version stands&gt;","decide "&amp;$A992&amp;": &lt;outcome&gt;"),IF($K992="Unconfirmed","confirm "&amp;$A992,""))</f>
        <v/>
      </c>
    </row>
    <row r="993" customFormat="false" ht="15" hidden="false" customHeight="false" outlineLevel="0" collapsed="false">
      <c r="A993" s="24"/>
      <c r="B993" s="27"/>
      <c r="C993" s="28"/>
      <c r="D993" s="24"/>
      <c r="E993" s="24"/>
      <c r="F993" s="24"/>
      <c r="G993" s="28"/>
      <c r="H993" s="28"/>
      <c r="I993" s="24"/>
      <c r="J993" s="24"/>
      <c r="K993" s="29" t="str">
        <f aca="false">IF($A993="","",IF(OR($C993="Decision",$C993="Conflict"),IF(COUNTIFS($I$2:$I$1001,$A993,$C$2:$C$1001,"Resolved")=0,"Open","Closed"),IF(AND($H993="Unconfirmed",OR($C993="New",$C993="Know")),IF(COUNTIFS($I$2:$I$1001,$A993,$C$2:$C$1001,"Confirmed")=0,"Unconfirmed","Confirmed"),"Logged")))</f>
        <v/>
      </c>
      <c r="L993" s="29" t="str">
        <f aca="false">IF($A993="","",AsOf-$B993)</f>
        <v/>
      </c>
      <c r="M993" s="29" t="str">
        <f aca="false">IF($K993="Open",IF($C993="Conflict","Critical",IF($L993&gt;=DecisionCritical,"Critical",IF($L993&gt;=DecisionWarn,"Warning","On track"))),IF($K993="Unconfirmed",IF($L993&gt;=UnconfirmedWarn,"Warning","On track"),""))</f>
        <v/>
      </c>
      <c r="N993" s="29" t="str">
        <f aca="false">IF($M993="","",IF($M993="Critical",3000,IF($M993="Warning",2000,1000))+$L993+ROW()/100000)</f>
        <v/>
      </c>
      <c r="O993" s="29" t="str">
        <f aca="false">IF($K993="Open",IF($C993="Conflict","decide "&amp;$A993&amp;": &lt;which version stands&gt;","decide "&amp;$A993&amp;": &lt;outcome&gt;"),IF($K993="Unconfirmed","confirm "&amp;$A993,""))</f>
        <v/>
      </c>
    </row>
    <row r="994" customFormat="false" ht="15" hidden="false" customHeight="false" outlineLevel="0" collapsed="false">
      <c r="A994" s="24"/>
      <c r="B994" s="27"/>
      <c r="C994" s="28"/>
      <c r="D994" s="24"/>
      <c r="E994" s="24"/>
      <c r="F994" s="24"/>
      <c r="G994" s="28"/>
      <c r="H994" s="28"/>
      <c r="I994" s="24"/>
      <c r="J994" s="24"/>
      <c r="K994" s="29" t="str">
        <f aca="false">IF($A994="","",IF(OR($C994="Decision",$C994="Conflict"),IF(COUNTIFS($I$2:$I$1001,$A994,$C$2:$C$1001,"Resolved")=0,"Open","Closed"),IF(AND($H994="Unconfirmed",OR($C994="New",$C994="Know")),IF(COUNTIFS($I$2:$I$1001,$A994,$C$2:$C$1001,"Confirmed")=0,"Unconfirmed","Confirmed"),"Logged")))</f>
        <v/>
      </c>
      <c r="L994" s="29" t="str">
        <f aca="false">IF($A994="","",AsOf-$B994)</f>
        <v/>
      </c>
      <c r="M994" s="29" t="str">
        <f aca="false">IF($K994="Open",IF($C994="Conflict","Critical",IF($L994&gt;=DecisionCritical,"Critical",IF($L994&gt;=DecisionWarn,"Warning","On track"))),IF($K994="Unconfirmed",IF($L994&gt;=UnconfirmedWarn,"Warning","On track"),""))</f>
        <v/>
      </c>
      <c r="N994" s="29" t="str">
        <f aca="false">IF($M994="","",IF($M994="Critical",3000,IF($M994="Warning",2000,1000))+$L994+ROW()/100000)</f>
        <v/>
      </c>
      <c r="O994" s="29" t="str">
        <f aca="false">IF($K994="Open",IF($C994="Conflict","decide "&amp;$A994&amp;": &lt;which version stands&gt;","decide "&amp;$A994&amp;": &lt;outcome&gt;"),IF($K994="Unconfirmed","confirm "&amp;$A994,""))</f>
        <v/>
      </c>
    </row>
    <row r="995" customFormat="false" ht="15" hidden="false" customHeight="false" outlineLevel="0" collapsed="false">
      <c r="A995" s="24"/>
      <c r="B995" s="27"/>
      <c r="C995" s="28"/>
      <c r="D995" s="24"/>
      <c r="E995" s="24"/>
      <c r="F995" s="24"/>
      <c r="G995" s="28"/>
      <c r="H995" s="28"/>
      <c r="I995" s="24"/>
      <c r="J995" s="24"/>
      <c r="K995" s="29" t="str">
        <f aca="false">IF($A995="","",IF(OR($C995="Decision",$C995="Conflict"),IF(COUNTIFS($I$2:$I$1001,$A995,$C$2:$C$1001,"Resolved")=0,"Open","Closed"),IF(AND($H995="Unconfirmed",OR($C995="New",$C995="Know")),IF(COUNTIFS($I$2:$I$1001,$A995,$C$2:$C$1001,"Confirmed")=0,"Unconfirmed","Confirmed"),"Logged")))</f>
        <v/>
      </c>
      <c r="L995" s="29" t="str">
        <f aca="false">IF($A995="","",AsOf-$B995)</f>
        <v/>
      </c>
      <c r="M995" s="29" t="str">
        <f aca="false">IF($K995="Open",IF($C995="Conflict","Critical",IF($L995&gt;=DecisionCritical,"Critical",IF($L995&gt;=DecisionWarn,"Warning","On track"))),IF($K995="Unconfirmed",IF($L995&gt;=UnconfirmedWarn,"Warning","On track"),""))</f>
        <v/>
      </c>
      <c r="N995" s="29" t="str">
        <f aca="false">IF($M995="","",IF($M995="Critical",3000,IF($M995="Warning",2000,1000))+$L995+ROW()/100000)</f>
        <v/>
      </c>
      <c r="O995" s="29" t="str">
        <f aca="false">IF($K995="Open",IF($C995="Conflict","decide "&amp;$A995&amp;": &lt;which version stands&gt;","decide "&amp;$A995&amp;": &lt;outcome&gt;"),IF($K995="Unconfirmed","confirm "&amp;$A995,""))</f>
        <v/>
      </c>
    </row>
    <row r="996" customFormat="false" ht="15" hidden="false" customHeight="false" outlineLevel="0" collapsed="false">
      <c r="A996" s="24"/>
      <c r="B996" s="27"/>
      <c r="C996" s="28"/>
      <c r="D996" s="24"/>
      <c r="E996" s="24"/>
      <c r="F996" s="24"/>
      <c r="G996" s="28"/>
      <c r="H996" s="28"/>
      <c r="I996" s="24"/>
      <c r="J996" s="24"/>
      <c r="K996" s="29" t="str">
        <f aca="false">IF($A996="","",IF(OR($C996="Decision",$C996="Conflict"),IF(COUNTIFS($I$2:$I$1001,$A996,$C$2:$C$1001,"Resolved")=0,"Open","Closed"),IF(AND($H996="Unconfirmed",OR($C996="New",$C996="Know")),IF(COUNTIFS($I$2:$I$1001,$A996,$C$2:$C$1001,"Confirmed")=0,"Unconfirmed","Confirmed"),"Logged")))</f>
        <v/>
      </c>
      <c r="L996" s="29" t="str">
        <f aca="false">IF($A996="","",AsOf-$B996)</f>
        <v/>
      </c>
      <c r="M996" s="29" t="str">
        <f aca="false">IF($K996="Open",IF($C996="Conflict","Critical",IF($L996&gt;=DecisionCritical,"Critical",IF($L996&gt;=DecisionWarn,"Warning","On track"))),IF($K996="Unconfirmed",IF($L996&gt;=UnconfirmedWarn,"Warning","On track"),""))</f>
        <v/>
      </c>
      <c r="N996" s="29" t="str">
        <f aca="false">IF($M996="","",IF($M996="Critical",3000,IF($M996="Warning",2000,1000))+$L996+ROW()/100000)</f>
        <v/>
      </c>
      <c r="O996" s="29" t="str">
        <f aca="false">IF($K996="Open",IF($C996="Conflict","decide "&amp;$A996&amp;": &lt;which version stands&gt;","decide "&amp;$A996&amp;": &lt;outcome&gt;"),IF($K996="Unconfirmed","confirm "&amp;$A996,""))</f>
        <v/>
      </c>
    </row>
    <row r="997" customFormat="false" ht="15" hidden="false" customHeight="false" outlineLevel="0" collapsed="false">
      <c r="A997" s="24"/>
      <c r="B997" s="27"/>
      <c r="C997" s="28"/>
      <c r="D997" s="24"/>
      <c r="E997" s="24"/>
      <c r="F997" s="24"/>
      <c r="G997" s="28"/>
      <c r="H997" s="28"/>
      <c r="I997" s="24"/>
      <c r="J997" s="24"/>
      <c r="K997" s="29" t="str">
        <f aca="false">IF($A997="","",IF(OR($C997="Decision",$C997="Conflict"),IF(COUNTIFS($I$2:$I$1001,$A997,$C$2:$C$1001,"Resolved")=0,"Open","Closed"),IF(AND($H997="Unconfirmed",OR($C997="New",$C997="Know")),IF(COUNTIFS($I$2:$I$1001,$A997,$C$2:$C$1001,"Confirmed")=0,"Unconfirmed","Confirmed"),"Logged")))</f>
        <v/>
      </c>
      <c r="L997" s="29" t="str">
        <f aca="false">IF($A997="","",AsOf-$B997)</f>
        <v/>
      </c>
      <c r="M997" s="29" t="str">
        <f aca="false">IF($K997="Open",IF($C997="Conflict","Critical",IF($L997&gt;=DecisionCritical,"Critical",IF($L997&gt;=DecisionWarn,"Warning","On track"))),IF($K997="Unconfirmed",IF($L997&gt;=UnconfirmedWarn,"Warning","On track"),""))</f>
        <v/>
      </c>
      <c r="N997" s="29" t="str">
        <f aca="false">IF($M997="","",IF($M997="Critical",3000,IF($M997="Warning",2000,1000))+$L997+ROW()/100000)</f>
        <v/>
      </c>
      <c r="O997" s="29" t="str">
        <f aca="false">IF($K997="Open",IF($C997="Conflict","decide "&amp;$A997&amp;": &lt;which version stands&gt;","decide "&amp;$A997&amp;": &lt;outcome&gt;"),IF($K997="Unconfirmed","confirm "&amp;$A997,""))</f>
        <v/>
      </c>
    </row>
    <row r="998" customFormat="false" ht="15" hidden="false" customHeight="false" outlineLevel="0" collapsed="false">
      <c r="A998" s="24"/>
      <c r="B998" s="27"/>
      <c r="C998" s="28"/>
      <c r="D998" s="24"/>
      <c r="E998" s="24"/>
      <c r="F998" s="24"/>
      <c r="G998" s="28"/>
      <c r="H998" s="28"/>
      <c r="I998" s="24"/>
      <c r="J998" s="24"/>
      <c r="K998" s="29" t="str">
        <f aca="false">IF($A998="","",IF(OR($C998="Decision",$C998="Conflict"),IF(COUNTIFS($I$2:$I$1001,$A998,$C$2:$C$1001,"Resolved")=0,"Open","Closed"),IF(AND($H998="Unconfirmed",OR($C998="New",$C998="Know")),IF(COUNTIFS($I$2:$I$1001,$A998,$C$2:$C$1001,"Confirmed")=0,"Unconfirmed","Confirmed"),"Logged")))</f>
        <v/>
      </c>
      <c r="L998" s="29" t="str">
        <f aca="false">IF($A998="","",AsOf-$B998)</f>
        <v/>
      </c>
      <c r="M998" s="29" t="str">
        <f aca="false">IF($K998="Open",IF($C998="Conflict","Critical",IF($L998&gt;=DecisionCritical,"Critical",IF($L998&gt;=DecisionWarn,"Warning","On track"))),IF($K998="Unconfirmed",IF($L998&gt;=UnconfirmedWarn,"Warning","On track"),""))</f>
        <v/>
      </c>
      <c r="N998" s="29" t="str">
        <f aca="false">IF($M998="","",IF($M998="Critical",3000,IF($M998="Warning",2000,1000))+$L998+ROW()/100000)</f>
        <v/>
      </c>
      <c r="O998" s="29" t="str">
        <f aca="false">IF($K998="Open",IF($C998="Conflict","decide "&amp;$A998&amp;": &lt;which version stands&gt;","decide "&amp;$A998&amp;": &lt;outcome&gt;"),IF($K998="Unconfirmed","confirm "&amp;$A998,""))</f>
        <v/>
      </c>
    </row>
    <row r="999" customFormat="false" ht="15" hidden="false" customHeight="false" outlineLevel="0" collapsed="false">
      <c r="A999" s="24"/>
      <c r="B999" s="27"/>
      <c r="C999" s="28"/>
      <c r="D999" s="24"/>
      <c r="E999" s="24"/>
      <c r="F999" s="24"/>
      <c r="G999" s="28"/>
      <c r="H999" s="28"/>
      <c r="I999" s="24"/>
      <c r="J999" s="24"/>
      <c r="K999" s="29" t="str">
        <f aca="false">IF($A999="","",IF(OR($C999="Decision",$C999="Conflict"),IF(COUNTIFS($I$2:$I$1001,$A999,$C$2:$C$1001,"Resolved")=0,"Open","Closed"),IF(AND($H999="Unconfirmed",OR($C999="New",$C999="Know")),IF(COUNTIFS($I$2:$I$1001,$A999,$C$2:$C$1001,"Confirmed")=0,"Unconfirmed","Confirmed"),"Logged")))</f>
        <v/>
      </c>
      <c r="L999" s="29" t="str">
        <f aca="false">IF($A999="","",AsOf-$B999)</f>
        <v/>
      </c>
      <c r="M999" s="29" t="str">
        <f aca="false">IF($K999="Open",IF($C999="Conflict","Critical",IF($L999&gt;=DecisionCritical,"Critical",IF($L999&gt;=DecisionWarn,"Warning","On track"))),IF($K999="Unconfirmed",IF($L999&gt;=UnconfirmedWarn,"Warning","On track"),""))</f>
        <v/>
      </c>
      <c r="N999" s="29" t="str">
        <f aca="false">IF($M999="","",IF($M999="Critical",3000,IF($M999="Warning",2000,1000))+$L999+ROW()/100000)</f>
        <v/>
      </c>
      <c r="O999" s="29" t="str">
        <f aca="false">IF($K999="Open",IF($C999="Conflict","decide "&amp;$A999&amp;": &lt;which version stands&gt;","decide "&amp;$A999&amp;": &lt;outcome&gt;"),IF($K999="Unconfirmed","confirm "&amp;$A999,""))</f>
        <v/>
      </c>
    </row>
    <row r="1000" customFormat="false" ht="15" hidden="false" customHeight="false" outlineLevel="0" collapsed="false">
      <c r="A1000" s="24"/>
      <c r="B1000" s="27"/>
      <c r="C1000" s="28"/>
      <c r="D1000" s="24"/>
      <c r="E1000" s="24"/>
      <c r="F1000" s="24"/>
      <c r="G1000" s="28"/>
      <c r="H1000" s="28"/>
      <c r="I1000" s="24"/>
      <c r="J1000" s="24"/>
      <c r="K1000" s="29" t="str">
        <f aca="false">IF($A1000="","",IF(OR($C1000="Decision",$C1000="Conflict"),IF(COUNTIFS($I$2:$I$1001,$A1000,$C$2:$C$1001,"Resolved")=0,"Open","Closed"),IF(AND($H1000="Unconfirmed",OR($C1000="New",$C1000="Know")),IF(COUNTIFS($I$2:$I$1001,$A1000,$C$2:$C$1001,"Confirmed")=0,"Unconfirmed","Confirmed"),"Logged")))</f>
        <v/>
      </c>
      <c r="L1000" s="29" t="str">
        <f aca="false">IF($A1000="","",AsOf-$B1000)</f>
        <v/>
      </c>
      <c r="M1000" s="29" t="str">
        <f aca="false">IF($K1000="Open",IF($C1000="Conflict","Critical",IF($L1000&gt;=DecisionCritical,"Critical",IF($L1000&gt;=DecisionWarn,"Warning","On track"))),IF($K1000="Unconfirmed",IF($L1000&gt;=UnconfirmedWarn,"Warning","On track"),""))</f>
        <v/>
      </c>
      <c r="N1000" s="29" t="str">
        <f aca="false">IF($M1000="","",IF($M1000="Critical",3000,IF($M1000="Warning",2000,1000))+$L1000+ROW()/100000)</f>
        <v/>
      </c>
      <c r="O1000" s="29" t="str">
        <f aca="false">IF($K1000="Open",IF($C1000="Conflict","decide "&amp;$A1000&amp;": &lt;which version stands&gt;","decide "&amp;$A1000&amp;": &lt;outcome&gt;"),IF($K1000="Unconfirmed","confirm "&amp;$A1000,""))</f>
        <v/>
      </c>
    </row>
    <row r="1001" customFormat="false" ht="15" hidden="false" customHeight="false" outlineLevel="0" collapsed="false">
      <c r="A1001" s="24"/>
      <c r="B1001" s="27"/>
      <c r="C1001" s="28"/>
      <c r="D1001" s="24"/>
      <c r="E1001" s="24"/>
      <c r="F1001" s="24"/>
      <c r="G1001" s="28"/>
      <c r="H1001" s="28"/>
      <c r="I1001" s="24"/>
      <c r="J1001" s="24"/>
      <c r="K1001" s="29" t="str">
        <f aca="false">IF($A1001="","",IF(OR($C1001="Decision",$C1001="Conflict"),IF(COUNTIFS($I$2:$I$1001,$A1001,$C$2:$C$1001,"Resolved")=0,"Open","Closed"),IF(AND($H1001="Unconfirmed",OR($C1001="New",$C1001="Know")),IF(COUNTIFS($I$2:$I$1001,$A1001,$C$2:$C$1001,"Confirmed")=0,"Unconfirmed","Confirmed"),"Logged")))</f>
        <v/>
      </c>
      <c r="L1001" s="29" t="str">
        <f aca="false">IF($A1001="","",AsOf-$B1001)</f>
        <v/>
      </c>
      <c r="M1001" s="29" t="str">
        <f aca="false">IF($K1001="Open",IF($C1001="Conflict","Critical",IF($L1001&gt;=DecisionCritical,"Critical",IF($L1001&gt;=DecisionWarn,"Warning","On track"))),IF($K1001="Unconfirmed",IF($L1001&gt;=UnconfirmedWarn,"Warning","On track"),""))</f>
        <v/>
      </c>
      <c r="N1001" s="29" t="str">
        <f aca="false">IF($M1001="","",IF($M1001="Critical",3000,IF($M1001="Warning",2000,1000))+$L1001+ROW()/100000)</f>
        <v/>
      </c>
      <c r="O1001" s="29" t="str">
        <f aca="false">IF($K1001="Open",IF($C1001="Conflict","decide "&amp;$A1001&amp;": &lt;which version stands&gt;","decide "&amp;$A1001&amp;": &lt;outcome&gt;"),IF($K1001="Unconfirmed","confirm "&amp;$A1001,""))</f>
        <v/>
      </c>
    </row>
  </sheetData>
  <autoFilter ref="A1:O1001"/>
  <conditionalFormatting sqref="M2:M1001">
    <cfRule type="cellIs" priority="2" operator="equal" aboveAverage="0" equalAverage="0" bottom="0" percent="0" rank="0" text="" dxfId="1">
      <formula>"Critical"</formula>
    </cfRule>
    <cfRule type="cellIs" priority="3" operator="equal" aboveAverage="0" equalAverage="0" bottom="0" percent="0" rank="0" text="" dxfId="2">
      <formula>"Warning"</formula>
    </cfRule>
    <cfRule type="cellIs" priority="4" operator="equal" aboveAverage="0" equalAverage="0" bottom="0" percent="0" rank="0" text="" dxfId="3">
      <formula>"On track"</formula>
    </cfRule>
  </conditionalFormatting>
  <dataValidations count="3">
    <dataValidation allowBlank="true" error="Pick one of: New, Know, Decision, Conflict, Confirmed, Resolved" errorStyle="stop" errorTitle="Not on the list" operator="between" showDropDown="false" showErrorMessage="true" showInputMessage="false" sqref="C2:C1001" type="list">
      <formula1>"New,Know,Decision,Conflict,Confirmed,Resolved"</formula1>
      <formula2>0</formula2>
    </dataValidation>
    <dataValidation allowBlank="true" error="Pick one of: Meeting, Email, Teams, Call, Document, Jira, Session" errorStyle="stop" errorTitle="Not on the list" operator="between" showDropDown="false" showErrorMessage="true" showInputMessage="false" sqref="G2:G1001" type="list">
      <formula1>"Meeting,Email,Teams,Call,Document,Jira,Session"</formula1>
      <formula2>0</formula2>
    </dataValidation>
    <dataValidation allowBlank="true" error="Pick one of: Confirmed, Unconfirmed" errorStyle="stop" errorTitle="Not on the list" operator="between" showDropDown="false" showErrorMessage="true" showInputMessage="false" sqref="H2:H1001" type="list">
      <formula1>"Confirmed,Unconfirmed"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T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9" min="7" style="0" width="11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7" min="17" style="0" width="34"/>
    <col collapsed="false" customWidth="true" hidden="false" outlineLevel="0" max="18" min="18" style="0" width="10"/>
    <col collapsed="false" customWidth="true" hidden="false" outlineLevel="0" max="19" min="19" style="0" width="30"/>
    <col collapsed="false" customWidth="true" hidden="false" outlineLevel="0" max="20" min="20" style="0" width="7"/>
  </cols>
  <sheetData>
    <row r="1" customFormat="false" ht="27.75" hidden="false" customHeight="true" outlineLevel="0" collapsed="false">
      <c r="A1" s="25" t="s">
        <v>19</v>
      </c>
      <c r="B1" s="25" t="s">
        <v>12</v>
      </c>
      <c r="C1" s="25" t="s">
        <v>55</v>
      </c>
      <c r="D1" s="25" t="s">
        <v>10</v>
      </c>
      <c r="E1" s="25" t="s">
        <v>56</v>
      </c>
      <c r="F1" s="25" t="s">
        <v>21</v>
      </c>
      <c r="G1" s="25" t="s">
        <v>57</v>
      </c>
      <c r="H1" s="25" t="s">
        <v>58</v>
      </c>
      <c r="I1" s="25" t="s">
        <v>59</v>
      </c>
      <c r="J1" s="25" t="s">
        <v>60</v>
      </c>
      <c r="K1" s="25" t="s">
        <v>61</v>
      </c>
      <c r="L1" s="25" t="s">
        <v>11</v>
      </c>
      <c r="M1" s="26" t="s">
        <v>20</v>
      </c>
      <c r="N1" s="26" t="s">
        <v>62</v>
      </c>
      <c r="O1" s="26" t="s">
        <v>29</v>
      </c>
      <c r="P1" s="26" t="s">
        <v>23</v>
      </c>
      <c r="Q1" s="26" t="s">
        <v>24</v>
      </c>
      <c r="R1" s="26" t="s">
        <v>54</v>
      </c>
      <c r="S1" s="26" t="s">
        <v>16</v>
      </c>
      <c r="T1" s="26" t="s">
        <v>63</v>
      </c>
    </row>
    <row r="2" customFormat="false" ht="15" hidden="false" customHeight="false" outlineLevel="0" collapsed="false">
      <c r="A2" s="24"/>
      <c r="B2" s="24"/>
      <c r="C2" s="24"/>
      <c r="D2" s="24"/>
      <c r="E2" s="24"/>
      <c r="F2" s="24"/>
      <c r="G2" s="27"/>
      <c r="H2" s="27"/>
      <c r="I2" s="27"/>
      <c r="J2" s="24"/>
      <c r="K2" s="24"/>
      <c r="L2" s="24"/>
      <c r="M2" s="29" t="str">
        <f aca="false">IF($A2="","",IFERROR(INDEX(MapStage,MATCH($C2,MapStatus,0)),"Unmapped"))</f>
        <v/>
      </c>
      <c r="N2" s="29" t="str">
        <f aca="false">IF($A2="","",AsOf-$H2)</f>
        <v/>
      </c>
      <c r="O2" s="29" t="str">
        <f aca="false">IF(OR($M2="",$M2="Closed",$M2="Unmapped"),"",INDEX(StageStale,MATCH($M2,StageName,0)))</f>
        <v/>
      </c>
      <c r="P2" s="29" t="str">
        <f aca="false">IF($A2="","",IF($M2="Closed","Closed",IF($J2="Y","Critical",IF(AND($I2&lt;&gt;"",$I2&lt;AsOf),"Critical",IF($M2="Unmapped","Warning",IF($N2&gt;2*$O2,"Critical",IF($N2&gt;$O2,"Warning","On track")))))))</f>
        <v/>
      </c>
      <c r="Q2" s="29" t="str">
        <f aca="false">IF(OR($P2="",$P2="Closed",$P2="On track"),"",IF($J2="Y","Flagged as an impediment",IF(AND($I2&lt;&gt;"",$I2&lt;AsOf),"Past due since "&amp;TEXT($I2,"yyyy-mm-dd"),IF($M2="Unmapped","Status '"&amp;$C2&amp;"' is not in the Config map","No update in "&amp;$N2&amp;" days (limit "&amp;$O2&amp;")"))))</f>
        <v/>
      </c>
      <c r="R2" s="29" t="str">
        <f aca="false">IF(OR($P2="",$P2="Closed",$P2="On track"),"",IF($P2="Critical",3000,2000)+$N2+ROW()/100000)</f>
        <v/>
      </c>
      <c r="S2" s="29" t="str">
        <f aca="false">IF($R2="","","draft Jira update for "&amp;$A2)</f>
        <v/>
      </c>
      <c r="T2" s="29" t="str">
        <f aca="false">IF($A2="","",HYPERLINK(JiraSite&amp;"/browse/"&amp;$A2,"open"))</f>
        <v/>
      </c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7"/>
      <c r="H3" s="27"/>
      <c r="I3" s="27"/>
      <c r="J3" s="24"/>
      <c r="K3" s="24"/>
      <c r="L3" s="24"/>
      <c r="M3" s="29" t="str">
        <f aca="false">IF($A3="","",IFERROR(INDEX(MapStage,MATCH($C3,MapStatus,0)),"Unmapped"))</f>
        <v/>
      </c>
      <c r="N3" s="29" t="str">
        <f aca="false">IF($A3="","",AsOf-$H3)</f>
        <v/>
      </c>
      <c r="O3" s="29" t="str">
        <f aca="false">IF(OR($M3="",$M3="Closed",$M3="Unmapped"),"",INDEX(StageStale,MATCH($M3,StageName,0)))</f>
        <v/>
      </c>
      <c r="P3" s="29" t="str">
        <f aca="false">IF($A3="","",IF($M3="Closed","Closed",IF($J3="Y","Critical",IF(AND($I3&lt;&gt;"",$I3&lt;AsOf),"Critical",IF($M3="Unmapped","Warning",IF($N3&gt;2*$O3,"Critical",IF($N3&gt;$O3,"Warning","On track")))))))</f>
        <v/>
      </c>
      <c r="Q3" s="29" t="str">
        <f aca="false">IF(OR($P3="",$P3="Closed",$P3="On track"),"",IF($J3="Y","Flagged as an impediment",IF(AND($I3&lt;&gt;"",$I3&lt;AsOf),"Past due since "&amp;TEXT($I3,"yyyy-mm-dd"),IF($M3="Unmapped","Status '"&amp;$C3&amp;"' is not in the Config map","No update in "&amp;$N3&amp;" days (limit "&amp;$O3&amp;")"))))</f>
        <v/>
      </c>
      <c r="R3" s="29" t="str">
        <f aca="false">IF(OR($P3="",$P3="Closed",$P3="On track"),"",IF($P3="Critical",3000,2000)+$N3+ROW()/100000)</f>
        <v/>
      </c>
      <c r="S3" s="29" t="str">
        <f aca="false">IF($R3="","","draft Jira update for "&amp;$A3)</f>
        <v/>
      </c>
      <c r="T3" s="29" t="str">
        <f aca="false">IF($A3="","",HYPERLINK(JiraSite&amp;"/browse/"&amp;$A3,"open"))</f>
        <v/>
      </c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7"/>
      <c r="H4" s="27"/>
      <c r="I4" s="27"/>
      <c r="J4" s="24"/>
      <c r="K4" s="24"/>
      <c r="L4" s="24"/>
      <c r="M4" s="29" t="str">
        <f aca="false">IF($A4="","",IFERROR(INDEX(MapStage,MATCH($C4,MapStatus,0)),"Unmapped"))</f>
        <v/>
      </c>
      <c r="N4" s="29" t="str">
        <f aca="false">IF($A4="","",AsOf-$H4)</f>
        <v/>
      </c>
      <c r="O4" s="29" t="str">
        <f aca="false">IF(OR($M4="",$M4="Closed",$M4="Unmapped"),"",INDEX(StageStale,MATCH($M4,StageName,0)))</f>
        <v/>
      </c>
      <c r="P4" s="29" t="str">
        <f aca="false">IF($A4="","",IF($M4="Closed","Closed",IF($J4="Y","Critical",IF(AND($I4&lt;&gt;"",$I4&lt;AsOf),"Critical",IF($M4="Unmapped","Warning",IF($N4&gt;2*$O4,"Critical",IF($N4&gt;$O4,"Warning","On track")))))))</f>
        <v/>
      </c>
      <c r="Q4" s="29" t="str">
        <f aca="false">IF(OR($P4="",$P4="Closed",$P4="On track"),"",IF($J4="Y","Flagged as an impediment",IF(AND($I4&lt;&gt;"",$I4&lt;AsOf),"Past due since "&amp;TEXT($I4,"yyyy-mm-dd"),IF($M4="Unmapped","Status '"&amp;$C4&amp;"' is not in the Config map","No update in "&amp;$N4&amp;" days (limit "&amp;$O4&amp;")"))))</f>
        <v/>
      </c>
      <c r="R4" s="29" t="str">
        <f aca="false">IF(OR($P4="",$P4="Closed",$P4="On track"),"",IF($P4="Critical",3000,2000)+$N4+ROW()/100000)</f>
        <v/>
      </c>
      <c r="S4" s="29" t="str">
        <f aca="false">IF($R4="","","draft Jira update for "&amp;$A4)</f>
        <v/>
      </c>
      <c r="T4" s="29" t="str">
        <f aca="false">IF($A4="","",HYPERLINK(JiraSite&amp;"/browse/"&amp;$A4,"open"))</f>
        <v/>
      </c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7"/>
      <c r="H5" s="27"/>
      <c r="I5" s="27"/>
      <c r="J5" s="24"/>
      <c r="K5" s="24"/>
      <c r="L5" s="24"/>
      <c r="M5" s="29" t="str">
        <f aca="false">IF($A5="","",IFERROR(INDEX(MapStage,MATCH($C5,MapStatus,0)),"Unmapped"))</f>
        <v/>
      </c>
      <c r="N5" s="29" t="str">
        <f aca="false">IF($A5="","",AsOf-$H5)</f>
        <v/>
      </c>
      <c r="O5" s="29" t="str">
        <f aca="false">IF(OR($M5="",$M5="Closed",$M5="Unmapped"),"",INDEX(StageStale,MATCH($M5,StageName,0)))</f>
        <v/>
      </c>
      <c r="P5" s="29" t="str">
        <f aca="false">IF($A5="","",IF($M5="Closed","Closed",IF($J5="Y","Critical",IF(AND($I5&lt;&gt;"",$I5&lt;AsOf),"Critical",IF($M5="Unmapped","Warning",IF($N5&gt;2*$O5,"Critical",IF($N5&gt;$O5,"Warning","On track")))))))</f>
        <v/>
      </c>
      <c r="Q5" s="29" t="str">
        <f aca="false">IF(OR($P5="",$P5="Closed",$P5="On track"),"",IF($J5="Y","Flagged as an impediment",IF(AND($I5&lt;&gt;"",$I5&lt;AsOf),"Past due since "&amp;TEXT($I5,"yyyy-mm-dd"),IF($M5="Unmapped","Status '"&amp;$C5&amp;"' is not in the Config map","No update in "&amp;$N5&amp;" days (limit "&amp;$O5&amp;")"))))</f>
        <v/>
      </c>
      <c r="R5" s="29" t="str">
        <f aca="false">IF(OR($P5="",$P5="Closed",$P5="On track"),"",IF($P5="Critical",3000,2000)+$N5+ROW()/100000)</f>
        <v/>
      </c>
      <c r="S5" s="29" t="str">
        <f aca="false">IF($R5="","","draft Jira update for "&amp;$A5)</f>
        <v/>
      </c>
      <c r="T5" s="29" t="str">
        <f aca="false">IF($A5="","",HYPERLINK(JiraSite&amp;"/browse/"&amp;$A5,"open"))</f>
        <v/>
      </c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7"/>
      <c r="H6" s="27"/>
      <c r="I6" s="27"/>
      <c r="J6" s="24"/>
      <c r="K6" s="24"/>
      <c r="L6" s="24"/>
      <c r="M6" s="29" t="str">
        <f aca="false">IF($A6="","",IFERROR(INDEX(MapStage,MATCH($C6,MapStatus,0)),"Unmapped"))</f>
        <v/>
      </c>
      <c r="N6" s="29" t="str">
        <f aca="false">IF($A6="","",AsOf-$H6)</f>
        <v/>
      </c>
      <c r="O6" s="29" t="str">
        <f aca="false">IF(OR($M6="",$M6="Closed",$M6="Unmapped"),"",INDEX(StageStale,MATCH($M6,StageName,0)))</f>
        <v/>
      </c>
      <c r="P6" s="29" t="str">
        <f aca="false">IF($A6="","",IF($M6="Closed","Closed",IF($J6="Y","Critical",IF(AND($I6&lt;&gt;"",$I6&lt;AsOf),"Critical",IF($M6="Unmapped","Warning",IF($N6&gt;2*$O6,"Critical",IF($N6&gt;$O6,"Warning","On track")))))))</f>
        <v/>
      </c>
      <c r="Q6" s="29" t="str">
        <f aca="false">IF(OR($P6="",$P6="Closed",$P6="On track"),"",IF($J6="Y","Flagged as an impediment",IF(AND($I6&lt;&gt;"",$I6&lt;AsOf),"Past due since "&amp;TEXT($I6,"yyyy-mm-dd"),IF($M6="Unmapped","Status '"&amp;$C6&amp;"' is not in the Config map","No update in "&amp;$N6&amp;" days (limit "&amp;$O6&amp;")"))))</f>
        <v/>
      </c>
      <c r="R6" s="29" t="str">
        <f aca="false">IF(OR($P6="",$P6="Closed",$P6="On track"),"",IF($P6="Critical",3000,2000)+$N6+ROW()/100000)</f>
        <v/>
      </c>
      <c r="S6" s="29" t="str">
        <f aca="false">IF($R6="","","draft Jira update for "&amp;$A6)</f>
        <v/>
      </c>
      <c r="T6" s="29" t="str">
        <f aca="false">IF($A6="","",HYPERLINK(JiraSite&amp;"/browse/"&amp;$A6,"open"))</f>
        <v/>
      </c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7"/>
      <c r="H7" s="27"/>
      <c r="I7" s="27"/>
      <c r="J7" s="24"/>
      <c r="K7" s="24"/>
      <c r="L7" s="24"/>
      <c r="M7" s="29" t="str">
        <f aca="false">IF($A7="","",IFERROR(INDEX(MapStage,MATCH($C7,MapStatus,0)),"Unmapped"))</f>
        <v/>
      </c>
      <c r="N7" s="29" t="str">
        <f aca="false">IF($A7="","",AsOf-$H7)</f>
        <v/>
      </c>
      <c r="O7" s="29" t="str">
        <f aca="false">IF(OR($M7="",$M7="Closed",$M7="Unmapped"),"",INDEX(StageStale,MATCH($M7,StageName,0)))</f>
        <v/>
      </c>
      <c r="P7" s="29" t="str">
        <f aca="false">IF($A7="","",IF($M7="Closed","Closed",IF($J7="Y","Critical",IF(AND($I7&lt;&gt;"",$I7&lt;AsOf),"Critical",IF($M7="Unmapped","Warning",IF($N7&gt;2*$O7,"Critical",IF($N7&gt;$O7,"Warning","On track")))))))</f>
        <v/>
      </c>
      <c r="Q7" s="29" t="str">
        <f aca="false">IF(OR($P7="",$P7="Closed",$P7="On track"),"",IF($J7="Y","Flagged as an impediment",IF(AND($I7&lt;&gt;"",$I7&lt;AsOf),"Past due since "&amp;TEXT($I7,"yyyy-mm-dd"),IF($M7="Unmapped","Status '"&amp;$C7&amp;"' is not in the Config map","No update in "&amp;$N7&amp;" days (limit "&amp;$O7&amp;")"))))</f>
        <v/>
      </c>
      <c r="R7" s="29" t="str">
        <f aca="false">IF(OR($P7="",$P7="Closed",$P7="On track"),"",IF($P7="Critical",3000,2000)+$N7+ROW()/100000)</f>
        <v/>
      </c>
      <c r="S7" s="29" t="str">
        <f aca="false">IF($R7="","","draft Jira update for "&amp;$A7)</f>
        <v/>
      </c>
      <c r="T7" s="29" t="str">
        <f aca="false">IF($A7="","",HYPERLINK(JiraSite&amp;"/browse/"&amp;$A7,"open"))</f>
        <v/>
      </c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7"/>
      <c r="H8" s="27"/>
      <c r="I8" s="27"/>
      <c r="J8" s="24"/>
      <c r="K8" s="24"/>
      <c r="L8" s="24"/>
      <c r="M8" s="29" t="str">
        <f aca="false">IF($A8="","",IFERROR(INDEX(MapStage,MATCH($C8,MapStatus,0)),"Unmapped"))</f>
        <v/>
      </c>
      <c r="N8" s="29" t="str">
        <f aca="false">IF($A8="","",AsOf-$H8)</f>
        <v/>
      </c>
      <c r="O8" s="29" t="str">
        <f aca="false">IF(OR($M8="",$M8="Closed",$M8="Unmapped"),"",INDEX(StageStale,MATCH($M8,StageName,0)))</f>
        <v/>
      </c>
      <c r="P8" s="29" t="str">
        <f aca="false">IF($A8="","",IF($M8="Closed","Closed",IF($J8="Y","Critical",IF(AND($I8&lt;&gt;"",$I8&lt;AsOf),"Critical",IF($M8="Unmapped","Warning",IF($N8&gt;2*$O8,"Critical",IF($N8&gt;$O8,"Warning","On track")))))))</f>
        <v/>
      </c>
      <c r="Q8" s="29" t="str">
        <f aca="false">IF(OR($P8="",$P8="Closed",$P8="On track"),"",IF($J8="Y","Flagged as an impediment",IF(AND($I8&lt;&gt;"",$I8&lt;AsOf),"Past due since "&amp;TEXT($I8,"yyyy-mm-dd"),IF($M8="Unmapped","Status '"&amp;$C8&amp;"' is not in the Config map","No update in "&amp;$N8&amp;" days (limit "&amp;$O8&amp;")"))))</f>
        <v/>
      </c>
      <c r="R8" s="29" t="str">
        <f aca="false">IF(OR($P8="",$P8="Closed",$P8="On track"),"",IF($P8="Critical",3000,2000)+$N8+ROW()/100000)</f>
        <v/>
      </c>
      <c r="S8" s="29" t="str">
        <f aca="false">IF($R8="","","draft Jira update for "&amp;$A8)</f>
        <v/>
      </c>
      <c r="T8" s="29" t="str">
        <f aca="false">IF($A8="","",HYPERLINK(JiraSite&amp;"/browse/"&amp;$A8,"open"))</f>
        <v/>
      </c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7"/>
      <c r="H9" s="27"/>
      <c r="I9" s="27"/>
      <c r="J9" s="24"/>
      <c r="K9" s="24"/>
      <c r="L9" s="24"/>
      <c r="M9" s="29" t="str">
        <f aca="false">IF($A9="","",IFERROR(INDEX(MapStage,MATCH($C9,MapStatus,0)),"Unmapped"))</f>
        <v/>
      </c>
      <c r="N9" s="29" t="str">
        <f aca="false">IF($A9="","",AsOf-$H9)</f>
        <v/>
      </c>
      <c r="O9" s="29" t="str">
        <f aca="false">IF(OR($M9="",$M9="Closed",$M9="Unmapped"),"",INDEX(StageStale,MATCH($M9,StageName,0)))</f>
        <v/>
      </c>
      <c r="P9" s="29" t="str">
        <f aca="false">IF($A9="","",IF($M9="Closed","Closed",IF($J9="Y","Critical",IF(AND($I9&lt;&gt;"",$I9&lt;AsOf),"Critical",IF($M9="Unmapped","Warning",IF($N9&gt;2*$O9,"Critical",IF($N9&gt;$O9,"Warning","On track")))))))</f>
        <v/>
      </c>
      <c r="Q9" s="29" t="str">
        <f aca="false">IF(OR($P9="",$P9="Closed",$P9="On track"),"",IF($J9="Y","Flagged as an impediment",IF(AND($I9&lt;&gt;"",$I9&lt;AsOf),"Past due since "&amp;TEXT($I9,"yyyy-mm-dd"),IF($M9="Unmapped","Status '"&amp;$C9&amp;"' is not in the Config map","No update in "&amp;$N9&amp;" days (limit "&amp;$O9&amp;")"))))</f>
        <v/>
      </c>
      <c r="R9" s="29" t="str">
        <f aca="false">IF(OR($P9="",$P9="Closed",$P9="On track"),"",IF($P9="Critical",3000,2000)+$N9+ROW()/100000)</f>
        <v/>
      </c>
      <c r="S9" s="29" t="str">
        <f aca="false">IF($R9="","","draft Jira update for "&amp;$A9)</f>
        <v/>
      </c>
      <c r="T9" s="29" t="str">
        <f aca="false">IF($A9="","",HYPERLINK(JiraSite&amp;"/browse/"&amp;$A9,"open"))</f>
        <v/>
      </c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7"/>
      <c r="H10" s="27"/>
      <c r="I10" s="27"/>
      <c r="J10" s="24"/>
      <c r="K10" s="24"/>
      <c r="L10" s="24"/>
      <c r="M10" s="29" t="str">
        <f aca="false">IF($A10="","",IFERROR(INDEX(MapStage,MATCH($C10,MapStatus,0)),"Unmapped"))</f>
        <v/>
      </c>
      <c r="N10" s="29" t="str">
        <f aca="false">IF($A10="","",AsOf-$H10)</f>
        <v/>
      </c>
      <c r="O10" s="29" t="str">
        <f aca="false">IF(OR($M10="",$M10="Closed",$M10="Unmapped"),"",INDEX(StageStale,MATCH($M10,StageName,0)))</f>
        <v/>
      </c>
      <c r="P10" s="29" t="str">
        <f aca="false">IF($A10="","",IF($M10="Closed","Closed",IF($J10="Y","Critical",IF(AND($I10&lt;&gt;"",$I10&lt;AsOf),"Critical",IF($M10="Unmapped","Warning",IF($N10&gt;2*$O10,"Critical",IF($N10&gt;$O10,"Warning","On track")))))))</f>
        <v/>
      </c>
      <c r="Q10" s="29" t="str">
        <f aca="false">IF(OR($P10="",$P10="Closed",$P10="On track"),"",IF($J10="Y","Flagged as an impediment",IF(AND($I10&lt;&gt;"",$I10&lt;AsOf),"Past due since "&amp;TEXT($I10,"yyyy-mm-dd"),IF($M10="Unmapped","Status '"&amp;$C10&amp;"' is not in the Config map","No update in "&amp;$N10&amp;" days (limit "&amp;$O10&amp;")"))))</f>
        <v/>
      </c>
      <c r="R10" s="29" t="str">
        <f aca="false">IF(OR($P10="",$P10="Closed",$P10="On track"),"",IF($P10="Critical",3000,2000)+$N10+ROW()/100000)</f>
        <v/>
      </c>
      <c r="S10" s="29" t="str">
        <f aca="false">IF($R10="","","draft Jira update for "&amp;$A10)</f>
        <v/>
      </c>
      <c r="T10" s="29" t="str">
        <f aca="false">IF($A10="","",HYPERLINK(JiraSite&amp;"/browse/"&amp;$A10,"open"))</f>
        <v/>
      </c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7"/>
      <c r="H11" s="27"/>
      <c r="I11" s="27"/>
      <c r="J11" s="24"/>
      <c r="K11" s="24"/>
      <c r="L11" s="24"/>
      <c r="M11" s="29" t="str">
        <f aca="false">IF($A11="","",IFERROR(INDEX(MapStage,MATCH($C11,MapStatus,0)),"Unmapped"))</f>
        <v/>
      </c>
      <c r="N11" s="29" t="str">
        <f aca="false">IF($A11="","",AsOf-$H11)</f>
        <v/>
      </c>
      <c r="O11" s="29" t="str">
        <f aca="false">IF(OR($M11="",$M11="Closed",$M11="Unmapped"),"",INDEX(StageStale,MATCH($M11,StageName,0)))</f>
        <v/>
      </c>
      <c r="P11" s="29" t="str">
        <f aca="false">IF($A11="","",IF($M11="Closed","Closed",IF($J11="Y","Critical",IF(AND($I11&lt;&gt;"",$I11&lt;AsOf),"Critical",IF($M11="Unmapped","Warning",IF($N11&gt;2*$O11,"Critical",IF($N11&gt;$O11,"Warning","On track")))))))</f>
        <v/>
      </c>
      <c r="Q11" s="29" t="str">
        <f aca="false">IF(OR($P11="",$P11="Closed",$P11="On track"),"",IF($J11="Y","Flagged as an impediment",IF(AND($I11&lt;&gt;"",$I11&lt;AsOf),"Past due since "&amp;TEXT($I11,"yyyy-mm-dd"),IF($M11="Unmapped","Status '"&amp;$C11&amp;"' is not in the Config map","No update in "&amp;$N11&amp;" days (limit "&amp;$O11&amp;")"))))</f>
        <v/>
      </c>
      <c r="R11" s="29" t="str">
        <f aca="false">IF(OR($P11="",$P11="Closed",$P11="On track"),"",IF($P11="Critical",3000,2000)+$N11+ROW()/100000)</f>
        <v/>
      </c>
      <c r="S11" s="29" t="str">
        <f aca="false">IF($R11="","","draft Jira update for "&amp;$A11)</f>
        <v/>
      </c>
      <c r="T11" s="29" t="str">
        <f aca="false">IF($A11="","",HYPERLINK(JiraSite&amp;"/browse/"&amp;$A11,"open"))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7"/>
      <c r="H12" s="27"/>
      <c r="I12" s="27"/>
      <c r="J12" s="24"/>
      <c r="K12" s="24"/>
      <c r="L12" s="24"/>
      <c r="M12" s="29" t="str">
        <f aca="false">IF($A12="","",IFERROR(INDEX(MapStage,MATCH($C12,MapStatus,0)),"Unmapped"))</f>
        <v/>
      </c>
      <c r="N12" s="29" t="str">
        <f aca="false">IF($A12="","",AsOf-$H12)</f>
        <v/>
      </c>
      <c r="O12" s="29" t="str">
        <f aca="false">IF(OR($M12="",$M12="Closed",$M12="Unmapped"),"",INDEX(StageStale,MATCH($M12,StageName,0)))</f>
        <v/>
      </c>
      <c r="P12" s="29" t="str">
        <f aca="false">IF($A12="","",IF($M12="Closed","Closed",IF($J12="Y","Critical",IF(AND($I12&lt;&gt;"",$I12&lt;AsOf),"Critical",IF($M12="Unmapped","Warning",IF($N12&gt;2*$O12,"Critical",IF($N12&gt;$O12,"Warning","On track")))))))</f>
        <v/>
      </c>
      <c r="Q12" s="29" t="str">
        <f aca="false">IF(OR($P12="",$P12="Closed",$P12="On track"),"",IF($J12="Y","Flagged as an impediment",IF(AND($I12&lt;&gt;"",$I12&lt;AsOf),"Past due since "&amp;TEXT($I12,"yyyy-mm-dd"),IF($M12="Unmapped","Status '"&amp;$C12&amp;"' is not in the Config map","No update in "&amp;$N12&amp;" days (limit "&amp;$O12&amp;")"))))</f>
        <v/>
      </c>
      <c r="R12" s="29" t="str">
        <f aca="false">IF(OR($P12="",$P12="Closed",$P12="On track"),"",IF($P12="Critical",3000,2000)+$N12+ROW()/100000)</f>
        <v/>
      </c>
      <c r="S12" s="29" t="str">
        <f aca="false">IF($R12="","","draft Jira update for "&amp;$A12)</f>
        <v/>
      </c>
      <c r="T12" s="29" t="str">
        <f aca="false">IF($A12="","",HYPERLINK(JiraSite&amp;"/browse/"&amp;$A12,"open"))</f>
        <v/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7"/>
      <c r="H13" s="27"/>
      <c r="I13" s="27"/>
      <c r="J13" s="24"/>
      <c r="K13" s="24"/>
      <c r="L13" s="24"/>
      <c r="M13" s="29" t="str">
        <f aca="false">IF($A13="","",IFERROR(INDEX(MapStage,MATCH($C13,MapStatus,0)),"Unmapped"))</f>
        <v/>
      </c>
      <c r="N13" s="29" t="str">
        <f aca="false">IF($A13="","",AsOf-$H13)</f>
        <v/>
      </c>
      <c r="O13" s="29" t="str">
        <f aca="false">IF(OR($M13="",$M13="Closed",$M13="Unmapped"),"",INDEX(StageStale,MATCH($M13,StageName,0)))</f>
        <v/>
      </c>
      <c r="P13" s="29" t="str">
        <f aca="false">IF($A13="","",IF($M13="Closed","Closed",IF($J13="Y","Critical",IF(AND($I13&lt;&gt;"",$I13&lt;AsOf),"Critical",IF($M13="Unmapped","Warning",IF($N13&gt;2*$O13,"Critical",IF($N13&gt;$O13,"Warning","On track")))))))</f>
        <v/>
      </c>
      <c r="Q13" s="29" t="str">
        <f aca="false">IF(OR($P13="",$P13="Closed",$P13="On track"),"",IF($J13="Y","Flagged as an impediment",IF(AND($I13&lt;&gt;"",$I13&lt;AsOf),"Past due since "&amp;TEXT($I13,"yyyy-mm-dd"),IF($M13="Unmapped","Status '"&amp;$C13&amp;"' is not in the Config map","No update in "&amp;$N13&amp;" days (limit "&amp;$O13&amp;")"))))</f>
        <v/>
      </c>
      <c r="R13" s="29" t="str">
        <f aca="false">IF(OR($P13="",$P13="Closed",$P13="On track"),"",IF($P13="Critical",3000,2000)+$N13+ROW()/100000)</f>
        <v/>
      </c>
      <c r="S13" s="29" t="str">
        <f aca="false">IF($R13="","","draft Jira update for "&amp;$A13)</f>
        <v/>
      </c>
      <c r="T13" s="29" t="str">
        <f aca="false">IF($A13="","",HYPERLINK(JiraSite&amp;"/browse/"&amp;$A13,"open"))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7"/>
      <c r="H14" s="27"/>
      <c r="I14" s="27"/>
      <c r="J14" s="24"/>
      <c r="K14" s="24"/>
      <c r="L14" s="24"/>
      <c r="M14" s="29" t="str">
        <f aca="false">IF($A14="","",IFERROR(INDEX(MapStage,MATCH($C14,MapStatus,0)),"Unmapped"))</f>
        <v/>
      </c>
      <c r="N14" s="29" t="str">
        <f aca="false">IF($A14="","",AsOf-$H14)</f>
        <v/>
      </c>
      <c r="O14" s="29" t="str">
        <f aca="false">IF(OR($M14="",$M14="Closed",$M14="Unmapped"),"",INDEX(StageStale,MATCH($M14,StageName,0)))</f>
        <v/>
      </c>
      <c r="P14" s="29" t="str">
        <f aca="false">IF($A14="","",IF($M14="Closed","Closed",IF($J14="Y","Critical",IF(AND($I14&lt;&gt;"",$I14&lt;AsOf),"Critical",IF($M14="Unmapped","Warning",IF($N14&gt;2*$O14,"Critical",IF($N14&gt;$O14,"Warning","On track")))))))</f>
        <v/>
      </c>
      <c r="Q14" s="29" t="str">
        <f aca="false">IF(OR($P14="",$P14="Closed",$P14="On track"),"",IF($J14="Y","Flagged as an impediment",IF(AND($I14&lt;&gt;"",$I14&lt;AsOf),"Past due since "&amp;TEXT($I14,"yyyy-mm-dd"),IF($M14="Unmapped","Status '"&amp;$C14&amp;"' is not in the Config map","No update in "&amp;$N14&amp;" days (limit "&amp;$O14&amp;")"))))</f>
        <v/>
      </c>
      <c r="R14" s="29" t="str">
        <f aca="false">IF(OR($P14="",$P14="Closed",$P14="On track"),"",IF($P14="Critical",3000,2000)+$N14+ROW()/100000)</f>
        <v/>
      </c>
      <c r="S14" s="29" t="str">
        <f aca="false">IF($R14="","","draft Jira update for "&amp;$A14)</f>
        <v/>
      </c>
      <c r="T14" s="29" t="str">
        <f aca="false">IF($A14="","",HYPERLINK(JiraSite&amp;"/browse/"&amp;$A14,"open"))</f>
        <v/>
      </c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7"/>
      <c r="H15" s="27"/>
      <c r="I15" s="27"/>
      <c r="J15" s="24"/>
      <c r="K15" s="24"/>
      <c r="L15" s="24"/>
      <c r="M15" s="29" t="str">
        <f aca="false">IF($A15="","",IFERROR(INDEX(MapStage,MATCH($C15,MapStatus,0)),"Unmapped"))</f>
        <v/>
      </c>
      <c r="N15" s="29" t="str">
        <f aca="false">IF($A15="","",AsOf-$H15)</f>
        <v/>
      </c>
      <c r="O15" s="29" t="str">
        <f aca="false">IF(OR($M15="",$M15="Closed",$M15="Unmapped"),"",INDEX(StageStale,MATCH($M15,StageName,0)))</f>
        <v/>
      </c>
      <c r="P15" s="29" t="str">
        <f aca="false">IF($A15="","",IF($M15="Closed","Closed",IF($J15="Y","Critical",IF(AND($I15&lt;&gt;"",$I15&lt;AsOf),"Critical",IF($M15="Unmapped","Warning",IF($N15&gt;2*$O15,"Critical",IF($N15&gt;$O15,"Warning","On track")))))))</f>
        <v/>
      </c>
      <c r="Q15" s="29" t="str">
        <f aca="false">IF(OR($P15="",$P15="Closed",$P15="On track"),"",IF($J15="Y","Flagged as an impediment",IF(AND($I15&lt;&gt;"",$I15&lt;AsOf),"Past due since "&amp;TEXT($I15,"yyyy-mm-dd"),IF($M15="Unmapped","Status '"&amp;$C15&amp;"' is not in the Config map","No update in "&amp;$N15&amp;" days (limit "&amp;$O15&amp;")"))))</f>
        <v/>
      </c>
      <c r="R15" s="29" t="str">
        <f aca="false">IF(OR($P15="",$P15="Closed",$P15="On track"),"",IF($P15="Critical",3000,2000)+$N15+ROW()/100000)</f>
        <v/>
      </c>
      <c r="S15" s="29" t="str">
        <f aca="false">IF($R15="","","draft Jira update for "&amp;$A15)</f>
        <v/>
      </c>
      <c r="T15" s="29" t="str">
        <f aca="false">IF($A15="","",HYPERLINK(JiraSite&amp;"/browse/"&amp;$A15,"open"))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7"/>
      <c r="H16" s="27"/>
      <c r="I16" s="27"/>
      <c r="J16" s="24"/>
      <c r="K16" s="24"/>
      <c r="L16" s="24"/>
      <c r="M16" s="29" t="str">
        <f aca="false">IF($A16="","",IFERROR(INDEX(MapStage,MATCH($C16,MapStatus,0)),"Unmapped"))</f>
        <v/>
      </c>
      <c r="N16" s="29" t="str">
        <f aca="false">IF($A16="","",AsOf-$H16)</f>
        <v/>
      </c>
      <c r="O16" s="29" t="str">
        <f aca="false">IF(OR($M16="",$M16="Closed",$M16="Unmapped"),"",INDEX(StageStale,MATCH($M16,StageName,0)))</f>
        <v/>
      </c>
      <c r="P16" s="29" t="str">
        <f aca="false">IF($A16="","",IF($M16="Closed","Closed",IF($J16="Y","Critical",IF(AND($I16&lt;&gt;"",$I16&lt;AsOf),"Critical",IF($M16="Unmapped","Warning",IF($N16&gt;2*$O16,"Critical",IF($N16&gt;$O16,"Warning","On track")))))))</f>
        <v/>
      </c>
      <c r="Q16" s="29" t="str">
        <f aca="false">IF(OR($P16="",$P16="Closed",$P16="On track"),"",IF($J16="Y","Flagged as an impediment",IF(AND($I16&lt;&gt;"",$I16&lt;AsOf),"Past due since "&amp;TEXT($I16,"yyyy-mm-dd"),IF($M16="Unmapped","Status '"&amp;$C16&amp;"' is not in the Config map","No update in "&amp;$N16&amp;" days (limit "&amp;$O16&amp;")"))))</f>
        <v/>
      </c>
      <c r="R16" s="29" t="str">
        <f aca="false">IF(OR($P16="",$P16="Closed",$P16="On track"),"",IF($P16="Critical",3000,2000)+$N16+ROW()/100000)</f>
        <v/>
      </c>
      <c r="S16" s="29" t="str">
        <f aca="false">IF($R16="","","draft Jira update for "&amp;$A16)</f>
        <v/>
      </c>
      <c r="T16" s="29" t="str">
        <f aca="false">IF($A16="","",HYPERLINK(JiraSite&amp;"/browse/"&amp;$A16,"open"))</f>
        <v/>
      </c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7"/>
      <c r="H17" s="27"/>
      <c r="I17" s="27"/>
      <c r="J17" s="24"/>
      <c r="K17" s="24"/>
      <c r="L17" s="24"/>
      <c r="M17" s="29" t="str">
        <f aca="false">IF($A17="","",IFERROR(INDEX(MapStage,MATCH($C17,MapStatus,0)),"Unmapped"))</f>
        <v/>
      </c>
      <c r="N17" s="29" t="str">
        <f aca="false">IF($A17="","",AsOf-$H17)</f>
        <v/>
      </c>
      <c r="O17" s="29" t="str">
        <f aca="false">IF(OR($M17="",$M17="Closed",$M17="Unmapped"),"",INDEX(StageStale,MATCH($M17,StageName,0)))</f>
        <v/>
      </c>
      <c r="P17" s="29" t="str">
        <f aca="false">IF($A17="","",IF($M17="Closed","Closed",IF($J17="Y","Critical",IF(AND($I17&lt;&gt;"",$I17&lt;AsOf),"Critical",IF($M17="Unmapped","Warning",IF($N17&gt;2*$O17,"Critical",IF($N17&gt;$O17,"Warning","On track")))))))</f>
        <v/>
      </c>
      <c r="Q17" s="29" t="str">
        <f aca="false">IF(OR($P17="",$P17="Closed",$P17="On track"),"",IF($J17="Y","Flagged as an impediment",IF(AND($I17&lt;&gt;"",$I17&lt;AsOf),"Past due since "&amp;TEXT($I17,"yyyy-mm-dd"),IF($M17="Unmapped","Status '"&amp;$C17&amp;"' is not in the Config map","No update in "&amp;$N17&amp;" days (limit "&amp;$O17&amp;")"))))</f>
        <v/>
      </c>
      <c r="R17" s="29" t="str">
        <f aca="false">IF(OR($P17="",$P17="Closed",$P17="On track"),"",IF($P17="Critical",3000,2000)+$N17+ROW()/100000)</f>
        <v/>
      </c>
      <c r="S17" s="29" t="str">
        <f aca="false">IF($R17="","","draft Jira update for "&amp;$A17)</f>
        <v/>
      </c>
      <c r="T17" s="29" t="str">
        <f aca="false">IF($A17="","",HYPERLINK(JiraSite&amp;"/browse/"&amp;$A17,"open"))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7"/>
      <c r="H18" s="27"/>
      <c r="I18" s="27"/>
      <c r="J18" s="24"/>
      <c r="K18" s="24"/>
      <c r="L18" s="24"/>
      <c r="M18" s="29" t="str">
        <f aca="false">IF($A18="","",IFERROR(INDEX(MapStage,MATCH($C18,MapStatus,0)),"Unmapped"))</f>
        <v/>
      </c>
      <c r="N18" s="29" t="str">
        <f aca="false">IF($A18="","",AsOf-$H18)</f>
        <v/>
      </c>
      <c r="O18" s="29" t="str">
        <f aca="false">IF(OR($M18="",$M18="Closed",$M18="Unmapped"),"",INDEX(StageStale,MATCH($M18,StageName,0)))</f>
        <v/>
      </c>
      <c r="P18" s="29" t="str">
        <f aca="false">IF($A18="","",IF($M18="Closed","Closed",IF($J18="Y","Critical",IF(AND($I18&lt;&gt;"",$I18&lt;AsOf),"Critical",IF($M18="Unmapped","Warning",IF($N18&gt;2*$O18,"Critical",IF($N18&gt;$O18,"Warning","On track")))))))</f>
        <v/>
      </c>
      <c r="Q18" s="29" t="str">
        <f aca="false">IF(OR($P18="",$P18="Closed",$P18="On track"),"",IF($J18="Y","Flagged as an impediment",IF(AND($I18&lt;&gt;"",$I18&lt;AsOf),"Past due since "&amp;TEXT($I18,"yyyy-mm-dd"),IF($M18="Unmapped","Status '"&amp;$C18&amp;"' is not in the Config map","No update in "&amp;$N18&amp;" days (limit "&amp;$O18&amp;")"))))</f>
        <v/>
      </c>
      <c r="R18" s="29" t="str">
        <f aca="false">IF(OR($P18="",$P18="Closed",$P18="On track"),"",IF($P18="Critical",3000,2000)+$N18+ROW()/100000)</f>
        <v/>
      </c>
      <c r="S18" s="29" t="str">
        <f aca="false">IF($R18="","","draft Jira update for "&amp;$A18)</f>
        <v/>
      </c>
      <c r="T18" s="29" t="str">
        <f aca="false">IF($A18="","",HYPERLINK(JiraSite&amp;"/browse/"&amp;$A18,"open"))</f>
        <v/>
      </c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7"/>
      <c r="H19" s="27"/>
      <c r="I19" s="27"/>
      <c r="J19" s="24"/>
      <c r="K19" s="24"/>
      <c r="L19" s="24"/>
      <c r="M19" s="29" t="str">
        <f aca="false">IF($A19="","",IFERROR(INDEX(MapStage,MATCH($C19,MapStatus,0)),"Unmapped"))</f>
        <v/>
      </c>
      <c r="N19" s="29" t="str">
        <f aca="false">IF($A19="","",AsOf-$H19)</f>
        <v/>
      </c>
      <c r="O19" s="29" t="str">
        <f aca="false">IF(OR($M19="",$M19="Closed",$M19="Unmapped"),"",INDEX(StageStale,MATCH($M19,StageName,0)))</f>
        <v/>
      </c>
      <c r="P19" s="29" t="str">
        <f aca="false">IF($A19="","",IF($M19="Closed","Closed",IF($J19="Y","Critical",IF(AND($I19&lt;&gt;"",$I19&lt;AsOf),"Critical",IF($M19="Unmapped","Warning",IF($N19&gt;2*$O19,"Critical",IF($N19&gt;$O19,"Warning","On track")))))))</f>
        <v/>
      </c>
      <c r="Q19" s="29" t="str">
        <f aca="false">IF(OR($P19="",$P19="Closed",$P19="On track"),"",IF($J19="Y","Flagged as an impediment",IF(AND($I19&lt;&gt;"",$I19&lt;AsOf),"Past due since "&amp;TEXT($I19,"yyyy-mm-dd"),IF($M19="Unmapped","Status '"&amp;$C19&amp;"' is not in the Config map","No update in "&amp;$N19&amp;" days (limit "&amp;$O19&amp;")"))))</f>
        <v/>
      </c>
      <c r="R19" s="29" t="str">
        <f aca="false">IF(OR($P19="",$P19="Closed",$P19="On track"),"",IF($P19="Critical",3000,2000)+$N19+ROW()/100000)</f>
        <v/>
      </c>
      <c r="S19" s="29" t="str">
        <f aca="false">IF($R19="","","draft Jira update for "&amp;$A19)</f>
        <v/>
      </c>
      <c r="T19" s="29" t="str">
        <f aca="false">IF($A19="","",HYPERLINK(JiraSite&amp;"/browse/"&amp;$A19,"open"))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7"/>
      <c r="H20" s="27"/>
      <c r="I20" s="27"/>
      <c r="J20" s="24"/>
      <c r="K20" s="24"/>
      <c r="L20" s="24"/>
      <c r="M20" s="29" t="str">
        <f aca="false">IF($A20="","",IFERROR(INDEX(MapStage,MATCH($C20,MapStatus,0)),"Unmapped"))</f>
        <v/>
      </c>
      <c r="N20" s="29" t="str">
        <f aca="false">IF($A20="","",AsOf-$H20)</f>
        <v/>
      </c>
      <c r="O20" s="29" t="str">
        <f aca="false">IF(OR($M20="",$M20="Closed",$M20="Unmapped"),"",INDEX(StageStale,MATCH($M20,StageName,0)))</f>
        <v/>
      </c>
      <c r="P20" s="29" t="str">
        <f aca="false">IF($A20="","",IF($M20="Closed","Closed",IF($J20="Y","Critical",IF(AND($I20&lt;&gt;"",$I20&lt;AsOf),"Critical",IF($M20="Unmapped","Warning",IF($N20&gt;2*$O20,"Critical",IF($N20&gt;$O20,"Warning","On track")))))))</f>
        <v/>
      </c>
      <c r="Q20" s="29" t="str">
        <f aca="false">IF(OR($P20="",$P20="Closed",$P20="On track"),"",IF($J20="Y","Flagged as an impediment",IF(AND($I20&lt;&gt;"",$I20&lt;AsOf),"Past due since "&amp;TEXT($I20,"yyyy-mm-dd"),IF($M20="Unmapped","Status '"&amp;$C20&amp;"' is not in the Config map","No update in "&amp;$N20&amp;" days (limit "&amp;$O20&amp;")"))))</f>
        <v/>
      </c>
      <c r="R20" s="29" t="str">
        <f aca="false">IF(OR($P20="",$P20="Closed",$P20="On track"),"",IF($P20="Critical",3000,2000)+$N20+ROW()/100000)</f>
        <v/>
      </c>
      <c r="S20" s="29" t="str">
        <f aca="false">IF($R20="","","draft Jira update for "&amp;$A20)</f>
        <v/>
      </c>
      <c r="T20" s="29" t="str">
        <f aca="false">IF($A20="","",HYPERLINK(JiraSite&amp;"/browse/"&amp;$A20,"open"))</f>
        <v/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7"/>
      <c r="H21" s="27"/>
      <c r="I21" s="27"/>
      <c r="J21" s="24"/>
      <c r="K21" s="24"/>
      <c r="L21" s="24"/>
      <c r="M21" s="29" t="str">
        <f aca="false">IF($A21="","",IFERROR(INDEX(MapStage,MATCH($C21,MapStatus,0)),"Unmapped"))</f>
        <v/>
      </c>
      <c r="N21" s="29" t="str">
        <f aca="false">IF($A21="","",AsOf-$H21)</f>
        <v/>
      </c>
      <c r="O21" s="29" t="str">
        <f aca="false">IF(OR($M21="",$M21="Closed",$M21="Unmapped"),"",INDEX(StageStale,MATCH($M21,StageName,0)))</f>
        <v/>
      </c>
      <c r="P21" s="29" t="str">
        <f aca="false">IF($A21="","",IF($M21="Closed","Closed",IF($J21="Y","Critical",IF(AND($I21&lt;&gt;"",$I21&lt;AsOf),"Critical",IF($M21="Unmapped","Warning",IF($N21&gt;2*$O21,"Critical",IF($N21&gt;$O21,"Warning","On track")))))))</f>
        <v/>
      </c>
      <c r="Q21" s="29" t="str">
        <f aca="false">IF(OR($P21="",$P21="Closed",$P21="On track"),"",IF($J21="Y","Flagged as an impediment",IF(AND($I21&lt;&gt;"",$I21&lt;AsOf),"Past due since "&amp;TEXT($I21,"yyyy-mm-dd"),IF($M21="Unmapped","Status '"&amp;$C21&amp;"' is not in the Config map","No update in "&amp;$N21&amp;" days (limit "&amp;$O21&amp;")"))))</f>
        <v/>
      </c>
      <c r="R21" s="29" t="str">
        <f aca="false">IF(OR($P21="",$P21="Closed",$P21="On track"),"",IF($P21="Critical",3000,2000)+$N21+ROW()/100000)</f>
        <v/>
      </c>
      <c r="S21" s="29" t="str">
        <f aca="false">IF($R21="","","draft Jira update for "&amp;$A21)</f>
        <v/>
      </c>
      <c r="T21" s="29" t="str">
        <f aca="false">IF($A21="","",HYPERLINK(JiraSite&amp;"/browse/"&amp;$A21,"open"))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7"/>
      <c r="H22" s="27"/>
      <c r="I22" s="27"/>
      <c r="J22" s="24"/>
      <c r="K22" s="24"/>
      <c r="L22" s="24"/>
      <c r="M22" s="29" t="str">
        <f aca="false">IF($A22="","",IFERROR(INDEX(MapStage,MATCH($C22,MapStatus,0)),"Unmapped"))</f>
        <v/>
      </c>
      <c r="N22" s="29" t="str">
        <f aca="false">IF($A22="","",AsOf-$H22)</f>
        <v/>
      </c>
      <c r="O22" s="29" t="str">
        <f aca="false">IF(OR($M22="",$M22="Closed",$M22="Unmapped"),"",INDEX(StageStale,MATCH($M22,StageName,0)))</f>
        <v/>
      </c>
      <c r="P22" s="29" t="str">
        <f aca="false">IF($A22="","",IF($M22="Closed","Closed",IF($J22="Y","Critical",IF(AND($I22&lt;&gt;"",$I22&lt;AsOf),"Critical",IF($M22="Unmapped","Warning",IF($N22&gt;2*$O22,"Critical",IF($N22&gt;$O22,"Warning","On track")))))))</f>
        <v/>
      </c>
      <c r="Q22" s="29" t="str">
        <f aca="false">IF(OR($P22="",$P22="Closed",$P22="On track"),"",IF($J22="Y","Flagged as an impediment",IF(AND($I22&lt;&gt;"",$I22&lt;AsOf),"Past due since "&amp;TEXT($I22,"yyyy-mm-dd"),IF($M22="Unmapped","Status '"&amp;$C22&amp;"' is not in the Config map","No update in "&amp;$N22&amp;" days (limit "&amp;$O22&amp;")"))))</f>
        <v/>
      </c>
      <c r="R22" s="29" t="str">
        <f aca="false">IF(OR($P22="",$P22="Closed",$P22="On track"),"",IF($P22="Critical",3000,2000)+$N22+ROW()/100000)</f>
        <v/>
      </c>
      <c r="S22" s="29" t="str">
        <f aca="false">IF($R22="","","draft Jira update for "&amp;$A22)</f>
        <v/>
      </c>
      <c r="T22" s="29" t="str">
        <f aca="false">IF($A22="","",HYPERLINK(JiraSite&amp;"/browse/"&amp;$A22,"open"))</f>
        <v/>
      </c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7"/>
      <c r="H23" s="27"/>
      <c r="I23" s="27"/>
      <c r="J23" s="24"/>
      <c r="K23" s="24"/>
      <c r="L23" s="24"/>
      <c r="M23" s="29" t="str">
        <f aca="false">IF($A23="","",IFERROR(INDEX(MapStage,MATCH($C23,MapStatus,0)),"Unmapped"))</f>
        <v/>
      </c>
      <c r="N23" s="29" t="str">
        <f aca="false">IF($A23="","",AsOf-$H23)</f>
        <v/>
      </c>
      <c r="O23" s="29" t="str">
        <f aca="false">IF(OR($M23="",$M23="Closed",$M23="Unmapped"),"",INDEX(StageStale,MATCH($M23,StageName,0)))</f>
        <v/>
      </c>
      <c r="P23" s="29" t="str">
        <f aca="false">IF($A23="","",IF($M23="Closed","Closed",IF($J23="Y","Critical",IF(AND($I23&lt;&gt;"",$I23&lt;AsOf),"Critical",IF($M23="Unmapped","Warning",IF($N23&gt;2*$O23,"Critical",IF($N23&gt;$O23,"Warning","On track")))))))</f>
        <v/>
      </c>
      <c r="Q23" s="29" t="str">
        <f aca="false">IF(OR($P23="",$P23="Closed",$P23="On track"),"",IF($J23="Y","Flagged as an impediment",IF(AND($I23&lt;&gt;"",$I23&lt;AsOf),"Past due since "&amp;TEXT($I23,"yyyy-mm-dd"),IF($M23="Unmapped","Status '"&amp;$C23&amp;"' is not in the Config map","No update in "&amp;$N23&amp;" days (limit "&amp;$O23&amp;")"))))</f>
        <v/>
      </c>
      <c r="R23" s="29" t="str">
        <f aca="false">IF(OR($P23="",$P23="Closed",$P23="On track"),"",IF($P23="Critical",3000,2000)+$N23+ROW()/100000)</f>
        <v/>
      </c>
      <c r="S23" s="29" t="str">
        <f aca="false">IF($R23="","","draft Jira update for "&amp;$A23)</f>
        <v/>
      </c>
      <c r="T23" s="29" t="str">
        <f aca="false">IF($A23="","",HYPERLINK(JiraSite&amp;"/browse/"&amp;$A23,"open"))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7"/>
      <c r="H24" s="27"/>
      <c r="I24" s="27"/>
      <c r="J24" s="24"/>
      <c r="K24" s="24"/>
      <c r="L24" s="24"/>
      <c r="M24" s="29" t="str">
        <f aca="false">IF($A24="","",IFERROR(INDEX(MapStage,MATCH($C24,MapStatus,0)),"Unmapped"))</f>
        <v/>
      </c>
      <c r="N24" s="29" t="str">
        <f aca="false">IF($A24="","",AsOf-$H24)</f>
        <v/>
      </c>
      <c r="O24" s="29" t="str">
        <f aca="false">IF(OR($M24="",$M24="Closed",$M24="Unmapped"),"",INDEX(StageStale,MATCH($M24,StageName,0)))</f>
        <v/>
      </c>
      <c r="P24" s="29" t="str">
        <f aca="false">IF($A24="","",IF($M24="Closed","Closed",IF($J24="Y","Critical",IF(AND($I24&lt;&gt;"",$I24&lt;AsOf),"Critical",IF($M24="Unmapped","Warning",IF($N24&gt;2*$O24,"Critical",IF($N24&gt;$O24,"Warning","On track")))))))</f>
        <v/>
      </c>
      <c r="Q24" s="29" t="str">
        <f aca="false">IF(OR($P24="",$P24="Closed",$P24="On track"),"",IF($J24="Y","Flagged as an impediment",IF(AND($I24&lt;&gt;"",$I24&lt;AsOf),"Past due since "&amp;TEXT($I24,"yyyy-mm-dd"),IF($M24="Unmapped","Status '"&amp;$C24&amp;"' is not in the Config map","No update in "&amp;$N24&amp;" days (limit "&amp;$O24&amp;")"))))</f>
        <v/>
      </c>
      <c r="R24" s="29" t="str">
        <f aca="false">IF(OR($P24="",$P24="Closed",$P24="On track"),"",IF($P24="Critical",3000,2000)+$N24+ROW()/100000)</f>
        <v/>
      </c>
      <c r="S24" s="29" t="str">
        <f aca="false">IF($R24="","","draft Jira update for "&amp;$A24)</f>
        <v/>
      </c>
      <c r="T24" s="29" t="str">
        <f aca="false">IF($A24="","",HYPERLINK(JiraSite&amp;"/browse/"&amp;$A24,"open"))</f>
        <v/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7"/>
      <c r="H25" s="27"/>
      <c r="I25" s="27"/>
      <c r="J25" s="24"/>
      <c r="K25" s="24"/>
      <c r="L25" s="24"/>
      <c r="M25" s="29" t="str">
        <f aca="false">IF($A25="","",IFERROR(INDEX(MapStage,MATCH($C25,MapStatus,0)),"Unmapped"))</f>
        <v/>
      </c>
      <c r="N25" s="29" t="str">
        <f aca="false">IF($A25="","",AsOf-$H25)</f>
        <v/>
      </c>
      <c r="O25" s="29" t="str">
        <f aca="false">IF(OR($M25="",$M25="Closed",$M25="Unmapped"),"",INDEX(StageStale,MATCH($M25,StageName,0)))</f>
        <v/>
      </c>
      <c r="P25" s="29" t="str">
        <f aca="false">IF($A25="","",IF($M25="Closed","Closed",IF($J25="Y","Critical",IF(AND($I25&lt;&gt;"",$I25&lt;AsOf),"Critical",IF($M25="Unmapped","Warning",IF($N25&gt;2*$O25,"Critical",IF($N25&gt;$O25,"Warning","On track")))))))</f>
        <v/>
      </c>
      <c r="Q25" s="29" t="str">
        <f aca="false">IF(OR($P25="",$P25="Closed",$P25="On track"),"",IF($J25="Y","Flagged as an impediment",IF(AND($I25&lt;&gt;"",$I25&lt;AsOf),"Past due since "&amp;TEXT($I25,"yyyy-mm-dd"),IF($M25="Unmapped","Status '"&amp;$C25&amp;"' is not in the Config map","No update in "&amp;$N25&amp;" days (limit "&amp;$O25&amp;")"))))</f>
        <v/>
      </c>
      <c r="R25" s="29" t="str">
        <f aca="false">IF(OR($P25="",$P25="Closed",$P25="On track"),"",IF($P25="Critical",3000,2000)+$N25+ROW()/100000)</f>
        <v/>
      </c>
      <c r="S25" s="29" t="str">
        <f aca="false">IF($R25="","","draft Jira update for "&amp;$A25)</f>
        <v/>
      </c>
      <c r="T25" s="29" t="str">
        <f aca="false">IF($A25="","",HYPERLINK(JiraSite&amp;"/browse/"&amp;$A25,"open"))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7"/>
      <c r="H26" s="27"/>
      <c r="I26" s="27"/>
      <c r="J26" s="24"/>
      <c r="K26" s="24"/>
      <c r="L26" s="24"/>
      <c r="M26" s="29" t="str">
        <f aca="false">IF($A26="","",IFERROR(INDEX(MapStage,MATCH($C26,MapStatus,0)),"Unmapped"))</f>
        <v/>
      </c>
      <c r="N26" s="29" t="str">
        <f aca="false">IF($A26="","",AsOf-$H26)</f>
        <v/>
      </c>
      <c r="O26" s="29" t="str">
        <f aca="false">IF(OR($M26="",$M26="Closed",$M26="Unmapped"),"",INDEX(StageStale,MATCH($M26,StageName,0)))</f>
        <v/>
      </c>
      <c r="P26" s="29" t="str">
        <f aca="false">IF($A26="","",IF($M26="Closed","Closed",IF($J26="Y","Critical",IF(AND($I26&lt;&gt;"",$I26&lt;AsOf),"Critical",IF($M26="Unmapped","Warning",IF($N26&gt;2*$O26,"Critical",IF($N26&gt;$O26,"Warning","On track")))))))</f>
        <v/>
      </c>
      <c r="Q26" s="29" t="str">
        <f aca="false">IF(OR($P26="",$P26="Closed",$P26="On track"),"",IF($J26="Y","Flagged as an impediment",IF(AND($I26&lt;&gt;"",$I26&lt;AsOf),"Past due since "&amp;TEXT($I26,"yyyy-mm-dd"),IF($M26="Unmapped","Status '"&amp;$C26&amp;"' is not in the Config map","No update in "&amp;$N26&amp;" days (limit "&amp;$O26&amp;")"))))</f>
        <v/>
      </c>
      <c r="R26" s="29" t="str">
        <f aca="false">IF(OR($P26="",$P26="Closed",$P26="On track"),"",IF($P26="Critical",3000,2000)+$N26+ROW()/100000)</f>
        <v/>
      </c>
      <c r="S26" s="29" t="str">
        <f aca="false">IF($R26="","","draft Jira update for "&amp;$A26)</f>
        <v/>
      </c>
      <c r="T26" s="29" t="str">
        <f aca="false">IF($A26="","",HYPERLINK(JiraSite&amp;"/browse/"&amp;$A26,"open"))</f>
        <v/>
      </c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7"/>
      <c r="H27" s="27"/>
      <c r="I27" s="27"/>
      <c r="J27" s="24"/>
      <c r="K27" s="24"/>
      <c r="L27" s="24"/>
      <c r="M27" s="29" t="str">
        <f aca="false">IF($A27="","",IFERROR(INDEX(MapStage,MATCH($C27,MapStatus,0)),"Unmapped"))</f>
        <v/>
      </c>
      <c r="N27" s="29" t="str">
        <f aca="false">IF($A27="","",AsOf-$H27)</f>
        <v/>
      </c>
      <c r="O27" s="29" t="str">
        <f aca="false">IF(OR($M27="",$M27="Closed",$M27="Unmapped"),"",INDEX(StageStale,MATCH($M27,StageName,0)))</f>
        <v/>
      </c>
      <c r="P27" s="29" t="str">
        <f aca="false">IF($A27="","",IF($M27="Closed","Closed",IF($J27="Y","Critical",IF(AND($I27&lt;&gt;"",$I27&lt;AsOf),"Critical",IF($M27="Unmapped","Warning",IF($N27&gt;2*$O27,"Critical",IF($N27&gt;$O27,"Warning","On track")))))))</f>
        <v/>
      </c>
      <c r="Q27" s="29" t="str">
        <f aca="false">IF(OR($P27="",$P27="Closed",$P27="On track"),"",IF($J27="Y","Flagged as an impediment",IF(AND($I27&lt;&gt;"",$I27&lt;AsOf),"Past due since "&amp;TEXT($I27,"yyyy-mm-dd"),IF($M27="Unmapped","Status '"&amp;$C27&amp;"' is not in the Config map","No update in "&amp;$N27&amp;" days (limit "&amp;$O27&amp;")"))))</f>
        <v/>
      </c>
      <c r="R27" s="29" t="str">
        <f aca="false">IF(OR($P27="",$P27="Closed",$P27="On track"),"",IF($P27="Critical",3000,2000)+$N27+ROW()/100000)</f>
        <v/>
      </c>
      <c r="S27" s="29" t="str">
        <f aca="false">IF($R27="","","draft Jira update for "&amp;$A27)</f>
        <v/>
      </c>
      <c r="T27" s="29" t="str">
        <f aca="false">IF($A27="","",HYPERLINK(JiraSite&amp;"/browse/"&amp;$A27,"open"))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7"/>
      <c r="H28" s="27"/>
      <c r="I28" s="27"/>
      <c r="J28" s="24"/>
      <c r="K28" s="24"/>
      <c r="L28" s="24"/>
      <c r="M28" s="29" t="str">
        <f aca="false">IF($A28="","",IFERROR(INDEX(MapStage,MATCH($C28,MapStatus,0)),"Unmapped"))</f>
        <v/>
      </c>
      <c r="N28" s="29" t="str">
        <f aca="false">IF($A28="","",AsOf-$H28)</f>
        <v/>
      </c>
      <c r="O28" s="29" t="str">
        <f aca="false">IF(OR($M28="",$M28="Closed",$M28="Unmapped"),"",INDEX(StageStale,MATCH($M28,StageName,0)))</f>
        <v/>
      </c>
      <c r="P28" s="29" t="str">
        <f aca="false">IF($A28="","",IF($M28="Closed","Closed",IF($J28="Y","Critical",IF(AND($I28&lt;&gt;"",$I28&lt;AsOf),"Critical",IF($M28="Unmapped","Warning",IF($N28&gt;2*$O28,"Critical",IF($N28&gt;$O28,"Warning","On track")))))))</f>
        <v/>
      </c>
      <c r="Q28" s="29" t="str">
        <f aca="false">IF(OR($P28="",$P28="Closed",$P28="On track"),"",IF($J28="Y","Flagged as an impediment",IF(AND($I28&lt;&gt;"",$I28&lt;AsOf),"Past due since "&amp;TEXT($I28,"yyyy-mm-dd"),IF($M28="Unmapped","Status '"&amp;$C28&amp;"' is not in the Config map","No update in "&amp;$N28&amp;" days (limit "&amp;$O28&amp;")"))))</f>
        <v/>
      </c>
      <c r="R28" s="29" t="str">
        <f aca="false">IF(OR($P28="",$P28="Closed",$P28="On track"),"",IF($P28="Critical",3000,2000)+$N28+ROW()/100000)</f>
        <v/>
      </c>
      <c r="S28" s="29" t="str">
        <f aca="false">IF($R28="","","draft Jira update for "&amp;$A28)</f>
        <v/>
      </c>
      <c r="T28" s="29" t="str">
        <f aca="false">IF($A28="","",HYPERLINK(JiraSite&amp;"/browse/"&amp;$A28,"open"))</f>
        <v/>
      </c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7"/>
      <c r="H29" s="27"/>
      <c r="I29" s="27"/>
      <c r="J29" s="24"/>
      <c r="K29" s="24"/>
      <c r="L29" s="24"/>
      <c r="M29" s="29" t="str">
        <f aca="false">IF($A29="","",IFERROR(INDEX(MapStage,MATCH($C29,MapStatus,0)),"Unmapped"))</f>
        <v/>
      </c>
      <c r="N29" s="29" t="str">
        <f aca="false">IF($A29="","",AsOf-$H29)</f>
        <v/>
      </c>
      <c r="O29" s="29" t="str">
        <f aca="false">IF(OR($M29="",$M29="Closed",$M29="Unmapped"),"",INDEX(StageStale,MATCH($M29,StageName,0)))</f>
        <v/>
      </c>
      <c r="P29" s="29" t="str">
        <f aca="false">IF($A29="","",IF($M29="Closed","Closed",IF($J29="Y","Critical",IF(AND($I29&lt;&gt;"",$I29&lt;AsOf),"Critical",IF($M29="Unmapped","Warning",IF($N29&gt;2*$O29,"Critical",IF($N29&gt;$O29,"Warning","On track")))))))</f>
        <v/>
      </c>
      <c r="Q29" s="29" t="str">
        <f aca="false">IF(OR($P29="",$P29="Closed",$P29="On track"),"",IF($J29="Y","Flagged as an impediment",IF(AND($I29&lt;&gt;"",$I29&lt;AsOf),"Past due since "&amp;TEXT($I29,"yyyy-mm-dd"),IF($M29="Unmapped","Status '"&amp;$C29&amp;"' is not in the Config map","No update in "&amp;$N29&amp;" days (limit "&amp;$O29&amp;")"))))</f>
        <v/>
      </c>
      <c r="R29" s="29" t="str">
        <f aca="false">IF(OR($P29="",$P29="Closed",$P29="On track"),"",IF($P29="Critical",3000,2000)+$N29+ROW()/100000)</f>
        <v/>
      </c>
      <c r="S29" s="29" t="str">
        <f aca="false">IF($R29="","","draft Jira update for "&amp;$A29)</f>
        <v/>
      </c>
      <c r="T29" s="29" t="str">
        <f aca="false">IF($A29="","",HYPERLINK(JiraSite&amp;"/browse/"&amp;$A29,"open"))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7"/>
      <c r="H30" s="27"/>
      <c r="I30" s="27"/>
      <c r="J30" s="24"/>
      <c r="K30" s="24"/>
      <c r="L30" s="24"/>
      <c r="M30" s="29" t="str">
        <f aca="false">IF($A30="","",IFERROR(INDEX(MapStage,MATCH($C30,MapStatus,0)),"Unmapped"))</f>
        <v/>
      </c>
      <c r="N30" s="29" t="str">
        <f aca="false">IF($A30="","",AsOf-$H30)</f>
        <v/>
      </c>
      <c r="O30" s="29" t="str">
        <f aca="false">IF(OR($M30="",$M30="Closed",$M30="Unmapped"),"",INDEX(StageStale,MATCH($M30,StageName,0)))</f>
        <v/>
      </c>
      <c r="P30" s="29" t="str">
        <f aca="false">IF($A30="","",IF($M30="Closed","Closed",IF($J30="Y","Critical",IF(AND($I30&lt;&gt;"",$I30&lt;AsOf),"Critical",IF($M30="Unmapped","Warning",IF($N30&gt;2*$O30,"Critical",IF($N30&gt;$O30,"Warning","On track")))))))</f>
        <v/>
      </c>
      <c r="Q30" s="29" t="str">
        <f aca="false">IF(OR($P30="",$P30="Closed",$P30="On track"),"",IF($J30="Y","Flagged as an impediment",IF(AND($I30&lt;&gt;"",$I30&lt;AsOf),"Past due since "&amp;TEXT($I30,"yyyy-mm-dd"),IF($M30="Unmapped","Status '"&amp;$C30&amp;"' is not in the Config map","No update in "&amp;$N30&amp;" days (limit "&amp;$O30&amp;")"))))</f>
        <v/>
      </c>
      <c r="R30" s="29" t="str">
        <f aca="false">IF(OR($P30="",$P30="Closed",$P30="On track"),"",IF($P30="Critical",3000,2000)+$N30+ROW()/100000)</f>
        <v/>
      </c>
      <c r="S30" s="29" t="str">
        <f aca="false">IF($R30="","","draft Jira update for "&amp;$A30)</f>
        <v/>
      </c>
      <c r="T30" s="29" t="str">
        <f aca="false">IF($A30="","",HYPERLINK(JiraSite&amp;"/browse/"&amp;$A30,"open"))</f>
        <v/>
      </c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7"/>
      <c r="H31" s="27"/>
      <c r="I31" s="27"/>
      <c r="J31" s="24"/>
      <c r="K31" s="24"/>
      <c r="L31" s="24"/>
      <c r="M31" s="29" t="str">
        <f aca="false">IF($A31="","",IFERROR(INDEX(MapStage,MATCH($C31,MapStatus,0)),"Unmapped"))</f>
        <v/>
      </c>
      <c r="N31" s="29" t="str">
        <f aca="false">IF($A31="","",AsOf-$H31)</f>
        <v/>
      </c>
      <c r="O31" s="29" t="str">
        <f aca="false">IF(OR($M31="",$M31="Closed",$M31="Unmapped"),"",INDEX(StageStale,MATCH($M31,StageName,0)))</f>
        <v/>
      </c>
      <c r="P31" s="29" t="str">
        <f aca="false">IF($A31="","",IF($M31="Closed","Closed",IF($J31="Y","Critical",IF(AND($I31&lt;&gt;"",$I31&lt;AsOf),"Critical",IF($M31="Unmapped","Warning",IF($N31&gt;2*$O31,"Critical",IF($N31&gt;$O31,"Warning","On track")))))))</f>
        <v/>
      </c>
      <c r="Q31" s="29" t="str">
        <f aca="false">IF(OR($P31="",$P31="Closed",$P31="On track"),"",IF($J31="Y","Flagged as an impediment",IF(AND($I31&lt;&gt;"",$I31&lt;AsOf),"Past due since "&amp;TEXT($I31,"yyyy-mm-dd"),IF($M31="Unmapped","Status '"&amp;$C31&amp;"' is not in the Config map","No update in "&amp;$N31&amp;" days (limit "&amp;$O31&amp;")"))))</f>
        <v/>
      </c>
      <c r="R31" s="29" t="str">
        <f aca="false">IF(OR($P31="",$P31="Closed",$P31="On track"),"",IF($P31="Critical",3000,2000)+$N31+ROW()/100000)</f>
        <v/>
      </c>
      <c r="S31" s="29" t="str">
        <f aca="false">IF($R31="","","draft Jira update for "&amp;$A31)</f>
        <v/>
      </c>
      <c r="T31" s="29" t="str">
        <f aca="false">IF($A31="","",HYPERLINK(JiraSite&amp;"/browse/"&amp;$A31,"open"))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7"/>
      <c r="H32" s="27"/>
      <c r="I32" s="27"/>
      <c r="J32" s="24"/>
      <c r="K32" s="24"/>
      <c r="L32" s="24"/>
      <c r="M32" s="29" t="str">
        <f aca="false">IF($A32="","",IFERROR(INDEX(MapStage,MATCH($C32,MapStatus,0)),"Unmapped"))</f>
        <v/>
      </c>
      <c r="N32" s="29" t="str">
        <f aca="false">IF($A32="","",AsOf-$H32)</f>
        <v/>
      </c>
      <c r="O32" s="29" t="str">
        <f aca="false">IF(OR($M32="",$M32="Closed",$M32="Unmapped"),"",INDEX(StageStale,MATCH($M32,StageName,0)))</f>
        <v/>
      </c>
      <c r="P32" s="29" t="str">
        <f aca="false">IF($A32="","",IF($M32="Closed","Closed",IF($J32="Y","Critical",IF(AND($I32&lt;&gt;"",$I32&lt;AsOf),"Critical",IF($M32="Unmapped","Warning",IF($N32&gt;2*$O32,"Critical",IF($N32&gt;$O32,"Warning","On track")))))))</f>
        <v/>
      </c>
      <c r="Q32" s="29" t="str">
        <f aca="false">IF(OR($P32="",$P32="Closed",$P32="On track"),"",IF($J32="Y","Flagged as an impediment",IF(AND($I32&lt;&gt;"",$I32&lt;AsOf),"Past due since "&amp;TEXT($I32,"yyyy-mm-dd"),IF($M32="Unmapped","Status '"&amp;$C32&amp;"' is not in the Config map","No update in "&amp;$N32&amp;" days (limit "&amp;$O32&amp;")"))))</f>
        <v/>
      </c>
      <c r="R32" s="29" t="str">
        <f aca="false">IF(OR($P32="",$P32="Closed",$P32="On track"),"",IF($P32="Critical",3000,2000)+$N32+ROW()/100000)</f>
        <v/>
      </c>
      <c r="S32" s="29" t="str">
        <f aca="false">IF($R32="","","draft Jira update for "&amp;$A32)</f>
        <v/>
      </c>
      <c r="T32" s="29" t="str">
        <f aca="false">IF($A32="","",HYPERLINK(JiraSite&amp;"/browse/"&amp;$A32,"open"))</f>
        <v/>
      </c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7"/>
      <c r="H33" s="27"/>
      <c r="I33" s="27"/>
      <c r="J33" s="24"/>
      <c r="K33" s="24"/>
      <c r="L33" s="24"/>
      <c r="M33" s="29" t="str">
        <f aca="false">IF($A33="","",IFERROR(INDEX(MapStage,MATCH($C33,MapStatus,0)),"Unmapped"))</f>
        <v/>
      </c>
      <c r="N33" s="29" t="str">
        <f aca="false">IF($A33="","",AsOf-$H33)</f>
        <v/>
      </c>
      <c r="O33" s="29" t="str">
        <f aca="false">IF(OR($M33="",$M33="Closed",$M33="Unmapped"),"",INDEX(StageStale,MATCH($M33,StageName,0)))</f>
        <v/>
      </c>
      <c r="P33" s="29" t="str">
        <f aca="false">IF($A33="","",IF($M33="Closed","Closed",IF($J33="Y","Critical",IF(AND($I33&lt;&gt;"",$I33&lt;AsOf),"Critical",IF($M33="Unmapped","Warning",IF($N33&gt;2*$O33,"Critical",IF($N33&gt;$O33,"Warning","On track")))))))</f>
        <v/>
      </c>
      <c r="Q33" s="29" t="str">
        <f aca="false">IF(OR($P33="",$P33="Closed",$P33="On track"),"",IF($J33="Y","Flagged as an impediment",IF(AND($I33&lt;&gt;"",$I33&lt;AsOf),"Past due since "&amp;TEXT($I33,"yyyy-mm-dd"),IF($M33="Unmapped","Status '"&amp;$C33&amp;"' is not in the Config map","No update in "&amp;$N33&amp;" days (limit "&amp;$O33&amp;")"))))</f>
        <v/>
      </c>
      <c r="R33" s="29" t="str">
        <f aca="false">IF(OR($P33="",$P33="Closed",$P33="On track"),"",IF($P33="Critical",3000,2000)+$N33+ROW()/100000)</f>
        <v/>
      </c>
      <c r="S33" s="29" t="str">
        <f aca="false">IF($R33="","","draft Jira update for "&amp;$A33)</f>
        <v/>
      </c>
      <c r="T33" s="29" t="str">
        <f aca="false">IF($A33="","",HYPERLINK(JiraSite&amp;"/browse/"&amp;$A33,"open"))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7"/>
      <c r="H34" s="27"/>
      <c r="I34" s="27"/>
      <c r="J34" s="24"/>
      <c r="K34" s="24"/>
      <c r="L34" s="24"/>
      <c r="M34" s="29" t="str">
        <f aca="false">IF($A34="","",IFERROR(INDEX(MapStage,MATCH($C34,MapStatus,0)),"Unmapped"))</f>
        <v/>
      </c>
      <c r="N34" s="29" t="str">
        <f aca="false">IF($A34="","",AsOf-$H34)</f>
        <v/>
      </c>
      <c r="O34" s="29" t="str">
        <f aca="false">IF(OR($M34="",$M34="Closed",$M34="Unmapped"),"",INDEX(StageStale,MATCH($M34,StageName,0)))</f>
        <v/>
      </c>
      <c r="P34" s="29" t="str">
        <f aca="false">IF($A34="","",IF($M34="Closed","Closed",IF($J34="Y","Critical",IF(AND($I34&lt;&gt;"",$I34&lt;AsOf),"Critical",IF($M34="Unmapped","Warning",IF($N34&gt;2*$O34,"Critical",IF($N34&gt;$O34,"Warning","On track")))))))</f>
        <v/>
      </c>
      <c r="Q34" s="29" t="str">
        <f aca="false">IF(OR($P34="",$P34="Closed",$P34="On track"),"",IF($J34="Y","Flagged as an impediment",IF(AND($I34&lt;&gt;"",$I34&lt;AsOf),"Past due since "&amp;TEXT($I34,"yyyy-mm-dd"),IF($M34="Unmapped","Status '"&amp;$C34&amp;"' is not in the Config map","No update in "&amp;$N34&amp;" days (limit "&amp;$O34&amp;")"))))</f>
        <v/>
      </c>
      <c r="R34" s="29" t="str">
        <f aca="false">IF(OR($P34="",$P34="Closed",$P34="On track"),"",IF($P34="Critical",3000,2000)+$N34+ROW()/100000)</f>
        <v/>
      </c>
      <c r="S34" s="29" t="str">
        <f aca="false">IF($R34="","","draft Jira update for "&amp;$A34)</f>
        <v/>
      </c>
      <c r="T34" s="29" t="str">
        <f aca="false">IF($A34="","",HYPERLINK(JiraSite&amp;"/browse/"&amp;$A34,"open"))</f>
        <v/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7"/>
      <c r="H35" s="27"/>
      <c r="I35" s="27"/>
      <c r="J35" s="24"/>
      <c r="K35" s="24"/>
      <c r="L35" s="24"/>
      <c r="M35" s="29" t="str">
        <f aca="false">IF($A35="","",IFERROR(INDEX(MapStage,MATCH($C35,MapStatus,0)),"Unmapped"))</f>
        <v/>
      </c>
      <c r="N35" s="29" t="str">
        <f aca="false">IF($A35="","",AsOf-$H35)</f>
        <v/>
      </c>
      <c r="O35" s="29" t="str">
        <f aca="false">IF(OR($M35="",$M35="Closed",$M35="Unmapped"),"",INDEX(StageStale,MATCH($M35,StageName,0)))</f>
        <v/>
      </c>
      <c r="P35" s="29" t="str">
        <f aca="false">IF($A35="","",IF($M35="Closed","Closed",IF($J35="Y","Critical",IF(AND($I35&lt;&gt;"",$I35&lt;AsOf),"Critical",IF($M35="Unmapped","Warning",IF($N35&gt;2*$O35,"Critical",IF($N35&gt;$O35,"Warning","On track")))))))</f>
        <v/>
      </c>
      <c r="Q35" s="29" t="str">
        <f aca="false">IF(OR($P35="",$P35="Closed",$P35="On track"),"",IF($J35="Y","Flagged as an impediment",IF(AND($I35&lt;&gt;"",$I35&lt;AsOf),"Past due since "&amp;TEXT($I35,"yyyy-mm-dd"),IF($M35="Unmapped","Status '"&amp;$C35&amp;"' is not in the Config map","No update in "&amp;$N35&amp;" days (limit "&amp;$O35&amp;")"))))</f>
        <v/>
      </c>
      <c r="R35" s="29" t="str">
        <f aca="false">IF(OR($P35="",$P35="Closed",$P35="On track"),"",IF($P35="Critical",3000,2000)+$N35+ROW()/100000)</f>
        <v/>
      </c>
      <c r="S35" s="29" t="str">
        <f aca="false">IF($R35="","","draft Jira update for "&amp;$A35)</f>
        <v/>
      </c>
      <c r="T35" s="29" t="str">
        <f aca="false">IF($A35="","",HYPERLINK(JiraSite&amp;"/browse/"&amp;$A35,"open"))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7"/>
      <c r="H36" s="27"/>
      <c r="I36" s="27"/>
      <c r="J36" s="24"/>
      <c r="K36" s="24"/>
      <c r="L36" s="24"/>
      <c r="M36" s="29" t="str">
        <f aca="false">IF($A36="","",IFERROR(INDEX(MapStage,MATCH($C36,MapStatus,0)),"Unmapped"))</f>
        <v/>
      </c>
      <c r="N36" s="29" t="str">
        <f aca="false">IF($A36="","",AsOf-$H36)</f>
        <v/>
      </c>
      <c r="O36" s="29" t="str">
        <f aca="false">IF(OR($M36="",$M36="Closed",$M36="Unmapped"),"",INDEX(StageStale,MATCH($M36,StageName,0)))</f>
        <v/>
      </c>
      <c r="P36" s="29" t="str">
        <f aca="false">IF($A36="","",IF($M36="Closed","Closed",IF($J36="Y","Critical",IF(AND($I36&lt;&gt;"",$I36&lt;AsOf),"Critical",IF($M36="Unmapped","Warning",IF($N36&gt;2*$O36,"Critical",IF($N36&gt;$O36,"Warning","On track")))))))</f>
        <v/>
      </c>
      <c r="Q36" s="29" t="str">
        <f aca="false">IF(OR($P36="",$P36="Closed",$P36="On track"),"",IF($J36="Y","Flagged as an impediment",IF(AND($I36&lt;&gt;"",$I36&lt;AsOf),"Past due since "&amp;TEXT($I36,"yyyy-mm-dd"),IF($M36="Unmapped","Status '"&amp;$C36&amp;"' is not in the Config map","No update in "&amp;$N36&amp;" days (limit "&amp;$O36&amp;")"))))</f>
        <v/>
      </c>
      <c r="R36" s="29" t="str">
        <f aca="false">IF(OR($P36="",$P36="Closed",$P36="On track"),"",IF($P36="Critical",3000,2000)+$N36+ROW()/100000)</f>
        <v/>
      </c>
      <c r="S36" s="29" t="str">
        <f aca="false">IF($R36="","","draft Jira update for "&amp;$A36)</f>
        <v/>
      </c>
      <c r="T36" s="29" t="str">
        <f aca="false">IF($A36="","",HYPERLINK(JiraSite&amp;"/browse/"&amp;$A36,"open"))</f>
        <v/>
      </c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7"/>
      <c r="H37" s="27"/>
      <c r="I37" s="27"/>
      <c r="J37" s="24"/>
      <c r="K37" s="24"/>
      <c r="L37" s="24"/>
      <c r="M37" s="29" t="str">
        <f aca="false">IF($A37="","",IFERROR(INDEX(MapStage,MATCH($C37,MapStatus,0)),"Unmapped"))</f>
        <v/>
      </c>
      <c r="N37" s="29" t="str">
        <f aca="false">IF($A37="","",AsOf-$H37)</f>
        <v/>
      </c>
      <c r="O37" s="29" t="str">
        <f aca="false">IF(OR($M37="",$M37="Closed",$M37="Unmapped"),"",INDEX(StageStale,MATCH($M37,StageName,0)))</f>
        <v/>
      </c>
      <c r="P37" s="29" t="str">
        <f aca="false">IF($A37="","",IF($M37="Closed","Closed",IF($J37="Y","Critical",IF(AND($I37&lt;&gt;"",$I37&lt;AsOf),"Critical",IF($M37="Unmapped","Warning",IF($N37&gt;2*$O37,"Critical",IF($N37&gt;$O37,"Warning","On track")))))))</f>
        <v/>
      </c>
      <c r="Q37" s="29" t="str">
        <f aca="false">IF(OR($P37="",$P37="Closed",$P37="On track"),"",IF($J37="Y","Flagged as an impediment",IF(AND($I37&lt;&gt;"",$I37&lt;AsOf),"Past due since "&amp;TEXT($I37,"yyyy-mm-dd"),IF($M37="Unmapped","Status '"&amp;$C37&amp;"' is not in the Config map","No update in "&amp;$N37&amp;" days (limit "&amp;$O37&amp;")"))))</f>
        <v/>
      </c>
      <c r="R37" s="29" t="str">
        <f aca="false">IF(OR($P37="",$P37="Closed",$P37="On track"),"",IF($P37="Critical",3000,2000)+$N37+ROW()/100000)</f>
        <v/>
      </c>
      <c r="S37" s="29" t="str">
        <f aca="false">IF($R37="","","draft Jira update for "&amp;$A37)</f>
        <v/>
      </c>
      <c r="T37" s="29" t="str">
        <f aca="false">IF($A37="","",HYPERLINK(JiraSite&amp;"/browse/"&amp;$A37,"open"))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7"/>
      <c r="H38" s="27"/>
      <c r="I38" s="27"/>
      <c r="J38" s="24"/>
      <c r="K38" s="24"/>
      <c r="L38" s="24"/>
      <c r="M38" s="29" t="str">
        <f aca="false">IF($A38="","",IFERROR(INDEX(MapStage,MATCH($C38,MapStatus,0)),"Unmapped"))</f>
        <v/>
      </c>
      <c r="N38" s="29" t="str">
        <f aca="false">IF($A38="","",AsOf-$H38)</f>
        <v/>
      </c>
      <c r="O38" s="29" t="str">
        <f aca="false">IF(OR($M38="",$M38="Closed",$M38="Unmapped"),"",INDEX(StageStale,MATCH($M38,StageName,0)))</f>
        <v/>
      </c>
      <c r="P38" s="29" t="str">
        <f aca="false">IF($A38="","",IF($M38="Closed","Closed",IF($J38="Y","Critical",IF(AND($I38&lt;&gt;"",$I38&lt;AsOf),"Critical",IF($M38="Unmapped","Warning",IF($N38&gt;2*$O38,"Critical",IF($N38&gt;$O38,"Warning","On track")))))))</f>
        <v/>
      </c>
      <c r="Q38" s="29" t="str">
        <f aca="false">IF(OR($P38="",$P38="Closed",$P38="On track"),"",IF($J38="Y","Flagged as an impediment",IF(AND($I38&lt;&gt;"",$I38&lt;AsOf),"Past due since "&amp;TEXT($I38,"yyyy-mm-dd"),IF($M38="Unmapped","Status '"&amp;$C38&amp;"' is not in the Config map","No update in "&amp;$N38&amp;" days (limit "&amp;$O38&amp;")"))))</f>
        <v/>
      </c>
      <c r="R38" s="29" t="str">
        <f aca="false">IF(OR($P38="",$P38="Closed",$P38="On track"),"",IF($P38="Critical",3000,2000)+$N38+ROW()/100000)</f>
        <v/>
      </c>
      <c r="S38" s="29" t="str">
        <f aca="false">IF($R38="","","draft Jira update for "&amp;$A38)</f>
        <v/>
      </c>
      <c r="T38" s="29" t="str">
        <f aca="false">IF($A38="","",HYPERLINK(JiraSite&amp;"/browse/"&amp;$A38,"open"))</f>
        <v/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7"/>
      <c r="H39" s="27"/>
      <c r="I39" s="27"/>
      <c r="J39" s="24"/>
      <c r="K39" s="24"/>
      <c r="L39" s="24"/>
      <c r="M39" s="29" t="str">
        <f aca="false">IF($A39="","",IFERROR(INDEX(MapStage,MATCH($C39,MapStatus,0)),"Unmapped"))</f>
        <v/>
      </c>
      <c r="N39" s="29" t="str">
        <f aca="false">IF($A39="","",AsOf-$H39)</f>
        <v/>
      </c>
      <c r="O39" s="29" t="str">
        <f aca="false">IF(OR($M39="",$M39="Closed",$M39="Unmapped"),"",INDEX(StageStale,MATCH($M39,StageName,0)))</f>
        <v/>
      </c>
      <c r="P39" s="29" t="str">
        <f aca="false">IF($A39="","",IF($M39="Closed","Closed",IF($J39="Y","Critical",IF(AND($I39&lt;&gt;"",$I39&lt;AsOf),"Critical",IF($M39="Unmapped","Warning",IF($N39&gt;2*$O39,"Critical",IF($N39&gt;$O39,"Warning","On track")))))))</f>
        <v/>
      </c>
      <c r="Q39" s="29" t="str">
        <f aca="false">IF(OR($P39="",$P39="Closed",$P39="On track"),"",IF($J39="Y","Flagged as an impediment",IF(AND($I39&lt;&gt;"",$I39&lt;AsOf),"Past due since "&amp;TEXT($I39,"yyyy-mm-dd"),IF($M39="Unmapped","Status '"&amp;$C39&amp;"' is not in the Config map","No update in "&amp;$N39&amp;" days (limit "&amp;$O39&amp;")"))))</f>
        <v/>
      </c>
      <c r="R39" s="29" t="str">
        <f aca="false">IF(OR($P39="",$P39="Closed",$P39="On track"),"",IF($P39="Critical",3000,2000)+$N39+ROW()/100000)</f>
        <v/>
      </c>
      <c r="S39" s="29" t="str">
        <f aca="false">IF($R39="","","draft Jira update for "&amp;$A39)</f>
        <v/>
      </c>
      <c r="T39" s="29" t="str">
        <f aca="false">IF($A39="","",HYPERLINK(JiraSite&amp;"/browse/"&amp;$A39,"open"))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7"/>
      <c r="H40" s="27"/>
      <c r="I40" s="27"/>
      <c r="J40" s="24"/>
      <c r="K40" s="24"/>
      <c r="L40" s="24"/>
      <c r="M40" s="29" t="str">
        <f aca="false">IF($A40="","",IFERROR(INDEX(MapStage,MATCH($C40,MapStatus,0)),"Unmapped"))</f>
        <v/>
      </c>
      <c r="N40" s="29" t="str">
        <f aca="false">IF($A40="","",AsOf-$H40)</f>
        <v/>
      </c>
      <c r="O40" s="29" t="str">
        <f aca="false">IF(OR($M40="",$M40="Closed",$M40="Unmapped"),"",INDEX(StageStale,MATCH($M40,StageName,0)))</f>
        <v/>
      </c>
      <c r="P40" s="29" t="str">
        <f aca="false">IF($A40="","",IF($M40="Closed","Closed",IF($J40="Y","Critical",IF(AND($I40&lt;&gt;"",$I40&lt;AsOf),"Critical",IF($M40="Unmapped","Warning",IF($N40&gt;2*$O40,"Critical",IF($N40&gt;$O40,"Warning","On track")))))))</f>
        <v/>
      </c>
      <c r="Q40" s="29" t="str">
        <f aca="false">IF(OR($P40="",$P40="Closed",$P40="On track"),"",IF($J40="Y","Flagged as an impediment",IF(AND($I40&lt;&gt;"",$I40&lt;AsOf),"Past due since "&amp;TEXT($I40,"yyyy-mm-dd"),IF($M40="Unmapped","Status '"&amp;$C40&amp;"' is not in the Config map","No update in "&amp;$N40&amp;" days (limit "&amp;$O40&amp;")"))))</f>
        <v/>
      </c>
      <c r="R40" s="29" t="str">
        <f aca="false">IF(OR($P40="",$P40="Closed",$P40="On track"),"",IF($P40="Critical",3000,2000)+$N40+ROW()/100000)</f>
        <v/>
      </c>
      <c r="S40" s="29" t="str">
        <f aca="false">IF($R40="","","draft Jira update for "&amp;$A40)</f>
        <v/>
      </c>
      <c r="T40" s="29" t="str">
        <f aca="false">IF($A40="","",HYPERLINK(JiraSite&amp;"/browse/"&amp;$A40,"open"))</f>
        <v/>
      </c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7"/>
      <c r="H41" s="27"/>
      <c r="I41" s="27"/>
      <c r="J41" s="24"/>
      <c r="K41" s="24"/>
      <c r="L41" s="24"/>
      <c r="M41" s="29" t="str">
        <f aca="false">IF($A41="","",IFERROR(INDEX(MapStage,MATCH($C41,MapStatus,0)),"Unmapped"))</f>
        <v/>
      </c>
      <c r="N41" s="29" t="str">
        <f aca="false">IF($A41="","",AsOf-$H41)</f>
        <v/>
      </c>
      <c r="O41" s="29" t="str">
        <f aca="false">IF(OR($M41="",$M41="Closed",$M41="Unmapped"),"",INDEX(StageStale,MATCH($M41,StageName,0)))</f>
        <v/>
      </c>
      <c r="P41" s="29" t="str">
        <f aca="false">IF($A41="","",IF($M41="Closed","Closed",IF($J41="Y","Critical",IF(AND($I41&lt;&gt;"",$I41&lt;AsOf),"Critical",IF($M41="Unmapped","Warning",IF($N41&gt;2*$O41,"Critical",IF($N41&gt;$O41,"Warning","On track")))))))</f>
        <v/>
      </c>
      <c r="Q41" s="29" t="str">
        <f aca="false">IF(OR($P41="",$P41="Closed",$P41="On track"),"",IF($J41="Y","Flagged as an impediment",IF(AND($I41&lt;&gt;"",$I41&lt;AsOf),"Past due since "&amp;TEXT($I41,"yyyy-mm-dd"),IF($M41="Unmapped","Status '"&amp;$C41&amp;"' is not in the Config map","No update in "&amp;$N41&amp;" days (limit "&amp;$O41&amp;")"))))</f>
        <v/>
      </c>
      <c r="R41" s="29" t="str">
        <f aca="false">IF(OR($P41="",$P41="Closed",$P41="On track"),"",IF($P41="Critical",3000,2000)+$N41+ROW()/100000)</f>
        <v/>
      </c>
      <c r="S41" s="29" t="str">
        <f aca="false">IF($R41="","","draft Jira update for "&amp;$A41)</f>
        <v/>
      </c>
      <c r="T41" s="29" t="str">
        <f aca="false">IF($A41="","",HYPERLINK(JiraSite&amp;"/browse/"&amp;$A41,"open"))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7"/>
      <c r="H42" s="27"/>
      <c r="I42" s="27"/>
      <c r="J42" s="24"/>
      <c r="K42" s="24"/>
      <c r="L42" s="24"/>
      <c r="M42" s="29" t="str">
        <f aca="false">IF($A42="","",IFERROR(INDEX(MapStage,MATCH($C42,MapStatus,0)),"Unmapped"))</f>
        <v/>
      </c>
      <c r="N42" s="29" t="str">
        <f aca="false">IF($A42="","",AsOf-$H42)</f>
        <v/>
      </c>
      <c r="O42" s="29" t="str">
        <f aca="false">IF(OR($M42="",$M42="Closed",$M42="Unmapped"),"",INDEX(StageStale,MATCH($M42,StageName,0)))</f>
        <v/>
      </c>
      <c r="P42" s="29" t="str">
        <f aca="false">IF($A42="","",IF($M42="Closed","Closed",IF($J42="Y","Critical",IF(AND($I42&lt;&gt;"",$I42&lt;AsOf),"Critical",IF($M42="Unmapped","Warning",IF($N42&gt;2*$O42,"Critical",IF($N42&gt;$O42,"Warning","On track")))))))</f>
        <v/>
      </c>
      <c r="Q42" s="29" t="str">
        <f aca="false">IF(OR($P42="",$P42="Closed",$P42="On track"),"",IF($J42="Y","Flagged as an impediment",IF(AND($I42&lt;&gt;"",$I42&lt;AsOf),"Past due since "&amp;TEXT($I42,"yyyy-mm-dd"),IF($M42="Unmapped","Status '"&amp;$C42&amp;"' is not in the Config map","No update in "&amp;$N42&amp;" days (limit "&amp;$O42&amp;")"))))</f>
        <v/>
      </c>
      <c r="R42" s="29" t="str">
        <f aca="false">IF(OR($P42="",$P42="Closed",$P42="On track"),"",IF($P42="Critical",3000,2000)+$N42+ROW()/100000)</f>
        <v/>
      </c>
      <c r="S42" s="29" t="str">
        <f aca="false">IF($R42="","","draft Jira update for "&amp;$A42)</f>
        <v/>
      </c>
      <c r="T42" s="29" t="str">
        <f aca="false">IF($A42="","",HYPERLINK(JiraSite&amp;"/browse/"&amp;$A42,"open"))</f>
        <v/>
      </c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7"/>
      <c r="H43" s="27"/>
      <c r="I43" s="27"/>
      <c r="J43" s="24"/>
      <c r="K43" s="24"/>
      <c r="L43" s="24"/>
      <c r="M43" s="29" t="str">
        <f aca="false">IF($A43="","",IFERROR(INDEX(MapStage,MATCH($C43,MapStatus,0)),"Unmapped"))</f>
        <v/>
      </c>
      <c r="N43" s="29" t="str">
        <f aca="false">IF($A43="","",AsOf-$H43)</f>
        <v/>
      </c>
      <c r="O43" s="29" t="str">
        <f aca="false">IF(OR($M43="",$M43="Closed",$M43="Unmapped"),"",INDEX(StageStale,MATCH($M43,StageName,0)))</f>
        <v/>
      </c>
      <c r="P43" s="29" t="str">
        <f aca="false">IF($A43="","",IF($M43="Closed","Closed",IF($J43="Y","Critical",IF(AND($I43&lt;&gt;"",$I43&lt;AsOf),"Critical",IF($M43="Unmapped","Warning",IF($N43&gt;2*$O43,"Critical",IF($N43&gt;$O43,"Warning","On track")))))))</f>
        <v/>
      </c>
      <c r="Q43" s="29" t="str">
        <f aca="false">IF(OR($P43="",$P43="Closed",$P43="On track"),"",IF($J43="Y","Flagged as an impediment",IF(AND($I43&lt;&gt;"",$I43&lt;AsOf),"Past due since "&amp;TEXT($I43,"yyyy-mm-dd"),IF($M43="Unmapped","Status '"&amp;$C43&amp;"' is not in the Config map","No update in "&amp;$N43&amp;" days (limit "&amp;$O43&amp;")"))))</f>
        <v/>
      </c>
      <c r="R43" s="29" t="str">
        <f aca="false">IF(OR($P43="",$P43="Closed",$P43="On track"),"",IF($P43="Critical",3000,2000)+$N43+ROW()/100000)</f>
        <v/>
      </c>
      <c r="S43" s="29" t="str">
        <f aca="false">IF($R43="","","draft Jira update for "&amp;$A43)</f>
        <v/>
      </c>
      <c r="T43" s="29" t="str">
        <f aca="false">IF($A43="","",HYPERLINK(JiraSite&amp;"/browse/"&amp;$A43,"open"))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7"/>
      <c r="H44" s="27"/>
      <c r="I44" s="27"/>
      <c r="J44" s="24"/>
      <c r="K44" s="24"/>
      <c r="L44" s="24"/>
      <c r="M44" s="29" t="str">
        <f aca="false">IF($A44="","",IFERROR(INDEX(MapStage,MATCH($C44,MapStatus,0)),"Unmapped"))</f>
        <v/>
      </c>
      <c r="N44" s="29" t="str">
        <f aca="false">IF($A44="","",AsOf-$H44)</f>
        <v/>
      </c>
      <c r="O44" s="29" t="str">
        <f aca="false">IF(OR($M44="",$M44="Closed",$M44="Unmapped"),"",INDEX(StageStale,MATCH($M44,StageName,0)))</f>
        <v/>
      </c>
      <c r="P44" s="29" t="str">
        <f aca="false">IF($A44="","",IF($M44="Closed","Closed",IF($J44="Y","Critical",IF(AND($I44&lt;&gt;"",$I44&lt;AsOf),"Critical",IF($M44="Unmapped","Warning",IF($N44&gt;2*$O44,"Critical",IF($N44&gt;$O44,"Warning","On track")))))))</f>
        <v/>
      </c>
      <c r="Q44" s="29" t="str">
        <f aca="false">IF(OR($P44="",$P44="Closed",$P44="On track"),"",IF($J44="Y","Flagged as an impediment",IF(AND($I44&lt;&gt;"",$I44&lt;AsOf),"Past due since "&amp;TEXT($I44,"yyyy-mm-dd"),IF($M44="Unmapped","Status '"&amp;$C44&amp;"' is not in the Config map","No update in "&amp;$N44&amp;" days (limit "&amp;$O44&amp;")"))))</f>
        <v/>
      </c>
      <c r="R44" s="29" t="str">
        <f aca="false">IF(OR($P44="",$P44="Closed",$P44="On track"),"",IF($P44="Critical",3000,2000)+$N44+ROW()/100000)</f>
        <v/>
      </c>
      <c r="S44" s="29" t="str">
        <f aca="false">IF($R44="","","draft Jira update for "&amp;$A44)</f>
        <v/>
      </c>
      <c r="T44" s="29" t="str">
        <f aca="false">IF($A44="","",HYPERLINK(JiraSite&amp;"/browse/"&amp;$A44,"open"))</f>
        <v/>
      </c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7"/>
      <c r="H45" s="27"/>
      <c r="I45" s="27"/>
      <c r="J45" s="24"/>
      <c r="K45" s="24"/>
      <c r="L45" s="24"/>
      <c r="M45" s="29" t="str">
        <f aca="false">IF($A45="","",IFERROR(INDEX(MapStage,MATCH($C45,MapStatus,0)),"Unmapped"))</f>
        <v/>
      </c>
      <c r="N45" s="29" t="str">
        <f aca="false">IF($A45="","",AsOf-$H45)</f>
        <v/>
      </c>
      <c r="O45" s="29" t="str">
        <f aca="false">IF(OR($M45="",$M45="Closed",$M45="Unmapped"),"",INDEX(StageStale,MATCH($M45,StageName,0)))</f>
        <v/>
      </c>
      <c r="P45" s="29" t="str">
        <f aca="false">IF($A45="","",IF($M45="Closed","Closed",IF($J45="Y","Critical",IF(AND($I45&lt;&gt;"",$I45&lt;AsOf),"Critical",IF($M45="Unmapped","Warning",IF($N45&gt;2*$O45,"Critical",IF($N45&gt;$O45,"Warning","On track")))))))</f>
        <v/>
      </c>
      <c r="Q45" s="29" t="str">
        <f aca="false">IF(OR($P45="",$P45="Closed",$P45="On track"),"",IF($J45="Y","Flagged as an impediment",IF(AND($I45&lt;&gt;"",$I45&lt;AsOf),"Past due since "&amp;TEXT($I45,"yyyy-mm-dd"),IF($M45="Unmapped","Status '"&amp;$C45&amp;"' is not in the Config map","No update in "&amp;$N45&amp;" days (limit "&amp;$O45&amp;")"))))</f>
        <v/>
      </c>
      <c r="R45" s="29" t="str">
        <f aca="false">IF(OR($P45="",$P45="Closed",$P45="On track"),"",IF($P45="Critical",3000,2000)+$N45+ROW()/100000)</f>
        <v/>
      </c>
      <c r="S45" s="29" t="str">
        <f aca="false">IF($R45="","","draft Jira update for "&amp;$A45)</f>
        <v/>
      </c>
      <c r="T45" s="29" t="str">
        <f aca="false">IF($A45="","",HYPERLINK(JiraSite&amp;"/browse/"&amp;$A45,"open"))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7"/>
      <c r="H46" s="27"/>
      <c r="I46" s="27"/>
      <c r="J46" s="24"/>
      <c r="K46" s="24"/>
      <c r="L46" s="24"/>
      <c r="M46" s="29" t="str">
        <f aca="false">IF($A46="","",IFERROR(INDEX(MapStage,MATCH($C46,MapStatus,0)),"Unmapped"))</f>
        <v/>
      </c>
      <c r="N46" s="29" t="str">
        <f aca="false">IF($A46="","",AsOf-$H46)</f>
        <v/>
      </c>
      <c r="O46" s="29" t="str">
        <f aca="false">IF(OR($M46="",$M46="Closed",$M46="Unmapped"),"",INDEX(StageStale,MATCH($M46,StageName,0)))</f>
        <v/>
      </c>
      <c r="P46" s="29" t="str">
        <f aca="false">IF($A46="","",IF($M46="Closed","Closed",IF($J46="Y","Critical",IF(AND($I46&lt;&gt;"",$I46&lt;AsOf),"Critical",IF($M46="Unmapped","Warning",IF($N46&gt;2*$O46,"Critical",IF($N46&gt;$O46,"Warning","On track")))))))</f>
        <v/>
      </c>
      <c r="Q46" s="29" t="str">
        <f aca="false">IF(OR($P46="",$P46="Closed",$P46="On track"),"",IF($J46="Y","Flagged as an impediment",IF(AND($I46&lt;&gt;"",$I46&lt;AsOf),"Past due since "&amp;TEXT($I46,"yyyy-mm-dd"),IF($M46="Unmapped","Status '"&amp;$C46&amp;"' is not in the Config map","No update in "&amp;$N46&amp;" days (limit "&amp;$O46&amp;")"))))</f>
        <v/>
      </c>
      <c r="R46" s="29" t="str">
        <f aca="false">IF(OR($P46="",$P46="Closed",$P46="On track"),"",IF($P46="Critical",3000,2000)+$N46+ROW()/100000)</f>
        <v/>
      </c>
      <c r="S46" s="29" t="str">
        <f aca="false">IF($R46="","","draft Jira update for "&amp;$A46)</f>
        <v/>
      </c>
      <c r="T46" s="29" t="str">
        <f aca="false">IF($A46="","",HYPERLINK(JiraSite&amp;"/browse/"&amp;$A46,"open"))</f>
        <v/>
      </c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7"/>
      <c r="H47" s="27"/>
      <c r="I47" s="27"/>
      <c r="J47" s="24"/>
      <c r="K47" s="24"/>
      <c r="L47" s="24"/>
      <c r="M47" s="29" t="str">
        <f aca="false">IF($A47="","",IFERROR(INDEX(MapStage,MATCH($C47,MapStatus,0)),"Unmapped"))</f>
        <v/>
      </c>
      <c r="N47" s="29" t="str">
        <f aca="false">IF($A47="","",AsOf-$H47)</f>
        <v/>
      </c>
      <c r="O47" s="29" t="str">
        <f aca="false">IF(OR($M47="",$M47="Closed",$M47="Unmapped"),"",INDEX(StageStale,MATCH($M47,StageName,0)))</f>
        <v/>
      </c>
      <c r="P47" s="29" t="str">
        <f aca="false">IF($A47="","",IF($M47="Closed","Closed",IF($J47="Y","Critical",IF(AND($I47&lt;&gt;"",$I47&lt;AsOf),"Critical",IF($M47="Unmapped","Warning",IF($N47&gt;2*$O47,"Critical",IF($N47&gt;$O47,"Warning","On track")))))))</f>
        <v/>
      </c>
      <c r="Q47" s="29" t="str">
        <f aca="false">IF(OR($P47="",$P47="Closed",$P47="On track"),"",IF($J47="Y","Flagged as an impediment",IF(AND($I47&lt;&gt;"",$I47&lt;AsOf),"Past due since "&amp;TEXT($I47,"yyyy-mm-dd"),IF($M47="Unmapped","Status '"&amp;$C47&amp;"' is not in the Config map","No update in "&amp;$N47&amp;" days (limit "&amp;$O47&amp;")"))))</f>
        <v/>
      </c>
      <c r="R47" s="29" t="str">
        <f aca="false">IF(OR($P47="",$P47="Closed",$P47="On track"),"",IF($P47="Critical",3000,2000)+$N47+ROW()/100000)</f>
        <v/>
      </c>
      <c r="S47" s="29" t="str">
        <f aca="false">IF($R47="","","draft Jira update for "&amp;$A47)</f>
        <v/>
      </c>
      <c r="T47" s="29" t="str">
        <f aca="false">IF($A47="","",HYPERLINK(JiraSite&amp;"/browse/"&amp;$A47,"open"))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7"/>
      <c r="H48" s="27"/>
      <c r="I48" s="27"/>
      <c r="J48" s="24"/>
      <c r="K48" s="24"/>
      <c r="L48" s="24"/>
      <c r="M48" s="29" t="str">
        <f aca="false">IF($A48="","",IFERROR(INDEX(MapStage,MATCH($C48,MapStatus,0)),"Unmapped"))</f>
        <v/>
      </c>
      <c r="N48" s="29" t="str">
        <f aca="false">IF($A48="","",AsOf-$H48)</f>
        <v/>
      </c>
      <c r="O48" s="29" t="str">
        <f aca="false">IF(OR($M48="",$M48="Closed",$M48="Unmapped"),"",INDEX(StageStale,MATCH($M48,StageName,0)))</f>
        <v/>
      </c>
      <c r="P48" s="29" t="str">
        <f aca="false">IF($A48="","",IF($M48="Closed","Closed",IF($J48="Y","Critical",IF(AND($I48&lt;&gt;"",$I48&lt;AsOf),"Critical",IF($M48="Unmapped","Warning",IF($N48&gt;2*$O48,"Critical",IF($N48&gt;$O48,"Warning","On track")))))))</f>
        <v/>
      </c>
      <c r="Q48" s="29" t="str">
        <f aca="false">IF(OR($P48="",$P48="Closed",$P48="On track"),"",IF($J48="Y","Flagged as an impediment",IF(AND($I48&lt;&gt;"",$I48&lt;AsOf),"Past due since "&amp;TEXT($I48,"yyyy-mm-dd"),IF($M48="Unmapped","Status '"&amp;$C48&amp;"' is not in the Config map","No update in "&amp;$N48&amp;" days (limit "&amp;$O48&amp;")"))))</f>
        <v/>
      </c>
      <c r="R48" s="29" t="str">
        <f aca="false">IF(OR($P48="",$P48="Closed",$P48="On track"),"",IF($P48="Critical",3000,2000)+$N48+ROW()/100000)</f>
        <v/>
      </c>
      <c r="S48" s="29" t="str">
        <f aca="false">IF($R48="","","draft Jira update for "&amp;$A48)</f>
        <v/>
      </c>
      <c r="T48" s="29" t="str">
        <f aca="false">IF($A48="","",HYPERLINK(JiraSite&amp;"/browse/"&amp;$A48,"open"))</f>
        <v/>
      </c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7"/>
      <c r="H49" s="27"/>
      <c r="I49" s="27"/>
      <c r="J49" s="24"/>
      <c r="K49" s="24"/>
      <c r="L49" s="24"/>
      <c r="M49" s="29" t="str">
        <f aca="false">IF($A49="","",IFERROR(INDEX(MapStage,MATCH($C49,MapStatus,0)),"Unmapped"))</f>
        <v/>
      </c>
      <c r="N49" s="29" t="str">
        <f aca="false">IF($A49="","",AsOf-$H49)</f>
        <v/>
      </c>
      <c r="O49" s="29" t="str">
        <f aca="false">IF(OR($M49="",$M49="Closed",$M49="Unmapped"),"",INDEX(StageStale,MATCH($M49,StageName,0)))</f>
        <v/>
      </c>
      <c r="P49" s="29" t="str">
        <f aca="false">IF($A49="","",IF($M49="Closed","Closed",IF($J49="Y","Critical",IF(AND($I49&lt;&gt;"",$I49&lt;AsOf),"Critical",IF($M49="Unmapped","Warning",IF($N49&gt;2*$O49,"Critical",IF($N49&gt;$O49,"Warning","On track")))))))</f>
        <v/>
      </c>
      <c r="Q49" s="29" t="str">
        <f aca="false">IF(OR($P49="",$P49="Closed",$P49="On track"),"",IF($J49="Y","Flagged as an impediment",IF(AND($I49&lt;&gt;"",$I49&lt;AsOf),"Past due since "&amp;TEXT($I49,"yyyy-mm-dd"),IF($M49="Unmapped","Status '"&amp;$C49&amp;"' is not in the Config map","No update in "&amp;$N49&amp;" days (limit "&amp;$O49&amp;")"))))</f>
        <v/>
      </c>
      <c r="R49" s="29" t="str">
        <f aca="false">IF(OR($P49="",$P49="Closed",$P49="On track"),"",IF($P49="Critical",3000,2000)+$N49+ROW()/100000)</f>
        <v/>
      </c>
      <c r="S49" s="29" t="str">
        <f aca="false">IF($R49="","","draft Jira update for "&amp;$A49)</f>
        <v/>
      </c>
      <c r="T49" s="29" t="str">
        <f aca="false">IF($A49="","",HYPERLINK(JiraSite&amp;"/browse/"&amp;$A49,"open"))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7"/>
      <c r="H50" s="27"/>
      <c r="I50" s="27"/>
      <c r="J50" s="24"/>
      <c r="K50" s="24"/>
      <c r="L50" s="24"/>
      <c r="M50" s="29" t="str">
        <f aca="false">IF($A50="","",IFERROR(INDEX(MapStage,MATCH($C50,MapStatus,0)),"Unmapped"))</f>
        <v/>
      </c>
      <c r="N50" s="29" t="str">
        <f aca="false">IF($A50="","",AsOf-$H50)</f>
        <v/>
      </c>
      <c r="O50" s="29" t="str">
        <f aca="false">IF(OR($M50="",$M50="Closed",$M50="Unmapped"),"",INDEX(StageStale,MATCH($M50,StageName,0)))</f>
        <v/>
      </c>
      <c r="P50" s="29" t="str">
        <f aca="false">IF($A50="","",IF($M50="Closed","Closed",IF($J50="Y","Critical",IF(AND($I50&lt;&gt;"",$I50&lt;AsOf),"Critical",IF($M50="Unmapped","Warning",IF($N50&gt;2*$O50,"Critical",IF($N50&gt;$O50,"Warning","On track")))))))</f>
        <v/>
      </c>
      <c r="Q50" s="29" t="str">
        <f aca="false">IF(OR($P50="",$P50="Closed",$P50="On track"),"",IF($J50="Y","Flagged as an impediment",IF(AND($I50&lt;&gt;"",$I50&lt;AsOf),"Past due since "&amp;TEXT($I50,"yyyy-mm-dd"),IF($M50="Unmapped","Status '"&amp;$C50&amp;"' is not in the Config map","No update in "&amp;$N50&amp;" days (limit "&amp;$O50&amp;")"))))</f>
        <v/>
      </c>
      <c r="R50" s="29" t="str">
        <f aca="false">IF(OR($P50="",$P50="Closed",$P50="On track"),"",IF($P50="Critical",3000,2000)+$N50+ROW()/100000)</f>
        <v/>
      </c>
      <c r="S50" s="29" t="str">
        <f aca="false">IF($R50="","","draft Jira update for "&amp;$A50)</f>
        <v/>
      </c>
      <c r="T50" s="29" t="str">
        <f aca="false">IF($A50="","",HYPERLINK(JiraSite&amp;"/browse/"&amp;$A50,"open"))</f>
        <v/>
      </c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7"/>
      <c r="H51" s="27"/>
      <c r="I51" s="27"/>
      <c r="J51" s="24"/>
      <c r="K51" s="24"/>
      <c r="L51" s="24"/>
      <c r="M51" s="29" t="str">
        <f aca="false">IF($A51="","",IFERROR(INDEX(MapStage,MATCH($C51,MapStatus,0)),"Unmapped"))</f>
        <v/>
      </c>
      <c r="N51" s="29" t="str">
        <f aca="false">IF($A51="","",AsOf-$H51)</f>
        <v/>
      </c>
      <c r="O51" s="29" t="str">
        <f aca="false">IF(OR($M51="",$M51="Closed",$M51="Unmapped"),"",INDEX(StageStale,MATCH($M51,StageName,0)))</f>
        <v/>
      </c>
      <c r="P51" s="29" t="str">
        <f aca="false">IF($A51="","",IF($M51="Closed","Closed",IF($J51="Y","Critical",IF(AND($I51&lt;&gt;"",$I51&lt;AsOf),"Critical",IF($M51="Unmapped","Warning",IF($N51&gt;2*$O51,"Critical",IF($N51&gt;$O51,"Warning","On track")))))))</f>
        <v/>
      </c>
      <c r="Q51" s="29" t="str">
        <f aca="false">IF(OR($P51="",$P51="Closed",$P51="On track"),"",IF($J51="Y","Flagged as an impediment",IF(AND($I51&lt;&gt;"",$I51&lt;AsOf),"Past due since "&amp;TEXT($I51,"yyyy-mm-dd"),IF($M51="Unmapped","Status '"&amp;$C51&amp;"' is not in the Config map","No update in "&amp;$N51&amp;" days (limit "&amp;$O51&amp;")"))))</f>
        <v/>
      </c>
      <c r="R51" s="29" t="str">
        <f aca="false">IF(OR($P51="",$P51="Closed",$P51="On track"),"",IF($P51="Critical",3000,2000)+$N51+ROW()/100000)</f>
        <v/>
      </c>
      <c r="S51" s="29" t="str">
        <f aca="false">IF($R51="","","draft Jira update for "&amp;$A51)</f>
        <v/>
      </c>
      <c r="T51" s="29" t="str">
        <f aca="false">IF($A51="","",HYPERLINK(JiraSite&amp;"/browse/"&amp;$A51,"open"))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7"/>
      <c r="H52" s="27"/>
      <c r="I52" s="27"/>
      <c r="J52" s="24"/>
      <c r="K52" s="24"/>
      <c r="L52" s="24"/>
      <c r="M52" s="29" t="str">
        <f aca="false">IF($A52="","",IFERROR(INDEX(MapStage,MATCH($C52,MapStatus,0)),"Unmapped"))</f>
        <v/>
      </c>
      <c r="N52" s="29" t="str">
        <f aca="false">IF($A52="","",AsOf-$H52)</f>
        <v/>
      </c>
      <c r="O52" s="29" t="str">
        <f aca="false">IF(OR($M52="",$M52="Closed",$M52="Unmapped"),"",INDEX(StageStale,MATCH($M52,StageName,0)))</f>
        <v/>
      </c>
      <c r="P52" s="29" t="str">
        <f aca="false">IF($A52="","",IF($M52="Closed","Closed",IF($J52="Y","Critical",IF(AND($I52&lt;&gt;"",$I52&lt;AsOf),"Critical",IF($M52="Unmapped","Warning",IF($N52&gt;2*$O52,"Critical",IF($N52&gt;$O52,"Warning","On track")))))))</f>
        <v/>
      </c>
      <c r="Q52" s="29" t="str">
        <f aca="false">IF(OR($P52="",$P52="Closed",$P52="On track"),"",IF($J52="Y","Flagged as an impediment",IF(AND($I52&lt;&gt;"",$I52&lt;AsOf),"Past due since "&amp;TEXT($I52,"yyyy-mm-dd"),IF($M52="Unmapped","Status '"&amp;$C52&amp;"' is not in the Config map","No update in "&amp;$N52&amp;" days (limit "&amp;$O52&amp;")"))))</f>
        <v/>
      </c>
      <c r="R52" s="29" t="str">
        <f aca="false">IF(OR($P52="",$P52="Closed",$P52="On track"),"",IF($P52="Critical",3000,2000)+$N52+ROW()/100000)</f>
        <v/>
      </c>
      <c r="S52" s="29" t="str">
        <f aca="false">IF($R52="","","draft Jira update for "&amp;$A52)</f>
        <v/>
      </c>
      <c r="T52" s="29" t="str">
        <f aca="false">IF($A52="","",HYPERLINK(JiraSite&amp;"/browse/"&amp;$A52,"open"))</f>
        <v/>
      </c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7"/>
      <c r="H53" s="27"/>
      <c r="I53" s="27"/>
      <c r="J53" s="24"/>
      <c r="K53" s="24"/>
      <c r="L53" s="24"/>
      <c r="M53" s="29" t="str">
        <f aca="false">IF($A53="","",IFERROR(INDEX(MapStage,MATCH($C53,MapStatus,0)),"Unmapped"))</f>
        <v/>
      </c>
      <c r="N53" s="29" t="str">
        <f aca="false">IF($A53="","",AsOf-$H53)</f>
        <v/>
      </c>
      <c r="O53" s="29" t="str">
        <f aca="false">IF(OR($M53="",$M53="Closed",$M53="Unmapped"),"",INDEX(StageStale,MATCH($M53,StageName,0)))</f>
        <v/>
      </c>
      <c r="P53" s="29" t="str">
        <f aca="false">IF($A53="","",IF($M53="Closed","Closed",IF($J53="Y","Critical",IF(AND($I53&lt;&gt;"",$I53&lt;AsOf),"Critical",IF($M53="Unmapped","Warning",IF($N53&gt;2*$O53,"Critical",IF($N53&gt;$O53,"Warning","On track")))))))</f>
        <v/>
      </c>
      <c r="Q53" s="29" t="str">
        <f aca="false">IF(OR($P53="",$P53="Closed",$P53="On track"),"",IF($J53="Y","Flagged as an impediment",IF(AND($I53&lt;&gt;"",$I53&lt;AsOf),"Past due since "&amp;TEXT($I53,"yyyy-mm-dd"),IF($M53="Unmapped","Status '"&amp;$C53&amp;"' is not in the Config map","No update in "&amp;$N53&amp;" days (limit "&amp;$O53&amp;")"))))</f>
        <v/>
      </c>
      <c r="R53" s="29" t="str">
        <f aca="false">IF(OR($P53="",$P53="Closed",$P53="On track"),"",IF($P53="Critical",3000,2000)+$N53+ROW()/100000)</f>
        <v/>
      </c>
      <c r="S53" s="29" t="str">
        <f aca="false">IF($R53="","","draft Jira update for "&amp;$A53)</f>
        <v/>
      </c>
      <c r="T53" s="29" t="str">
        <f aca="false">IF($A53="","",HYPERLINK(JiraSite&amp;"/browse/"&amp;$A53,"open"))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7"/>
      <c r="H54" s="27"/>
      <c r="I54" s="27"/>
      <c r="J54" s="24"/>
      <c r="K54" s="24"/>
      <c r="L54" s="24"/>
      <c r="M54" s="29" t="str">
        <f aca="false">IF($A54="","",IFERROR(INDEX(MapStage,MATCH($C54,MapStatus,0)),"Unmapped"))</f>
        <v/>
      </c>
      <c r="N54" s="29" t="str">
        <f aca="false">IF($A54="","",AsOf-$H54)</f>
        <v/>
      </c>
      <c r="O54" s="29" t="str">
        <f aca="false">IF(OR($M54="",$M54="Closed",$M54="Unmapped"),"",INDEX(StageStale,MATCH($M54,StageName,0)))</f>
        <v/>
      </c>
      <c r="P54" s="29" t="str">
        <f aca="false">IF($A54="","",IF($M54="Closed","Closed",IF($J54="Y","Critical",IF(AND($I54&lt;&gt;"",$I54&lt;AsOf),"Critical",IF($M54="Unmapped","Warning",IF($N54&gt;2*$O54,"Critical",IF($N54&gt;$O54,"Warning","On track")))))))</f>
        <v/>
      </c>
      <c r="Q54" s="29" t="str">
        <f aca="false">IF(OR($P54="",$P54="Closed",$P54="On track"),"",IF($J54="Y","Flagged as an impediment",IF(AND($I54&lt;&gt;"",$I54&lt;AsOf),"Past due since "&amp;TEXT($I54,"yyyy-mm-dd"),IF($M54="Unmapped","Status '"&amp;$C54&amp;"' is not in the Config map","No update in "&amp;$N54&amp;" days (limit "&amp;$O54&amp;")"))))</f>
        <v/>
      </c>
      <c r="R54" s="29" t="str">
        <f aca="false">IF(OR($P54="",$P54="Closed",$P54="On track"),"",IF($P54="Critical",3000,2000)+$N54+ROW()/100000)</f>
        <v/>
      </c>
      <c r="S54" s="29" t="str">
        <f aca="false">IF($R54="","","draft Jira update for "&amp;$A54)</f>
        <v/>
      </c>
      <c r="T54" s="29" t="str">
        <f aca="false">IF($A54="","",HYPERLINK(JiraSite&amp;"/browse/"&amp;$A54,"open"))</f>
        <v/>
      </c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7"/>
      <c r="H55" s="27"/>
      <c r="I55" s="27"/>
      <c r="J55" s="24"/>
      <c r="K55" s="24"/>
      <c r="L55" s="24"/>
      <c r="M55" s="29" t="str">
        <f aca="false">IF($A55="","",IFERROR(INDEX(MapStage,MATCH($C55,MapStatus,0)),"Unmapped"))</f>
        <v/>
      </c>
      <c r="N55" s="29" t="str">
        <f aca="false">IF($A55="","",AsOf-$H55)</f>
        <v/>
      </c>
      <c r="O55" s="29" t="str">
        <f aca="false">IF(OR($M55="",$M55="Closed",$M55="Unmapped"),"",INDEX(StageStale,MATCH($M55,StageName,0)))</f>
        <v/>
      </c>
      <c r="P55" s="29" t="str">
        <f aca="false">IF($A55="","",IF($M55="Closed","Closed",IF($J55="Y","Critical",IF(AND($I55&lt;&gt;"",$I55&lt;AsOf),"Critical",IF($M55="Unmapped","Warning",IF($N55&gt;2*$O55,"Critical",IF($N55&gt;$O55,"Warning","On track")))))))</f>
        <v/>
      </c>
      <c r="Q55" s="29" t="str">
        <f aca="false">IF(OR($P55="",$P55="Closed",$P55="On track"),"",IF($J55="Y","Flagged as an impediment",IF(AND($I55&lt;&gt;"",$I55&lt;AsOf),"Past due since "&amp;TEXT($I55,"yyyy-mm-dd"),IF($M55="Unmapped","Status '"&amp;$C55&amp;"' is not in the Config map","No update in "&amp;$N55&amp;" days (limit "&amp;$O55&amp;")"))))</f>
        <v/>
      </c>
      <c r="R55" s="29" t="str">
        <f aca="false">IF(OR($P55="",$P55="Closed",$P55="On track"),"",IF($P55="Critical",3000,2000)+$N55+ROW()/100000)</f>
        <v/>
      </c>
      <c r="S55" s="29" t="str">
        <f aca="false">IF($R55="","","draft Jira update for "&amp;$A55)</f>
        <v/>
      </c>
      <c r="T55" s="29" t="str">
        <f aca="false">IF($A55="","",HYPERLINK(JiraSite&amp;"/browse/"&amp;$A55,"open"))</f>
        <v/>
      </c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7"/>
      <c r="H56" s="27"/>
      <c r="I56" s="27"/>
      <c r="J56" s="24"/>
      <c r="K56" s="24"/>
      <c r="L56" s="24"/>
      <c r="M56" s="29" t="str">
        <f aca="false">IF($A56="","",IFERROR(INDEX(MapStage,MATCH($C56,MapStatus,0)),"Unmapped"))</f>
        <v/>
      </c>
      <c r="N56" s="29" t="str">
        <f aca="false">IF($A56="","",AsOf-$H56)</f>
        <v/>
      </c>
      <c r="O56" s="29" t="str">
        <f aca="false">IF(OR($M56="",$M56="Closed",$M56="Unmapped"),"",INDEX(StageStale,MATCH($M56,StageName,0)))</f>
        <v/>
      </c>
      <c r="P56" s="29" t="str">
        <f aca="false">IF($A56="","",IF($M56="Closed","Closed",IF($J56="Y","Critical",IF(AND($I56&lt;&gt;"",$I56&lt;AsOf),"Critical",IF($M56="Unmapped","Warning",IF($N56&gt;2*$O56,"Critical",IF($N56&gt;$O56,"Warning","On track")))))))</f>
        <v/>
      </c>
      <c r="Q56" s="29" t="str">
        <f aca="false">IF(OR($P56="",$P56="Closed",$P56="On track"),"",IF($J56="Y","Flagged as an impediment",IF(AND($I56&lt;&gt;"",$I56&lt;AsOf),"Past due since "&amp;TEXT($I56,"yyyy-mm-dd"),IF($M56="Unmapped","Status '"&amp;$C56&amp;"' is not in the Config map","No update in "&amp;$N56&amp;" days (limit "&amp;$O56&amp;")"))))</f>
        <v/>
      </c>
      <c r="R56" s="29" t="str">
        <f aca="false">IF(OR($P56="",$P56="Closed",$P56="On track"),"",IF($P56="Critical",3000,2000)+$N56+ROW()/100000)</f>
        <v/>
      </c>
      <c r="S56" s="29" t="str">
        <f aca="false">IF($R56="","","draft Jira update for "&amp;$A56)</f>
        <v/>
      </c>
      <c r="T56" s="29" t="str">
        <f aca="false">IF($A56="","",HYPERLINK(JiraSite&amp;"/browse/"&amp;$A56,"open"))</f>
        <v/>
      </c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7"/>
      <c r="H57" s="27"/>
      <c r="I57" s="27"/>
      <c r="J57" s="24"/>
      <c r="K57" s="24"/>
      <c r="L57" s="24"/>
      <c r="M57" s="29" t="str">
        <f aca="false">IF($A57="","",IFERROR(INDEX(MapStage,MATCH($C57,MapStatus,0)),"Unmapped"))</f>
        <v/>
      </c>
      <c r="N57" s="29" t="str">
        <f aca="false">IF($A57="","",AsOf-$H57)</f>
        <v/>
      </c>
      <c r="O57" s="29" t="str">
        <f aca="false">IF(OR($M57="",$M57="Closed",$M57="Unmapped"),"",INDEX(StageStale,MATCH($M57,StageName,0)))</f>
        <v/>
      </c>
      <c r="P57" s="29" t="str">
        <f aca="false">IF($A57="","",IF($M57="Closed","Closed",IF($J57="Y","Critical",IF(AND($I57&lt;&gt;"",$I57&lt;AsOf),"Critical",IF($M57="Unmapped","Warning",IF($N57&gt;2*$O57,"Critical",IF($N57&gt;$O57,"Warning","On track")))))))</f>
        <v/>
      </c>
      <c r="Q57" s="29" t="str">
        <f aca="false">IF(OR($P57="",$P57="Closed",$P57="On track"),"",IF($J57="Y","Flagged as an impediment",IF(AND($I57&lt;&gt;"",$I57&lt;AsOf),"Past due since "&amp;TEXT($I57,"yyyy-mm-dd"),IF($M57="Unmapped","Status '"&amp;$C57&amp;"' is not in the Config map","No update in "&amp;$N57&amp;" days (limit "&amp;$O57&amp;")"))))</f>
        <v/>
      </c>
      <c r="R57" s="29" t="str">
        <f aca="false">IF(OR($P57="",$P57="Closed",$P57="On track"),"",IF($P57="Critical",3000,2000)+$N57+ROW()/100000)</f>
        <v/>
      </c>
      <c r="S57" s="29" t="str">
        <f aca="false">IF($R57="","","draft Jira update for "&amp;$A57)</f>
        <v/>
      </c>
      <c r="T57" s="29" t="str">
        <f aca="false">IF($A57="","",HYPERLINK(JiraSite&amp;"/browse/"&amp;$A57,"open"))</f>
        <v/>
      </c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7"/>
      <c r="H58" s="27"/>
      <c r="I58" s="27"/>
      <c r="J58" s="24"/>
      <c r="K58" s="24"/>
      <c r="L58" s="24"/>
      <c r="M58" s="29" t="str">
        <f aca="false">IF($A58="","",IFERROR(INDEX(MapStage,MATCH($C58,MapStatus,0)),"Unmapped"))</f>
        <v/>
      </c>
      <c r="N58" s="29" t="str">
        <f aca="false">IF($A58="","",AsOf-$H58)</f>
        <v/>
      </c>
      <c r="O58" s="29" t="str">
        <f aca="false">IF(OR($M58="",$M58="Closed",$M58="Unmapped"),"",INDEX(StageStale,MATCH($M58,StageName,0)))</f>
        <v/>
      </c>
      <c r="P58" s="29" t="str">
        <f aca="false">IF($A58="","",IF($M58="Closed","Closed",IF($J58="Y","Critical",IF(AND($I58&lt;&gt;"",$I58&lt;AsOf),"Critical",IF($M58="Unmapped","Warning",IF($N58&gt;2*$O58,"Critical",IF($N58&gt;$O58,"Warning","On track")))))))</f>
        <v/>
      </c>
      <c r="Q58" s="29" t="str">
        <f aca="false">IF(OR($P58="",$P58="Closed",$P58="On track"),"",IF($J58="Y","Flagged as an impediment",IF(AND($I58&lt;&gt;"",$I58&lt;AsOf),"Past due since "&amp;TEXT($I58,"yyyy-mm-dd"),IF($M58="Unmapped","Status '"&amp;$C58&amp;"' is not in the Config map","No update in "&amp;$N58&amp;" days (limit "&amp;$O58&amp;")"))))</f>
        <v/>
      </c>
      <c r="R58" s="29" t="str">
        <f aca="false">IF(OR($P58="",$P58="Closed",$P58="On track"),"",IF($P58="Critical",3000,2000)+$N58+ROW()/100000)</f>
        <v/>
      </c>
      <c r="S58" s="29" t="str">
        <f aca="false">IF($R58="","","draft Jira update for "&amp;$A58)</f>
        <v/>
      </c>
      <c r="T58" s="29" t="str">
        <f aca="false">IF($A58="","",HYPERLINK(JiraSite&amp;"/browse/"&amp;$A58,"open"))</f>
        <v/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7"/>
      <c r="H59" s="27"/>
      <c r="I59" s="27"/>
      <c r="J59" s="24"/>
      <c r="K59" s="24"/>
      <c r="L59" s="24"/>
      <c r="M59" s="29" t="str">
        <f aca="false">IF($A59="","",IFERROR(INDEX(MapStage,MATCH($C59,MapStatus,0)),"Unmapped"))</f>
        <v/>
      </c>
      <c r="N59" s="29" t="str">
        <f aca="false">IF($A59="","",AsOf-$H59)</f>
        <v/>
      </c>
      <c r="O59" s="29" t="str">
        <f aca="false">IF(OR($M59="",$M59="Closed",$M59="Unmapped"),"",INDEX(StageStale,MATCH($M59,StageName,0)))</f>
        <v/>
      </c>
      <c r="P59" s="29" t="str">
        <f aca="false">IF($A59="","",IF($M59="Closed","Closed",IF($J59="Y","Critical",IF(AND($I59&lt;&gt;"",$I59&lt;AsOf),"Critical",IF($M59="Unmapped","Warning",IF($N59&gt;2*$O59,"Critical",IF($N59&gt;$O59,"Warning","On track")))))))</f>
        <v/>
      </c>
      <c r="Q59" s="29" t="str">
        <f aca="false">IF(OR($P59="",$P59="Closed",$P59="On track"),"",IF($J59="Y","Flagged as an impediment",IF(AND($I59&lt;&gt;"",$I59&lt;AsOf),"Past due since "&amp;TEXT($I59,"yyyy-mm-dd"),IF($M59="Unmapped","Status '"&amp;$C59&amp;"' is not in the Config map","No update in "&amp;$N59&amp;" days (limit "&amp;$O59&amp;")"))))</f>
        <v/>
      </c>
      <c r="R59" s="29" t="str">
        <f aca="false">IF(OR($P59="",$P59="Closed",$P59="On track"),"",IF($P59="Critical",3000,2000)+$N59+ROW()/100000)</f>
        <v/>
      </c>
      <c r="S59" s="29" t="str">
        <f aca="false">IF($R59="","","draft Jira update for "&amp;$A59)</f>
        <v/>
      </c>
      <c r="T59" s="29" t="str">
        <f aca="false">IF($A59="","",HYPERLINK(JiraSite&amp;"/browse/"&amp;$A59,"open"))</f>
        <v/>
      </c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7"/>
      <c r="H60" s="27"/>
      <c r="I60" s="27"/>
      <c r="J60" s="24"/>
      <c r="K60" s="24"/>
      <c r="L60" s="24"/>
      <c r="M60" s="29" t="str">
        <f aca="false">IF($A60="","",IFERROR(INDEX(MapStage,MATCH($C60,MapStatus,0)),"Unmapped"))</f>
        <v/>
      </c>
      <c r="N60" s="29" t="str">
        <f aca="false">IF($A60="","",AsOf-$H60)</f>
        <v/>
      </c>
      <c r="O60" s="29" t="str">
        <f aca="false">IF(OR($M60="",$M60="Closed",$M60="Unmapped"),"",INDEX(StageStale,MATCH($M60,StageName,0)))</f>
        <v/>
      </c>
      <c r="P60" s="29" t="str">
        <f aca="false">IF($A60="","",IF($M60="Closed","Closed",IF($J60="Y","Critical",IF(AND($I60&lt;&gt;"",$I60&lt;AsOf),"Critical",IF($M60="Unmapped","Warning",IF($N60&gt;2*$O60,"Critical",IF($N60&gt;$O60,"Warning","On track")))))))</f>
        <v/>
      </c>
      <c r="Q60" s="29" t="str">
        <f aca="false">IF(OR($P60="",$P60="Closed",$P60="On track"),"",IF($J60="Y","Flagged as an impediment",IF(AND($I60&lt;&gt;"",$I60&lt;AsOf),"Past due since "&amp;TEXT($I60,"yyyy-mm-dd"),IF($M60="Unmapped","Status '"&amp;$C60&amp;"' is not in the Config map","No update in "&amp;$N60&amp;" days (limit "&amp;$O60&amp;")"))))</f>
        <v/>
      </c>
      <c r="R60" s="29" t="str">
        <f aca="false">IF(OR($P60="",$P60="Closed",$P60="On track"),"",IF($P60="Critical",3000,2000)+$N60+ROW()/100000)</f>
        <v/>
      </c>
      <c r="S60" s="29" t="str">
        <f aca="false">IF($R60="","","draft Jira update for "&amp;$A60)</f>
        <v/>
      </c>
      <c r="T60" s="29" t="str">
        <f aca="false">IF($A60="","",HYPERLINK(JiraSite&amp;"/browse/"&amp;$A60,"open"))</f>
        <v/>
      </c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7"/>
      <c r="H61" s="27"/>
      <c r="I61" s="27"/>
      <c r="J61" s="24"/>
      <c r="K61" s="24"/>
      <c r="L61" s="24"/>
      <c r="M61" s="29" t="str">
        <f aca="false">IF($A61="","",IFERROR(INDEX(MapStage,MATCH($C61,MapStatus,0)),"Unmapped"))</f>
        <v/>
      </c>
      <c r="N61" s="29" t="str">
        <f aca="false">IF($A61="","",AsOf-$H61)</f>
        <v/>
      </c>
      <c r="O61" s="29" t="str">
        <f aca="false">IF(OR($M61="",$M61="Closed",$M61="Unmapped"),"",INDEX(StageStale,MATCH($M61,StageName,0)))</f>
        <v/>
      </c>
      <c r="P61" s="29" t="str">
        <f aca="false">IF($A61="","",IF($M61="Closed","Closed",IF($J61="Y","Critical",IF(AND($I61&lt;&gt;"",$I61&lt;AsOf),"Critical",IF($M61="Unmapped","Warning",IF($N61&gt;2*$O61,"Critical",IF($N61&gt;$O61,"Warning","On track")))))))</f>
        <v/>
      </c>
      <c r="Q61" s="29" t="str">
        <f aca="false">IF(OR($P61="",$P61="Closed",$P61="On track"),"",IF($J61="Y","Flagged as an impediment",IF(AND($I61&lt;&gt;"",$I61&lt;AsOf),"Past due since "&amp;TEXT($I61,"yyyy-mm-dd"),IF($M61="Unmapped","Status '"&amp;$C61&amp;"' is not in the Config map","No update in "&amp;$N61&amp;" days (limit "&amp;$O61&amp;")"))))</f>
        <v/>
      </c>
      <c r="R61" s="29" t="str">
        <f aca="false">IF(OR($P61="",$P61="Closed",$P61="On track"),"",IF($P61="Critical",3000,2000)+$N61+ROW()/100000)</f>
        <v/>
      </c>
      <c r="S61" s="29" t="str">
        <f aca="false">IF($R61="","","draft Jira update for "&amp;$A61)</f>
        <v/>
      </c>
      <c r="T61" s="29" t="str">
        <f aca="false">IF($A61="","",HYPERLINK(JiraSite&amp;"/browse/"&amp;$A61,"open"))</f>
        <v/>
      </c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7"/>
      <c r="H62" s="27"/>
      <c r="I62" s="27"/>
      <c r="J62" s="24"/>
      <c r="K62" s="24"/>
      <c r="L62" s="24"/>
      <c r="M62" s="29" t="str">
        <f aca="false">IF($A62="","",IFERROR(INDEX(MapStage,MATCH($C62,MapStatus,0)),"Unmapped"))</f>
        <v/>
      </c>
      <c r="N62" s="29" t="str">
        <f aca="false">IF($A62="","",AsOf-$H62)</f>
        <v/>
      </c>
      <c r="O62" s="29" t="str">
        <f aca="false">IF(OR($M62="",$M62="Closed",$M62="Unmapped"),"",INDEX(StageStale,MATCH($M62,StageName,0)))</f>
        <v/>
      </c>
      <c r="P62" s="29" t="str">
        <f aca="false">IF($A62="","",IF($M62="Closed","Closed",IF($J62="Y","Critical",IF(AND($I62&lt;&gt;"",$I62&lt;AsOf),"Critical",IF($M62="Unmapped","Warning",IF($N62&gt;2*$O62,"Critical",IF($N62&gt;$O62,"Warning","On track")))))))</f>
        <v/>
      </c>
      <c r="Q62" s="29" t="str">
        <f aca="false">IF(OR($P62="",$P62="Closed",$P62="On track"),"",IF($J62="Y","Flagged as an impediment",IF(AND($I62&lt;&gt;"",$I62&lt;AsOf),"Past due since "&amp;TEXT($I62,"yyyy-mm-dd"),IF($M62="Unmapped","Status '"&amp;$C62&amp;"' is not in the Config map","No update in "&amp;$N62&amp;" days (limit "&amp;$O62&amp;")"))))</f>
        <v/>
      </c>
      <c r="R62" s="29" t="str">
        <f aca="false">IF(OR($P62="",$P62="Closed",$P62="On track"),"",IF($P62="Critical",3000,2000)+$N62+ROW()/100000)</f>
        <v/>
      </c>
      <c r="S62" s="29" t="str">
        <f aca="false">IF($R62="","","draft Jira update for "&amp;$A62)</f>
        <v/>
      </c>
      <c r="T62" s="29" t="str">
        <f aca="false">IF($A62="","",HYPERLINK(JiraSite&amp;"/browse/"&amp;$A62,"open"))</f>
        <v/>
      </c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7"/>
      <c r="H63" s="27"/>
      <c r="I63" s="27"/>
      <c r="J63" s="24"/>
      <c r="K63" s="24"/>
      <c r="L63" s="24"/>
      <c r="M63" s="29" t="str">
        <f aca="false">IF($A63="","",IFERROR(INDEX(MapStage,MATCH($C63,MapStatus,0)),"Unmapped"))</f>
        <v/>
      </c>
      <c r="N63" s="29" t="str">
        <f aca="false">IF($A63="","",AsOf-$H63)</f>
        <v/>
      </c>
      <c r="O63" s="29" t="str">
        <f aca="false">IF(OR($M63="",$M63="Closed",$M63="Unmapped"),"",INDEX(StageStale,MATCH($M63,StageName,0)))</f>
        <v/>
      </c>
      <c r="P63" s="29" t="str">
        <f aca="false">IF($A63="","",IF($M63="Closed","Closed",IF($J63="Y","Critical",IF(AND($I63&lt;&gt;"",$I63&lt;AsOf),"Critical",IF($M63="Unmapped","Warning",IF($N63&gt;2*$O63,"Critical",IF($N63&gt;$O63,"Warning","On track")))))))</f>
        <v/>
      </c>
      <c r="Q63" s="29" t="str">
        <f aca="false">IF(OR($P63="",$P63="Closed",$P63="On track"),"",IF($J63="Y","Flagged as an impediment",IF(AND($I63&lt;&gt;"",$I63&lt;AsOf),"Past due since "&amp;TEXT($I63,"yyyy-mm-dd"),IF($M63="Unmapped","Status '"&amp;$C63&amp;"' is not in the Config map","No update in "&amp;$N63&amp;" days (limit "&amp;$O63&amp;")"))))</f>
        <v/>
      </c>
      <c r="R63" s="29" t="str">
        <f aca="false">IF(OR($P63="",$P63="Closed",$P63="On track"),"",IF($P63="Critical",3000,2000)+$N63+ROW()/100000)</f>
        <v/>
      </c>
      <c r="S63" s="29" t="str">
        <f aca="false">IF($R63="","","draft Jira update for "&amp;$A63)</f>
        <v/>
      </c>
      <c r="T63" s="29" t="str">
        <f aca="false">IF($A63="","",HYPERLINK(JiraSite&amp;"/browse/"&amp;$A63,"open"))</f>
        <v/>
      </c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7"/>
      <c r="H64" s="27"/>
      <c r="I64" s="27"/>
      <c r="J64" s="24"/>
      <c r="K64" s="24"/>
      <c r="L64" s="24"/>
      <c r="M64" s="29" t="str">
        <f aca="false">IF($A64="","",IFERROR(INDEX(MapStage,MATCH($C64,MapStatus,0)),"Unmapped"))</f>
        <v/>
      </c>
      <c r="N64" s="29" t="str">
        <f aca="false">IF($A64="","",AsOf-$H64)</f>
        <v/>
      </c>
      <c r="O64" s="29" t="str">
        <f aca="false">IF(OR($M64="",$M64="Closed",$M64="Unmapped"),"",INDEX(StageStale,MATCH($M64,StageName,0)))</f>
        <v/>
      </c>
      <c r="P64" s="29" t="str">
        <f aca="false">IF($A64="","",IF($M64="Closed","Closed",IF($J64="Y","Critical",IF(AND($I64&lt;&gt;"",$I64&lt;AsOf),"Critical",IF($M64="Unmapped","Warning",IF($N64&gt;2*$O64,"Critical",IF($N64&gt;$O64,"Warning","On track")))))))</f>
        <v/>
      </c>
      <c r="Q64" s="29" t="str">
        <f aca="false">IF(OR($P64="",$P64="Closed",$P64="On track"),"",IF($J64="Y","Flagged as an impediment",IF(AND($I64&lt;&gt;"",$I64&lt;AsOf),"Past due since "&amp;TEXT($I64,"yyyy-mm-dd"),IF($M64="Unmapped","Status '"&amp;$C64&amp;"' is not in the Config map","No update in "&amp;$N64&amp;" days (limit "&amp;$O64&amp;")"))))</f>
        <v/>
      </c>
      <c r="R64" s="29" t="str">
        <f aca="false">IF(OR($P64="",$P64="Closed",$P64="On track"),"",IF($P64="Critical",3000,2000)+$N64+ROW()/100000)</f>
        <v/>
      </c>
      <c r="S64" s="29" t="str">
        <f aca="false">IF($R64="","","draft Jira update for "&amp;$A64)</f>
        <v/>
      </c>
      <c r="T64" s="29" t="str">
        <f aca="false">IF($A64="","",HYPERLINK(JiraSite&amp;"/browse/"&amp;$A64,"open"))</f>
        <v/>
      </c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7"/>
      <c r="H65" s="27"/>
      <c r="I65" s="27"/>
      <c r="J65" s="24"/>
      <c r="K65" s="24"/>
      <c r="L65" s="24"/>
      <c r="M65" s="29" t="str">
        <f aca="false">IF($A65="","",IFERROR(INDEX(MapStage,MATCH($C65,MapStatus,0)),"Unmapped"))</f>
        <v/>
      </c>
      <c r="N65" s="29" t="str">
        <f aca="false">IF($A65="","",AsOf-$H65)</f>
        <v/>
      </c>
      <c r="O65" s="29" t="str">
        <f aca="false">IF(OR($M65="",$M65="Closed",$M65="Unmapped"),"",INDEX(StageStale,MATCH($M65,StageName,0)))</f>
        <v/>
      </c>
      <c r="P65" s="29" t="str">
        <f aca="false">IF($A65="","",IF($M65="Closed","Closed",IF($J65="Y","Critical",IF(AND($I65&lt;&gt;"",$I65&lt;AsOf),"Critical",IF($M65="Unmapped","Warning",IF($N65&gt;2*$O65,"Critical",IF($N65&gt;$O65,"Warning","On track")))))))</f>
        <v/>
      </c>
      <c r="Q65" s="29" t="str">
        <f aca="false">IF(OR($P65="",$P65="Closed",$P65="On track"),"",IF($J65="Y","Flagged as an impediment",IF(AND($I65&lt;&gt;"",$I65&lt;AsOf),"Past due since "&amp;TEXT($I65,"yyyy-mm-dd"),IF($M65="Unmapped","Status '"&amp;$C65&amp;"' is not in the Config map","No update in "&amp;$N65&amp;" days (limit "&amp;$O65&amp;")"))))</f>
        <v/>
      </c>
      <c r="R65" s="29" t="str">
        <f aca="false">IF(OR($P65="",$P65="Closed",$P65="On track"),"",IF($P65="Critical",3000,2000)+$N65+ROW()/100000)</f>
        <v/>
      </c>
      <c r="S65" s="29" t="str">
        <f aca="false">IF($R65="","","draft Jira update for "&amp;$A65)</f>
        <v/>
      </c>
      <c r="T65" s="29" t="str">
        <f aca="false">IF($A65="","",HYPERLINK(JiraSite&amp;"/browse/"&amp;$A65,"open"))</f>
        <v/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7"/>
      <c r="H66" s="27"/>
      <c r="I66" s="27"/>
      <c r="J66" s="24"/>
      <c r="K66" s="24"/>
      <c r="L66" s="24"/>
      <c r="M66" s="29" t="str">
        <f aca="false">IF($A66="","",IFERROR(INDEX(MapStage,MATCH($C66,MapStatus,0)),"Unmapped"))</f>
        <v/>
      </c>
      <c r="N66" s="29" t="str">
        <f aca="false">IF($A66="","",AsOf-$H66)</f>
        <v/>
      </c>
      <c r="O66" s="29" t="str">
        <f aca="false">IF(OR($M66="",$M66="Closed",$M66="Unmapped"),"",INDEX(StageStale,MATCH($M66,StageName,0)))</f>
        <v/>
      </c>
      <c r="P66" s="29" t="str">
        <f aca="false">IF($A66="","",IF($M66="Closed","Closed",IF($J66="Y","Critical",IF(AND($I66&lt;&gt;"",$I66&lt;AsOf),"Critical",IF($M66="Unmapped","Warning",IF($N66&gt;2*$O66,"Critical",IF($N66&gt;$O66,"Warning","On track")))))))</f>
        <v/>
      </c>
      <c r="Q66" s="29" t="str">
        <f aca="false">IF(OR($P66="",$P66="Closed",$P66="On track"),"",IF($J66="Y","Flagged as an impediment",IF(AND($I66&lt;&gt;"",$I66&lt;AsOf),"Past due since "&amp;TEXT($I66,"yyyy-mm-dd"),IF($M66="Unmapped","Status '"&amp;$C66&amp;"' is not in the Config map","No update in "&amp;$N66&amp;" days (limit "&amp;$O66&amp;")"))))</f>
        <v/>
      </c>
      <c r="R66" s="29" t="str">
        <f aca="false">IF(OR($P66="",$P66="Closed",$P66="On track"),"",IF($P66="Critical",3000,2000)+$N66+ROW()/100000)</f>
        <v/>
      </c>
      <c r="S66" s="29" t="str">
        <f aca="false">IF($R66="","","draft Jira update for "&amp;$A66)</f>
        <v/>
      </c>
      <c r="T66" s="29" t="str">
        <f aca="false">IF($A66="","",HYPERLINK(JiraSite&amp;"/browse/"&amp;$A66,"open"))</f>
        <v/>
      </c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7"/>
      <c r="H67" s="27"/>
      <c r="I67" s="27"/>
      <c r="J67" s="24"/>
      <c r="K67" s="24"/>
      <c r="L67" s="24"/>
      <c r="M67" s="29" t="str">
        <f aca="false">IF($A67="","",IFERROR(INDEX(MapStage,MATCH($C67,MapStatus,0)),"Unmapped"))</f>
        <v/>
      </c>
      <c r="N67" s="29" t="str">
        <f aca="false">IF($A67="","",AsOf-$H67)</f>
        <v/>
      </c>
      <c r="O67" s="29" t="str">
        <f aca="false">IF(OR($M67="",$M67="Closed",$M67="Unmapped"),"",INDEX(StageStale,MATCH($M67,StageName,0)))</f>
        <v/>
      </c>
      <c r="P67" s="29" t="str">
        <f aca="false">IF($A67="","",IF($M67="Closed","Closed",IF($J67="Y","Critical",IF(AND($I67&lt;&gt;"",$I67&lt;AsOf),"Critical",IF($M67="Unmapped","Warning",IF($N67&gt;2*$O67,"Critical",IF($N67&gt;$O67,"Warning","On track")))))))</f>
        <v/>
      </c>
      <c r="Q67" s="29" t="str">
        <f aca="false">IF(OR($P67="",$P67="Closed",$P67="On track"),"",IF($J67="Y","Flagged as an impediment",IF(AND($I67&lt;&gt;"",$I67&lt;AsOf),"Past due since "&amp;TEXT($I67,"yyyy-mm-dd"),IF($M67="Unmapped","Status '"&amp;$C67&amp;"' is not in the Config map","No update in "&amp;$N67&amp;" days (limit "&amp;$O67&amp;")"))))</f>
        <v/>
      </c>
      <c r="R67" s="29" t="str">
        <f aca="false">IF(OR($P67="",$P67="Closed",$P67="On track"),"",IF($P67="Critical",3000,2000)+$N67+ROW()/100000)</f>
        <v/>
      </c>
      <c r="S67" s="29" t="str">
        <f aca="false">IF($R67="","","draft Jira update for "&amp;$A67)</f>
        <v/>
      </c>
      <c r="T67" s="29" t="str">
        <f aca="false">IF($A67="","",HYPERLINK(JiraSite&amp;"/browse/"&amp;$A67,"open"))</f>
        <v/>
      </c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7"/>
      <c r="H68" s="27"/>
      <c r="I68" s="27"/>
      <c r="J68" s="24"/>
      <c r="K68" s="24"/>
      <c r="L68" s="24"/>
      <c r="M68" s="29" t="str">
        <f aca="false">IF($A68="","",IFERROR(INDEX(MapStage,MATCH($C68,MapStatus,0)),"Unmapped"))</f>
        <v/>
      </c>
      <c r="N68" s="29" t="str">
        <f aca="false">IF($A68="","",AsOf-$H68)</f>
        <v/>
      </c>
      <c r="O68" s="29" t="str">
        <f aca="false">IF(OR($M68="",$M68="Closed",$M68="Unmapped"),"",INDEX(StageStale,MATCH($M68,StageName,0)))</f>
        <v/>
      </c>
      <c r="P68" s="29" t="str">
        <f aca="false">IF($A68="","",IF($M68="Closed","Closed",IF($J68="Y","Critical",IF(AND($I68&lt;&gt;"",$I68&lt;AsOf),"Critical",IF($M68="Unmapped","Warning",IF($N68&gt;2*$O68,"Critical",IF($N68&gt;$O68,"Warning","On track")))))))</f>
        <v/>
      </c>
      <c r="Q68" s="29" t="str">
        <f aca="false">IF(OR($P68="",$P68="Closed",$P68="On track"),"",IF($J68="Y","Flagged as an impediment",IF(AND($I68&lt;&gt;"",$I68&lt;AsOf),"Past due since "&amp;TEXT($I68,"yyyy-mm-dd"),IF($M68="Unmapped","Status '"&amp;$C68&amp;"' is not in the Config map","No update in "&amp;$N68&amp;" days (limit "&amp;$O68&amp;")"))))</f>
        <v/>
      </c>
      <c r="R68" s="29" t="str">
        <f aca="false">IF(OR($P68="",$P68="Closed",$P68="On track"),"",IF($P68="Critical",3000,2000)+$N68+ROW()/100000)</f>
        <v/>
      </c>
      <c r="S68" s="29" t="str">
        <f aca="false">IF($R68="","","draft Jira update for "&amp;$A68)</f>
        <v/>
      </c>
      <c r="T68" s="29" t="str">
        <f aca="false">IF($A68="","",HYPERLINK(JiraSite&amp;"/browse/"&amp;$A68,"open"))</f>
        <v/>
      </c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7"/>
      <c r="H69" s="27"/>
      <c r="I69" s="27"/>
      <c r="J69" s="24"/>
      <c r="K69" s="24"/>
      <c r="L69" s="24"/>
      <c r="M69" s="29" t="str">
        <f aca="false">IF($A69="","",IFERROR(INDEX(MapStage,MATCH($C69,MapStatus,0)),"Unmapped"))</f>
        <v/>
      </c>
      <c r="N69" s="29" t="str">
        <f aca="false">IF($A69="","",AsOf-$H69)</f>
        <v/>
      </c>
      <c r="O69" s="29" t="str">
        <f aca="false">IF(OR($M69="",$M69="Closed",$M69="Unmapped"),"",INDEX(StageStale,MATCH($M69,StageName,0)))</f>
        <v/>
      </c>
      <c r="P69" s="29" t="str">
        <f aca="false">IF($A69="","",IF($M69="Closed","Closed",IF($J69="Y","Critical",IF(AND($I69&lt;&gt;"",$I69&lt;AsOf),"Critical",IF($M69="Unmapped","Warning",IF($N69&gt;2*$O69,"Critical",IF($N69&gt;$O69,"Warning","On track")))))))</f>
        <v/>
      </c>
      <c r="Q69" s="29" t="str">
        <f aca="false">IF(OR($P69="",$P69="Closed",$P69="On track"),"",IF($J69="Y","Flagged as an impediment",IF(AND($I69&lt;&gt;"",$I69&lt;AsOf),"Past due since "&amp;TEXT($I69,"yyyy-mm-dd"),IF($M69="Unmapped","Status '"&amp;$C69&amp;"' is not in the Config map","No update in "&amp;$N69&amp;" days (limit "&amp;$O69&amp;")"))))</f>
        <v/>
      </c>
      <c r="R69" s="29" t="str">
        <f aca="false">IF(OR($P69="",$P69="Closed",$P69="On track"),"",IF($P69="Critical",3000,2000)+$N69+ROW()/100000)</f>
        <v/>
      </c>
      <c r="S69" s="29" t="str">
        <f aca="false">IF($R69="","","draft Jira update for "&amp;$A69)</f>
        <v/>
      </c>
      <c r="T69" s="29" t="str">
        <f aca="false">IF($A69="","",HYPERLINK(JiraSite&amp;"/browse/"&amp;$A69,"open"))</f>
        <v/>
      </c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7"/>
      <c r="H70" s="27"/>
      <c r="I70" s="27"/>
      <c r="J70" s="24"/>
      <c r="K70" s="24"/>
      <c r="L70" s="24"/>
      <c r="M70" s="29" t="str">
        <f aca="false">IF($A70="","",IFERROR(INDEX(MapStage,MATCH($C70,MapStatus,0)),"Unmapped"))</f>
        <v/>
      </c>
      <c r="N70" s="29" t="str">
        <f aca="false">IF($A70="","",AsOf-$H70)</f>
        <v/>
      </c>
      <c r="O70" s="29" t="str">
        <f aca="false">IF(OR($M70="",$M70="Closed",$M70="Unmapped"),"",INDEX(StageStale,MATCH($M70,StageName,0)))</f>
        <v/>
      </c>
      <c r="P70" s="29" t="str">
        <f aca="false">IF($A70="","",IF($M70="Closed","Closed",IF($J70="Y","Critical",IF(AND($I70&lt;&gt;"",$I70&lt;AsOf),"Critical",IF($M70="Unmapped","Warning",IF($N70&gt;2*$O70,"Critical",IF($N70&gt;$O70,"Warning","On track")))))))</f>
        <v/>
      </c>
      <c r="Q70" s="29" t="str">
        <f aca="false">IF(OR($P70="",$P70="Closed",$P70="On track"),"",IF($J70="Y","Flagged as an impediment",IF(AND($I70&lt;&gt;"",$I70&lt;AsOf),"Past due since "&amp;TEXT($I70,"yyyy-mm-dd"),IF($M70="Unmapped","Status '"&amp;$C70&amp;"' is not in the Config map","No update in "&amp;$N70&amp;" days (limit "&amp;$O70&amp;")"))))</f>
        <v/>
      </c>
      <c r="R70" s="29" t="str">
        <f aca="false">IF(OR($P70="",$P70="Closed",$P70="On track"),"",IF($P70="Critical",3000,2000)+$N70+ROW()/100000)</f>
        <v/>
      </c>
      <c r="S70" s="29" t="str">
        <f aca="false">IF($R70="","","draft Jira update for "&amp;$A70)</f>
        <v/>
      </c>
      <c r="T70" s="29" t="str">
        <f aca="false">IF($A70="","",HYPERLINK(JiraSite&amp;"/browse/"&amp;$A70,"open"))</f>
        <v/>
      </c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7"/>
      <c r="H71" s="27"/>
      <c r="I71" s="27"/>
      <c r="J71" s="24"/>
      <c r="K71" s="24"/>
      <c r="L71" s="24"/>
      <c r="M71" s="29" t="str">
        <f aca="false">IF($A71="","",IFERROR(INDEX(MapStage,MATCH($C71,MapStatus,0)),"Unmapped"))</f>
        <v/>
      </c>
      <c r="N71" s="29" t="str">
        <f aca="false">IF($A71="","",AsOf-$H71)</f>
        <v/>
      </c>
      <c r="O71" s="29" t="str">
        <f aca="false">IF(OR($M71="",$M71="Closed",$M71="Unmapped"),"",INDEX(StageStale,MATCH($M71,StageName,0)))</f>
        <v/>
      </c>
      <c r="P71" s="29" t="str">
        <f aca="false">IF($A71="","",IF($M71="Closed","Closed",IF($J71="Y","Critical",IF(AND($I71&lt;&gt;"",$I71&lt;AsOf),"Critical",IF($M71="Unmapped","Warning",IF($N71&gt;2*$O71,"Critical",IF($N71&gt;$O71,"Warning","On track")))))))</f>
        <v/>
      </c>
      <c r="Q71" s="29" t="str">
        <f aca="false">IF(OR($P71="",$P71="Closed",$P71="On track"),"",IF($J71="Y","Flagged as an impediment",IF(AND($I71&lt;&gt;"",$I71&lt;AsOf),"Past due since "&amp;TEXT($I71,"yyyy-mm-dd"),IF($M71="Unmapped","Status '"&amp;$C71&amp;"' is not in the Config map","No update in "&amp;$N71&amp;" days (limit "&amp;$O71&amp;")"))))</f>
        <v/>
      </c>
      <c r="R71" s="29" t="str">
        <f aca="false">IF(OR($P71="",$P71="Closed",$P71="On track"),"",IF($P71="Critical",3000,2000)+$N71+ROW()/100000)</f>
        <v/>
      </c>
      <c r="S71" s="29" t="str">
        <f aca="false">IF($R71="","","draft Jira update for "&amp;$A71)</f>
        <v/>
      </c>
      <c r="T71" s="29" t="str">
        <f aca="false">IF($A71="","",HYPERLINK(JiraSite&amp;"/browse/"&amp;$A71,"open"))</f>
        <v/>
      </c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7"/>
      <c r="H72" s="27"/>
      <c r="I72" s="27"/>
      <c r="J72" s="24"/>
      <c r="K72" s="24"/>
      <c r="L72" s="24"/>
      <c r="M72" s="29" t="str">
        <f aca="false">IF($A72="","",IFERROR(INDEX(MapStage,MATCH($C72,MapStatus,0)),"Unmapped"))</f>
        <v/>
      </c>
      <c r="N72" s="29" t="str">
        <f aca="false">IF($A72="","",AsOf-$H72)</f>
        <v/>
      </c>
      <c r="O72" s="29" t="str">
        <f aca="false">IF(OR($M72="",$M72="Closed",$M72="Unmapped"),"",INDEX(StageStale,MATCH($M72,StageName,0)))</f>
        <v/>
      </c>
      <c r="P72" s="29" t="str">
        <f aca="false">IF($A72="","",IF($M72="Closed","Closed",IF($J72="Y","Critical",IF(AND($I72&lt;&gt;"",$I72&lt;AsOf),"Critical",IF($M72="Unmapped","Warning",IF($N72&gt;2*$O72,"Critical",IF($N72&gt;$O72,"Warning","On track")))))))</f>
        <v/>
      </c>
      <c r="Q72" s="29" t="str">
        <f aca="false">IF(OR($P72="",$P72="Closed",$P72="On track"),"",IF($J72="Y","Flagged as an impediment",IF(AND($I72&lt;&gt;"",$I72&lt;AsOf),"Past due since "&amp;TEXT($I72,"yyyy-mm-dd"),IF($M72="Unmapped","Status '"&amp;$C72&amp;"' is not in the Config map","No update in "&amp;$N72&amp;" days (limit "&amp;$O72&amp;")"))))</f>
        <v/>
      </c>
      <c r="R72" s="29" t="str">
        <f aca="false">IF(OR($P72="",$P72="Closed",$P72="On track"),"",IF($P72="Critical",3000,2000)+$N72+ROW()/100000)</f>
        <v/>
      </c>
      <c r="S72" s="29" t="str">
        <f aca="false">IF($R72="","","draft Jira update for "&amp;$A72)</f>
        <v/>
      </c>
      <c r="T72" s="29" t="str">
        <f aca="false">IF($A72="","",HYPERLINK(JiraSite&amp;"/browse/"&amp;$A72,"open"))</f>
        <v/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7"/>
      <c r="H73" s="27"/>
      <c r="I73" s="27"/>
      <c r="J73" s="24"/>
      <c r="K73" s="24"/>
      <c r="L73" s="24"/>
      <c r="M73" s="29" t="str">
        <f aca="false">IF($A73="","",IFERROR(INDEX(MapStage,MATCH($C73,MapStatus,0)),"Unmapped"))</f>
        <v/>
      </c>
      <c r="N73" s="29" t="str">
        <f aca="false">IF($A73="","",AsOf-$H73)</f>
        <v/>
      </c>
      <c r="O73" s="29" t="str">
        <f aca="false">IF(OR($M73="",$M73="Closed",$M73="Unmapped"),"",INDEX(StageStale,MATCH($M73,StageName,0)))</f>
        <v/>
      </c>
      <c r="P73" s="29" t="str">
        <f aca="false">IF($A73="","",IF($M73="Closed","Closed",IF($J73="Y","Critical",IF(AND($I73&lt;&gt;"",$I73&lt;AsOf),"Critical",IF($M73="Unmapped","Warning",IF($N73&gt;2*$O73,"Critical",IF($N73&gt;$O73,"Warning","On track")))))))</f>
        <v/>
      </c>
      <c r="Q73" s="29" t="str">
        <f aca="false">IF(OR($P73="",$P73="Closed",$P73="On track"),"",IF($J73="Y","Flagged as an impediment",IF(AND($I73&lt;&gt;"",$I73&lt;AsOf),"Past due since "&amp;TEXT($I73,"yyyy-mm-dd"),IF($M73="Unmapped","Status '"&amp;$C73&amp;"' is not in the Config map","No update in "&amp;$N73&amp;" days (limit "&amp;$O73&amp;")"))))</f>
        <v/>
      </c>
      <c r="R73" s="29" t="str">
        <f aca="false">IF(OR($P73="",$P73="Closed",$P73="On track"),"",IF($P73="Critical",3000,2000)+$N73+ROW()/100000)</f>
        <v/>
      </c>
      <c r="S73" s="29" t="str">
        <f aca="false">IF($R73="","","draft Jira update for "&amp;$A73)</f>
        <v/>
      </c>
      <c r="T73" s="29" t="str">
        <f aca="false">IF($A73="","",HYPERLINK(JiraSite&amp;"/browse/"&amp;$A73,"open"))</f>
        <v/>
      </c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7"/>
      <c r="H74" s="27"/>
      <c r="I74" s="27"/>
      <c r="J74" s="24"/>
      <c r="K74" s="24"/>
      <c r="L74" s="24"/>
      <c r="M74" s="29" t="str">
        <f aca="false">IF($A74="","",IFERROR(INDEX(MapStage,MATCH($C74,MapStatus,0)),"Unmapped"))</f>
        <v/>
      </c>
      <c r="N74" s="29" t="str">
        <f aca="false">IF($A74="","",AsOf-$H74)</f>
        <v/>
      </c>
      <c r="O74" s="29" t="str">
        <f aca="false">IF(OR($M74="",$M74="Closed",$M74="Unmapped"),"",INDEX(StageStale,MATCH($M74,StageName,0)))</f>
        <v/>
      </c>
      <c r="P74" s="29" t="str">
        <f aca="false">IF($A74="","",IF($M74="Closed","Closed",IF($J74="Y","Critical",IF(AND($I74&lt;&gt;"",$I74&lt;AsOf),"Critical",IF($M74="Unmapped","Warning",IF($N74&gt;2*$O74,"Critical",IF($N74&gt;$O74,"Warning","On track")))))))</f>
        <v/>
      </c>
      <c r="Q74" s="29" t="str">
        <f aca="false">IF(OR($P74="",$P74="Closed",$P74="On track"),"",IF($J74="Y","Flagged as an impediment",IF(AND($I74&lt;&gt;"",$I74&lt;AsOf),"Past due since "&amp;TEXT($I74,"yyyy-mm-dd"),IF($M74="Unmapped","Status '"&amp;$C74&amp;"' is not in the Config map","No update in "&amp;$N74&amp;" days (limit "&amp;$O74&amp;")"))))</f>
        <v/>
      </c>
      <c r="R74" s="29" t="str">
        <f aca="false">IF(OR($P74="",$P74="Closed",$P74="On track"),"",IF($P74="Critical",3000,2000)+$N74+ROW()/100000)</f>
        <v/>
      </c>
      <c r="S74" s="29" t="str">
        <f aca="false">IF($R74="","","draft Jira update for "&amp;$A74)</f>
        <v/>
      </c>
      <c r="T74" s="29" t="str">
        <f aca="false">IF($A74="","",HYPERLINK(JiraSite&amp;"/browse/"&amp;$A74,"open"))</f>
        <v/>
      </c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7"/>
      <c r="H75" s="27"/>
      <c r="I75" s="27"/>
      <c r="J75" s="24"/>
      <c r="K75" s="24"/>
      <c r="L75" s="24"/>
      <c r="M75" s="29" t="str">
        <f aca="false">IF($A75="","",IFERROR(INDEX(MapStage,MATCH($C75,MapStatus,0)),"Unmapped"))</f>
        <v/>
      </c>
      <c r="N75" s="29" t="str">
        <f aca="false">IF($A75="","",AsOf-$H75)</f>
        <v/>
      </c>
      <c r="O75" s="29" t="str">
        <f aca="false">IF(OR($M75="",$M75="Closed",$M75="Unmapped"),"",INDEX(StageStale,MATCH($M75,StageName,0)))</f>
        <v/>
      </c>
      <c r="P75" s="29" t="str">
        <f aca="false">IF($A75="","",IF($M75="Closed","Closed",IF($J75="Y","Critical",IF(AND($I75&lt;&gt;"",$I75&lt;AsOf),"Critical",IF($M75="Unmapped","Warning",IF($N75&gt;2*$O75,"Critical",IF($N75&gt;$O75,"Warning","On track")))))))</f>
        <v/>
      </c>
      <c r="Q75" s="29" t="str">
        <f aca="false">IF(OR($P75="",$P75="Closed",$P75="On track"),"",IF($J75="Y","Flagged as an impediment",IF(AND($I75&lt;&gt;"",$I75&lt;AsOf),"Past due since "&amp;TEXT($I75,"yyyy-mm-dd"),IF($M75="Unmapped","Status '"&amp;$C75&amp;"' is not in the Config map","No update in "&amp;$N75&amp;" days (limit "&amp;$O75&amp;")"))))</f>
        <v/>
      </c>
      <c r="R75" s="29" t="str">
        <f aca="false">IF(OR($P75="",$P75="Closed",$P75="On track"),"",IF($P75="Critical",3000,2000)+$N75+ROW()/100000)</f>
        <v/>
      </c>
      <c r="S75" s="29" t="str">
        <f aca="false">IF($R75="","","draft Jira update for "&amp;$A75)</f>
        <v/>
      </c>
      <c r="T75" s="29" t="str">
        <f aca="false">IF($A75="","",HYPERLINK(JiraSite&amp;"/browse/"&amp;$A75,"open"))</f>
        <v/>
      </c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7"/>
      <c r="H76" s="27"/>
      <c r="I76" s="27"/>
      <c r="J76" s="24"/>
      <c r="K76" s="24"/>
      <c r="L76" s="24"/>
      <c r="M76" s="29" t="str">
        <f aca="false">IF($A76="","",IFERROR(INDEX(MapStage,MATCH($C76,MapStatus,0)),"Unmapped"))</f>
        <v/>
      </c>
      <c r="N76" s="29" t="str">
        <f aca="false">IF($A76="","",AsOf-$H76)</f>
        <v/>
      </c>
      <c r="O76" s="29" t="str">
        <f aca="false">IF(OR($M76="",$M76="Closed",$M76="Unmapped"),"",INDEX(StageStale,MATCH($M76,StageName,0)))</f>
        <v/>
      </c>
      <c r="P76" s="29" t="str">
        <f aca="false">IF($A76="","",IF($M76="Closed","Closed",IF($J76="Y","Critical",IF(AND($I76&lt;&gt;"",$I76&lt;AsOf),"Critical",IF($M76="Unmapped","Warning",IF($N76&gt;2*$O76,"Critical",IF($N76&gt;$O76,"Warning","On track")))))))</f>
        <v/>
      </c>
      <c r="Q76" s="29" t="str">
        <f aca="false">IF(OR($P76="",$P76="Closed",$P76="On track"),"",IF($J76="Y","Flagged as an impediment",IF(AND($I76&lt;&gt;"",$I76&lt;AsOf),"Past due since "&amp;TEXT($I76,"yyyy-mm-dd"),IF($M76="Unmapped","Status '"&amp;$C76&amp;"' is not in the Config map","No update in "&amp;$N76&amp;" days (limit "&amp;$O76&amp;")"))))</f>
        <v/>
      </c>
      <c r="R76" s="29" t="str">
        <f aca="false">IF(OR($P76="",$P76="Closed",$P76="On track"),"",IF($P76="Critical",3000,2000)+$N76+ROW()/100000)</f>
        <v/>
      </c>
      <c r="S76" s="29" t="str">
        <f aca="false">IF($R76="","","draft Jira update for "&amp;$A76)</f>
        <v/>
      </c>
      <c r="T76" s="29" t="str">
        <f aca="false">IF($A76="","",HYPERLINK(JiraSite&amp;"/browse/"&amp;$A76,"open"))</f>
        <v/>
      </c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7"/>
      <c r="H77" s="27"/>
      <c r="I77" s="27"/>
      <c r="J77" s="24"/>
      <c r="K77" s="24"/>
      <c r="L77" s="24"/>
      <c r="M77" s="29" t="str">
        <f aca="false">IF($A77="","",IFERROR(INDEX(MapStage,MATCH($C77,MapStatus,0)),"Unmapped"))</f>
        <v/>
      </c>
      <c r="N77" s="29" t="str">
        <f aca="false">IF($A77="","",AsOf-$H77)</f>
        <v/>
      </c>
      <c r="O77" s="29" t="str">
        <f aca="false">IF(OR($M77="",$M77="Closed",$M77="Unmapped"),"",INDEX(StageStale,MATCH($M77,StageName,0)))</f>
        <v/>
      </c>
      <c r="P77" s="29" t="str">
        <f aca="false">IF($A77="","",IF($M77="Closed","Closed",IF($J77="Y","Critical",IF(AND($I77&lt;&gt;"",$I77&lt;AsOf),"Critical",IF($M77="Unmapped","Warning",IF($N77&gt;2*$O77,"Critical",IF($N77&gt;$O77,"Warning","On track")))))))</f>
        <v/>
      </c>
      <c r="Q77" s="29" t="str">
        <f aca="false">IF(OR($P77="",$P77="Closed",$P77="On track"),"",IF($J77="Y","Flagged as an impediment",IF(AND($I77&lt;&gt;"",$I77&lt;AsOf),"Past due since "&amp;TEXT($I77,"yyyy-mm-dd"),IF($M77="Unmapped","Status '"&amp;$C77&amp;"' is not in the Config map","No update in "&amp;$N77&amp;" days (limit "&amp;$O77&amp;")"))))</f>
        <v/>
      </c>
      <c r="R77" s="29" t="str">
        <f aca="false">IF(OR($P77="",$P77="Closed",$P77="On track"),"",IF($P77="Critical",3000,2000)+$N77+ROW()/100000)</f>
        <v/>
      </c>
      <c r="S77" s="29" t="str">
        <f aca="false">IF($R77="","","draft Jira update for "&amp;$A77)</f>
        <v/>
      </c>
      <c r="T77" s="29" t="str">
        <f aca="false">IF($A77="","",HYPERLINK(JiraSite&amp;"/browse/"&amp;$A77,"open"))</f>
        <v/>
      </c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7"/>
      <c r="H78" s="27"/>
      <c r="I78" s="27"/>
      <c r="J78" s="24"/>
      <c r="K78" s="24"/>
      <c r="L78" s="24"/>
      <c r="M78" s="29" t="str">
        <f aca="false">IF($A78="","",IFERROR(INDEX(MapStage,MATCH($C78,MapStatus,0)),"Unmapped"))</f>
        <v/>
      </c>
      <c r="N78" s="29" t="str">
        <f aca="false">IF($A78="","",AsOf-$H78)</f>
        <v/>
      </c>
      <c r="O78" s="29" t="str">
        <f aca="false">IF(OR($M78="",$M78="Closed",$M78="Unmapped"),"",INDEX(StageStale,MATCH($M78,StageName,0)))</f>
        <v/>
      </c>
      <c r="P78" s="29" t="str">
        <f aca="false">IF($A78="","",IF($M78="Closed","Closed",IF($J78="Y","Critical",IF(AND($I78&lt;&gt;"",$I78&lt;AsOf),"Critical",IF($M78="Unmapped","Warning",IF($N78&gt;2*$O78,"Critical",IF($N78&gt;$O78,"Warning","On track")))))))</f>
        <v/>
      </c>
      <c r="Q78" s="29" t="str">
        <f aca="false">IF(OR($P78="",$P78="Closed",$P78="On track"),"",IF($J78="Y","Flagged as an impediment",IF(AND($I78&lt;&gt;"",$I78&lt;AsOf),"Past due since "&amp;TEXT($I78,"yyyy-mm-dd"),IF($M78="Unmapped","Status '"&amp;$C78&amp;"' is not in the Config map","No update in "&amp;$N78&amp;" days (limit "&amp;$O78&amp;")"))))</f>
        <v/>
      </c>
      <c r="R78" s="29" t="str">
        <f aca="false">IF(OR($P78="",$P78="Closed",$P78="On track"),"",IF($P78="Critical",3000,2000)+$N78+ROW()/100000)</f>
        <v/>
      </c>
      <c r="S78" s="29" t="str">
        <f aca="false">IF($R78="","","draft Jira update for "&amp;$A78)</f>
        <v/>
      </c>
      <c r="T78" s="29" t="str">
        <f aca="false">IF($A78="","",HYPERLINK(JiraSite&amp;"/browse/"&amp;$A78,"open"))</f>
        <v/>
      </c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7"/>
      <c r="H79" s="27"/>
      <c r="I79" s="27"/>
      <c r="J79" s="24"/>
      <c r="K79" s="24"/>
      <c r="L79" s="24"/>
      <c r="M79" s="29" t="str">
        <f aca="false">IF($A79="","",IFERROR(INDEX(MapStage,MATCH($C79,MapStatus,0)),"Unmapped"))</f>
        <v/>
      </c>
      <c r="N79" s="29" t="str">
        <f aca="false">IF($A79="","",AsOf-$H79)</f>
        <v/>
      </c>
      <c r="O79" s="29" t="str">
        <f aca="false">IF(OR($M79="",$M79="Closed",$M79="Unmapped"),"",INDEX(StageStale,MATCH($M79,StageName,0)))</f>
        <v/>
      </c>
      <c r="P79" s="29" t="str">
        <f aca="false">IF($A79="","",IF($M79="Closed","Closed",IF($J79="Y","Critical",IF(AND($I79&lt;&gt;"",$I79&lt;AsOf),"Critical",IF($M79="Unmapped","Warning",IF($N79&gt;2*$O79,"Critical",IF($N79&gt;$O79,"Warning","On track")))))))</f>
        <v/>
      </c>
      <c r="Q79" s="29" t="str">
        <f aca="false">IF(OR($P79="",$P79="Closed",$P79="On track"),"",IF($J79="Y","Flagged as an impediment",IF(AND($I79&lt;&gt;"",$I79&lt;AsOf),"Past due since "&amp;TEXT($I79,"yyyy-mm-dd"),IF($M79="Unmapped","Status '"&amp;$C79&amp;"' is not in the Config map","No update in "&amp;$N79&amp;" days (limit "&amp;$O79&amp;")"))))</f>
        <v/>
      </c>
      <c r="R79" s="29" t="str">
        <f aca="false">IF(OR($P79="",$P79="Closed",$P79="On track"),"",IF($P79="Critical",3000,2000)+$N79+ROW()/100000)</f>
        <v/>
      </c>
      <c r="S79" s="29" t="str">
        <f aca="false">IF($R79="","","draft Jira update for "&amp;$A79)</f>
        <v/>
      </c>
      <c r="T79" s="29" t="str">
        <f aca="false">IF($A79="","",HYPERLINK(JiraSite&amp;"/browse/"&amp;$A79,"open"))</f>
        <v/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7"/>
      <c r="H80" s="27"/>
      <c r="I80" s="27"/>
      <c r="J80" s="24"/>
      <c r="K80" s="24"/>
      <c r="L80" s="24"/>
      <c r="M80" s="29" t="str">
        <f aca="false">IF($A80="","",IFERROR(INDEX(MapStage,MATCH($C80,MapStatus,0)),"Unmapped"))</f>
        <v/>
      </c>
      <c r="N80" s="29" t="str">
        <f aca="false">IF($A80="","",AsOf-$H80)</f>
        <v/>
      </c>
      <c r="O80" s="29" t="str">
        <f aca="false">IF(OR($M80="",$M80="Closed",$M80="Unmapped"),"",INDEX(StageStale,MATCH($M80,StageName,0)))</f>
        <v/>
      </c>
      <c r="P80" s="29" t="str">
        <f aca="false">IF($A80="","",IF($M80="Closed","Closed",IF($J80="Y","Critical",IF(AND($I80&lt;&gt;"",$I80&lt;AsOf),"Critical",IF($M80="Unmapped","Warning",IF($N80&gt;2*$O80,"Critical",IF($N80&gt;$O80,"Warning","On track")))))))</f>
        <v/>
      </c>
      <c r="Q80" s="29" t="str">
        <f aca="false">IF(OR($P80="",$P80="Closed",$P80="On track"),"",IF($J80="Y","Flagged as an impediment",IF(AND($I80&lt;&gt;"",$I80&lt;AsOf),"Past due since "&amp;TEXT($I80,"yyyy-mm-dd"),IF($M80="Unmapped","Status '"&amp;$C80&amp;"' is not in the Config map","No update in "&amp;$N80&amp;" days (limit "&amp;$O80&amp;")"))))</f>
        <v/>
      </c>
      <c r="R80" s="29" t="str">
        <f aca="false">IF(OR($P80="",$P80="Closed",$P80="On track"),"",IF($P80="Critical",3000,2000)+$N80+ROW()/100000)</f>
        <v/>
      </c>
      <c r="S80" s="29" t="str">
        <f aca="false">IF($R80="","","draft Jira update for "&amp;$A80)</f>
        <v/>
      </c>
      <c r="T80" s="29" t="str">
        <f aca="false">IF($A80="","",HYPERLINK(JiraSite&amp;"/browse/"&amp;$A80,"open"))</f>
        <v/>
      </c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7"/>
      <c r="H81" s="27"/>
      <c r="I81" s="27"/>
      <c r="J81" s="24"/>
      <c r="K81" s="24"/>
      <c r="L81" s="24"/>
      <c r="M81" s="29" t="str">
        <f aca="false">IF($A81="","",IFERROR(INDEX(MapStage,MATCH($C81,MapStatus,0)),"Unmapped"))</f>
        <v/>
      </c>
      <c r="N81" s="29" t="str">
        <f aca="false">IF($A81="","",AsOf-$H81)</f>
        <v/>
      </c>
      <c r="O81" s="29" t="str">
        <f aca="false">IF(OR($M81="",$M81="Closed",$M81="Unmapped"),"",INDEX(StageStale,MATCH($M81,StageName,0)))</f>
        <v/>
      </c>
      <c r="P81" s="29" t="str">
        <f aca="false">IF($A81="","",IF($M81="Closed","Closed",IF($J81="Y","Critical",IF(AND($I81&lt;&gt;"",$I81&lt;AsOf),"Critical",IF($M81="Unmapped","Warning",IF($N81&gt;2*$O81,"Critical",IF($N81&gt;$O81,"Warning","On track")))))))</f>
        <v/>
      </c>
      <c r="Q81" s="29" t="str">
        <f aca="false">IF(OR($P81="",$P81="Closed",$P81="On track"),"",IF($J81="Y","Flagged as an impediment",IF(AND($I81&lt;&gt;"",$I81&lt;AsOf),"Past due since "&amp;TEXT($I81,"yyyy-mm-dd"),IF($M81="Unmapped","Status '"&amp;$C81&amp;"' is not in the Config map","No update in "&amp;$N81&amp;" days (limit "&amp;$O81&amp;")"))))</f>
        <v/>
      </c>
      <c r="R81" s="29" t="str">
        <f aca="false">IF(OR($P81="",$P81="Closed",$P81="On track"),"",IF($P81="Critical",3000,2000)+$N81+ROW()/100000)</f>
        <v/>
      </c>
      <c r="S81" s="29" t="str">
        <f aca="false">IF($R81="","","draft Jira update for "&amp;$A81)</f>
        <v/>
      </c>
      <c r="T81" s="29" t="str">
        <f aca="false">IF($A81="","",HYPERLINK(JiraSite&amp;"/browse/"&amp;$A81,"open"))</f>
        <v/>
      </c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7"/>
      <c r="H82" s="27"/>
      <c r="I82" s="27"/>
      <c r="J82" s="24"/>
      <c r="K82" s="24"/>
      <c r="L82" s="24"/>
      <c r="M82" s="29" t="str">
        <f aca="false">IF($A82="","",IFERROR(INDEX(MapStage,MATCH($C82,MapStatus,0)),"Unmapped"))</f>
        <v/>
      </c>
      <c r="N82" s="29" t="str">
        <f aca="false">IF($A82="","",AsOf-$H82)</f>
        <v/>
      </c>
      <c r="O82" s="29" t="str">
        <f aca="false">IF(OR($M82="",$M82="Closed",$M82="Unmapped"),"",INDEX(StageStale,MATCH($M82,StageName,0)))</f>
        <v/>
      </c>
      <c r="P82" s="29" t="str">
        <f aca="false">IF($A82="","",IF($M82="Closed","Closed",IF($J82="Y","Critical",IF(AND($I82&lt;&gt;"",$I82&lt;AsOf),"Critical",IF($M82="Unmapped","Warning",IF($N82&gt;2*$O82,"Critical",IF($N82&gt;$O82,"Warning","On track")))))))</f>
        <v/>
      </c>
      <c r="Q82" s="29" t="str">
        <f aca="false">IF(OR($P82="",$P82="Closed",$P82="On track"),"",IF($J82="Y","Flagged as an impediment",IF(AND($I82&lt;&gt;"",$I82&lt;AsOf),"Past due since "&amp;TEXT($I82,"yyyy-mm-dd"),IF($M82="Unmapped","Status '"&amp;$C82&amp;"' is not in the Config map","No update in "&amp;$N82&amp;" days (limit "&amp;$O82&amp;")"))))</f>
        <v/>
      </c>
      <c r="R82" s="29" t="str">
        <f aca="false">IF(OR($P82="",$P82="Closed",$P82="On track"),"",IF($P82="Critical",3000,2000)+$N82+ROW()/100000)</f>
        <v/>
      </c>
      <c r="S82" s="29" t="str">
        <f aca="false">IF($R82="","","draft Jira update for "&amp;$A82)</f>
        <v/>
      </c>
      <c r="T82" s="29" t="str">
        <f aca="false">IF($A82="","",HYPERLINK(JiraSite&amp;"/browse/"&amp;$A82,"open"))</f>
        <v/>
      </c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7"/>
      <c r="H83" s="27"/>
      <c r="I83" s="27"/>
      <c r="J83" s="24"/>
      <c r="K83" s="24"/>
      <c r="L83" s="24"/>
      <c r="M83" s="29" t="str">
        <f aca="false">IF($A83="","",IFERROR(INDEX(MapStage,MATCH($C83,MapStatus,0)),"Unmapped"))</f>
        <v/>
      </c>
      <c r="N83" s="29" t="str">
        <f aca="false">IF($A83="","",AsOf-$H83)</f>
        <v/>
      </c>
      <c r="O83" s="29" t="str">
        <f aca="false">IF(OR($M83="",$M83="Closed",$M83="Unmapped"),"",INDEX(StageStale,MATCH($M83,StageName,0)))</f>
        <v/>
      </c>
      <c r="P83" s="29" t="str">
        <f aca="false">IF($A83="","",IF($M83="Closed","Closed",IF($J83="Y","Critical",IF(AND($I83&lt;&gt;"",$I83&lt;AsOf),"Critical",IF($M83="Unmapped","Warning",IF($N83&gt;2*$O83,"Critical",IF($N83&gt;$O83,"Warning","On track")))))))</f>
        <v/>
      </c>
      <c r="Q83" s="29" t="str">
        <f aca="false">IF(OR($P83="",$P83="Closed",$P83="On track"),"",IF($J83="Y","Flagged as an impediment",IF(AND($I83&lt;&gt;"",$I83&lt;AsOf),"Past due since "&amp;TEXT($I83,"yyyy-mm-dd"),IF($M83="Unmapped","Status '"&amp;$C83&amp;"' is not in the Config map","No update in "&amp;$N83&amp;" days (limit "&amp;$O83&amp;")"))))</f>
        <v/>
      </c>
      <c r="R83" s="29" t="str">
        <f aca="false">IF(OR($P83="",$P83="Closed",$P83="On track"),"",IF($P83="Critical",3000,2000)+$N83+ROW()/100000)</f>
        <v/>
      </c>
      <c r="S83" s="29" t="str">
        <f aca="false">IF($R83="","","draft Jira update for "&amp;$A83)</f>
        <v/>
      </c>
      <c r="T83" s="29" t="str">
        <f aca="false">IF($A83="","",HYPERLINK(JiraSite&amp;"/browse/"&amp;$A83,"open"))</f>
        <v/>
      </c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7"/>
      <c r="H84" s="27"/>
      <c r="I84" s="27"/>
      <c r="J84" s="24"/>
      <c r="K84" s="24"/>
      <c r="L84" s="24"/>
      <c r="M84" s="29" t="str">
        <f aca="false">IF($A84="","",IFERROR(INDEX(MapStage,MATCH($C84,MapStatus,0)),"Unmapped"))</f>
        <v/>
      </c>
      <c r="N84" s="29" t="str">
        <f aca="false">IF($A84="","",AsOf-$H84)</f>
        <v/>
      </c>
      <c r="O84" s="29" t="str">
        <f aca="false">IF(OR($M84="",$M84="Closed",$M84="Unmapped"),"",INDEX(StageStale,MATCH($M84,StageName,0)))</f>
        <v/>
      </c>
      <c r="P84" s="29" t="str">
        <f aca="false">IF($A84="","",IF($M84="Closed","Closed",IF($J84="Y","Critical",IF(AND($I84&lt;&gt;"",$I84&lt;AsOf),"Critical",IF($M84="Unmapped","Warning",IF($N84&gt;2*$O84,"Critical",IF($N84&gt;$O84,"Warning","On track")))))))</f>
        <v/>
      </c>
      <c r="Q84" s="29" t="str">
        <f aca="false">IF(OR($P84="",$P84="Closed",$P84="On track"),"",IF($J84="Y","Flagged as an impediment",IF(AND($I84&lt;&gt;"",$I84&lt;AsOf),"Past due since "&amp;TEXT($I84,"yyyy-mm-dd"),IF($M84="Unmapped","Status '"&amp;$C84&amp;"' is not in the Config map","No update in "&amp;$N84&amp;" days (limit "&amp;$O84&amp;")"))))</f>
        <v/>
      </c>
      <c r="R84" s="29" t="str">
        <f aca="false">IF(OR($P84="",$P84="Closed",$P84="On track"),"",IF($P84="Critical",3000,2000)+$N84+ROW()/100000)</f>
        <v/>
      </c>
      <c r="S84" s="29" t="str">
        <f aca="false">IF($R84="","","draft Jira update for "&amp;$A84)</f>
        <v/>
      </c>
      <c r="T84" s="29" t="str">
        <f aca="false">IF($A84="","",HYPERLINK(JiraSite&amp;"/browse/"&amp;$A84,"open"))</f>
        <v/>
      </c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7"/>
      <c r="H85" s="27"/>
      <c r="I85" s="27"/>
      <c r="J85" s="24"/>
      <c r="K85" s="24"/>
      <c r="L85" s="24"/>
      <c r="M85" s="29" t="str">
        <f aca="false">IF($A85="","",IFERROR(INDEX(MapStage,MATCH($C85,MapStatus,0)),"Unmapped"))</f>
        <v/>
      </c>
      <c r="N85" s="29" t="str">
        <f aca="false">IF($A85="","",AsOf-$H85)</f>
        <v/>
      </c>
      <c r="O85" s="29" t="str">
        <f aca="false">IF(OR($M85="",$M85="Closed",$M85="Unmapped"),"",INDEX(StageStale,MATCH($M85,StageName,0)))</f>
        <v/>
      </c>
      <c r="P85" s="29" t="str">
        <f aca="false">IF($A85="","",IF($M85="Closed","Closed",IF($J85="Y","Critical",IF(AND($I85&lt;&gt;"",$I85&lt;AsOf),"Critical",IF($M85="Unmapped","Warning",IF($N85&gt;2*$O85,"Critical",IF($N85&gt;$O85,"Warning","On track")))))))</f>
        <v/>
      </c>
      <c r="Q85" s="29" t="str">
        <f aca="false">IF(OR($P85="",$P85="Closed",$P85="On track"),"",IF($J85="Y","Flagged as an impediment",IF(AND($I85&lt;&gt;"",$I85&lt;AsOf),"Past due since "&amp;TEXT($I85,"yyyy-mm-dd"),IF($M85="Unmapped","Status '"&amp;$C85&amp;"' is not in the Config map","No update in "&amp;$N85&amp;" days (limit "&amp;$O85&amp;")"))))</f>
        <v/>
      </c>
      <c r="R85" s="29" t="str">
        <f aca="false">IF(OR($P85="",$P85="Closed",$P85="On track"),"",IF($P85="Critical",3000,2000)+$N85+ROW()/100000)</f>
        <v/>
      </c>
      <c r="S85" s="29" t="str">
        <f aca="false">IF($R85="","","draft Jira update for "&amp;$A85)</f>
        <v/>
      </c>
      <c r="T85" s="29" t="str">
        <f aca="false">IF($A85="","",HYPERLINK(JiraSite&amp;"/browse/"&amp;$A85,"open"))</f>
        <v/>
      </c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7"/>
      <c r="H86" s="27"/>
      <c r="I86" s="27"/>
      <c r="J86" s="24"/>
      <c r="K86" s="24"/>
      <c r="L86" s="24"/>
      <c r="M86" s="29" t="str">
        <f aca="false">IF($A86="","",IFERROR(INDEX(MapStage,MATCH($C86,MapStatus,0)),"Unmapped"))</f>
        <v/>
      </c>
      <c r="N86" s="29" t="str">
        <f aca="false">IF($A86="","",AsOf-$H86)</f>
        <v/>
      </c>
      <c r="O86" s="29" t="str">
        <f aca="false">IF(OR($M86="",$M86="Closed",$M86="Unmapped"),"",INDEX(StageStale,MATCH($M86,StageName,0)))</f>
        <v/>
      </c>
      <c r="P86" s="29" t="str">
        <f aca="false">IF($A86="","",IF($M86="Closed","Closed",IF($J86="Y","Critical",IF(AND($I86&lt;&gt;"",$I86&lt;AsOf),"Critical",IF($M86="Unmapped","Warning",IF($N86&gt;2*$O86,"Critical",IF($N86&gt;$O86,"Warning","On track")))))))</f>
        <v/>
      </c>
      <c r="Q86" s="29" t="str">
        <f aca="false">IF(OR($P86="",$P86="Closed",$P86="On track"),"",IF($J86="Y","Flagged as an impediment",IF(AND($I86&lt;&gt;"",$I86&lt;AsOf),"Past due since "&amp;TEXT($I86,"yyyy-mm-dd"),IF($M86="Unmapped","Status '"&amp;$C86&amp;"' is not in the Config map","No update in "&amp;$N86&amp;" days (limit "&amp;$O86&amp;")"))))</f>
        <v/>
      </c>
      <c r="R86" s="29" t="str">
        <f aca="false">IF(OR($P86="",$P86="Closed",$P86="On track"),"",IF($P86="Critical",3000,2000)+$N86+ROW()/100000)</f>
        <v/>
      </c>
      <c r="S86" s="29" t="str">
        <f aca="false">IF($R86="","","draft Jira update for "&amp;$A86)</f>
        <v/>
      </c>
      <c r="T86" s="29" t="str">
        <f aca="false">IF($A86="","",HYPERLINK(JiraSite&amp;"/browse/"&amp;$A86,"open"))</f>
        <v/>
      </c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7"/>
      <c r="H87" s="27"/>
      <c r="I87" s="27"/>
      <c r="J87" s="24"/>
      <c r="K87" s="24"/>
      <c r="L87" s="24"/>
      <c r="M87" s="29" t="str">
        <f aca="false">IF($A87="","",IFERROR(INDEX(MapStage,MATCH($C87,MapStatus,0)),"Unmapped"))</f>
        <v/>
      </c>
      <c r="N87" s="29" t="str">
        <f aca="false">IF($A87="","",AsOf-$H87)</f>
        <v/>
      </c>
      <c r="O87" s="29" t="str">
        <f aca="false">IF(OR($M87="",$M87="Closed",$M87="Unmapped"),"",INDEX(StageStale,MATCH($M87,StageName,0)))</f>
        <v/>
      </c>
      <c r="P87" s="29" t="str">
        <f aca="false">IF($A87="","",IF($M87="Closed","Closed",IF($J87="Y","Critical",IF(AND($I87&lt;&gt;"",$I87&lt;AsOf),"Critical",IF($M87="Unmapped","Warning",IF($N87&gt;2*$O87,"Critical",IF($N87&gt;$O87,"Warning","On track")))))))</f>
        <v/>
      </c>
      <c r="Q87" s="29" t="str">
        <f aca="false">IF(OR($P87="",$P87="Closed",$P87="On track"),"",IF($J87="Y","Flagged as an impediment",IF(AND($I87&lt;&gt;"",$I87&lt;AsOf),"Past due since "&amp;TEXT($I87,"yyyy-mm-dd"),IF($M87="Unmapped","Status '"&amp;$C87&amp;"' is not in the Config map","No update in "&amp;$N87&amp;" days (limit "&amp;$O87&amp;")"))))</f>
        <v/>
      </c>
      <c r="R87" s="29" t="str">
        <f aca="false">IF(OR($P87="",$P87="Closed",$P87="On track"),"",IF($P87="Critical",3000,2000)+$N87+ROW()/100000)</f>
        <v/>
      </c>
      <c r="S87" s="29" t="str">
        <f aca="false">IF($R87="","","draft Jira update for "&amp;$A87)</f>
        <v/>
      </c>
      <c r="T87" s="29" t="str">
        <f aca="false">IF($A87="","",HYPERLINK(JiraSite&amp;"/browse/"&amp;$A87,"open"))</f>
        <v/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7"/>
      <c r="H88" s="27"/>
      <c r="I88" s="27"/>
      <c r="J88" s="24"/>
      <c r="K88" s="24"/>
      <c r="L88" s="24"/>
      <c r="M88" s="29" t="str">
        <f aca="false">IF($A88="","",IFERROR(INDEX(MapStage,MATCH($C88,MapStatus,0)),"Unmapped"))</f>
        <v/>
      </c>
      <c r="N88" s="29" t="str">
        <f aca="false">IF($A88="","",AsOf-$H88)</f>
        <v/>
      </c>
      <c r="O88" s="29" t="str">
        <f aca="false">IF(OR($M88="",$M88="Closed",$M88="Unmapped"),"",INDEX(StageStale,MATCH($M88,StageName,0)))</f>
        <v/>
      </c>
      <c r="P88" s="29" t="str">
        <f aca="false">IF($A88="","",IF($M88="Closed","Closed",IF($J88="Y","Critical",IF(AND($I88&lt;&gt;"",$I88&lt;AsOf),"Critical",IF($M88="Unmapped","Warning",IF($N88&gt;2*$O88,"Critical",IF($N88&gt;$O88,"Warning","On track")))))))</f>
        <v/>
      </c>
      <c r="Q88" s="29" t="str">
        <f aca="false">IF(OR($P88="",$P88="Closed",$P88="On track"),"",IF($J88="Y","Flagged as an impediment",IF(AND($I88&lt;&gt;"",$I88&lt;AsOf),"Past due since "&amp;TEXT($I88,"yyyy-mm-dd"),IF($M88="Unmapped","Status '"&amp;$C88&amp;"' is not in the Config map","No update in "&amp;$N88&amp;" days (limit "&amp;$O88&amp;")"))))</f>
        <v/>
      </c>
      <c r="R88" s="29" t="str">
        <f aca="false">IF(OR($P88="",$P88="Closed",$P88="On track"),"",IF($P88="Critical",3000,2000)+$N88+ROW()/100000)</f>
        <v/>
      </c>
      <c r="S88" s="29" t="str">
        <f aca="false">IF($R88="","","draft Jira update for "&amp;$A88)</f>
        <v/>
      </c>
      <c r="T88" s="29" t="str">
        <f aca="false">IF($A88="","",HYPERLINK(JiraSite&amp;"/browse/"&amp;$A88,"open"))</f>
        <v/>
      </c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7"/>
      <c r="H89" s="27"/>
      <c r="I89" s="27"/>
      <c r="J89" s="24"/>
      <c r="K89" s="24"/>
      <c r="L89" s="24"/>
      <c r="M89" s="29" t="str">
        <f aca="false">IF($A89="","",IFERROR(INDEX(MapStage,MATCH($C89,MapStatus,0)),"Unmapped"))</f>
        <v/>
      </c>
      <c r="N89" s="29" t="str">
        <f aca="false">IF($A89="","",AsOf-$H89)</f>
        <v/>
      </c>
      <c r="O89" s="29" t="str">
        <f aca="false">IF(OR($M89="",$M89="Closed",$M89="Unmapped"),"",INDEX(StageStale,MATCH($M89,StageName,0)))</f>
        <v/>
      </c>
      <c r="P89" s="29" t="str">
        <f aca="false">IF($A89="","",IF($M89="Closed","Closed",IF($J89="Y","Critical",IF(AND($I89&lt;&gt;"",$I89&lt;AsOf),"Critical",IF($M89="Unmapped","Warning",IF($N89&gt;2*$O89,"Critical",IF($N89&gt;$O89,"Warning","On track")))))))</f>
        <v/>
      </c>
      <c r="Q89" s="29" t="str">
        <f aca="false">IF(OR($P89="",$P89="Closed",$P89="On track"),"",IF($J89="Y","Flagged as an impediment",IF(AND($I89&lt;&gt;"",$I89&lt;AsOf),"Past due since "&amp;TEXT($I89,"yyyy-mm-dd"),IF($M89="Unmapped","Status '"&amp;$C89&amp;"' is not in the Config map","No update in "&amp;$N89&amp;" days (limit "&amp;$O89&amp;")"))))</f>
        <v/>
      </c>
      <c r="R89" s="29" t="str">
        <f aca="false">IF(OR($P89="",$P89="Closed",$P89="On track"),"",IF($P89="Critical",3000,2000)+$N89+ROW()/100000)</f>
        <v/>
      </c>
      <c r="S89" s="29" t="str">
        <f aca="false">IF($R89="","","draft Jira update for "&amp;$A89)</f>
        <v/>
      </c>
      <c r="T89" s="29" t="str">
        <f aca="false">IF($A89="","",HYPERLINK(JiraSite&amp;"/browse/"&amp;$A89,"open"))</f>
        <v/>
      </c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7"/>
      <c r="H90" s="27"/>
      <c r="I90" s="27"/>
      <c r="J90" s="24"/>
      <c r="K90" s="24"/>
      <c r="L90" s="24"/>
      <c r="M90" s="29" t="str">
        <f aca="false">IF($A90="","",IFERROR(INDEX(MapStage,MATCH($C90,MapStatus,0)),"Unmapped"))</f>
        <v/>
      </c>
      <c r="N90" s="29" t="str">
        <f aca="false">IF($A90="","",AsOf-$H90)</f>
        <v/>
      </c>
      <c r="O90" s="29" t="str">
        <f aca="false">IF(OR($M90="",$M90="Closed",$M90="Unmapped"),"",INDEX(StageStale,MATCH($M90,StageName,0)))</f>
        <v/>
      </c>
      <c r="P90" s="29" t="str">
        <f aca="false">IF($A90="","",IF($M90="Closed","Closed",IF($J90="Y","Critical",IF(AND($I90&lt;&gt;"",$I90&lt;AsOf),"Critical",IF($M90="Unmapped","Warning",IF($N90&gt;2*$O90,"Critical",IF($N90&gt;$O90,"Warning","On track")))))))</f>
        <v/>
      </c>
      <c r="Q90" s="29" t="str">
        <f aca="false">IF(OR($P90="",$P90="Closed",$P90="On track"),"",IF($J90="Y","Flagged as an impediment",IF(AND($I90&lt;&gt;"",$I90&lt;AsOf),"Past due since "&amp;TEXT($I90,"yyyy-mm-dd"),IF($M90="Unmapped","Status '"&amp;$C90&amp;"' is not in the Config map","No update in "&amp;$N90&amp;" days (limit "&amp;$O90&amp;")"))))</f>
        <v/>
      </c>
      <c r="R90" s="29" t="str">
        <f aca="false">IF(OR($P90="",$P90="Closed",$P90="On track"),"",IF($P90="Critical",3000,2000)+$N90+ROW()/100000)</f>
        <v/>
      </c>
      <c r="S90" s="29" t="str">
        <f aca="false">IF($R90="","","draft Jira update for "&amp;$A90)</f>
        <v/>
      </c>
      <c r="T90" s="29" t="str">
        <f aca="false">IF($A90="","",HYPERLINK(JiraSite&amp;"/browse/"&amp;$A90,"open"))</f>
        <v/>
      </c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7"/>
      <c r="H91" s="27"/>
      <c r="I91" s="27"/>
      <c r="J91" s="24"/>
      <c r="K91" s="24"/>
      <c r="L91" s="24"/>
      <c r="M91" s="29" t="str">
        <f aca="false">IF($A91="","",IFERROR(INDEX(MapStage,MATCH($C91,MapStatus,0)),"Unmapped"))</f>
        <v/>
      </c>
      <c r="N91" s="29" t="str">
        <f aca="false">IF($A91="","",AsOf-$H91)</f>
        <v/>
      </c>
      <c r="O91" s="29" t="str">
        <f aca="false">IF(OR($M91="",$M91="Closed",$M91="Unmapped"),"",INDEX(StageStale,MATCH($M91,StageName,0)))</f>
        <v/>
      </c>
      <c r="P91" s="29" t="str">
        <f aca="false">IF($A91="","",IF($M91="Closed","Closed",IF($J91="Y","Critical",IF(AND($I91&lt;&gt;"",$I91&lt;AsOf),"Critical",IF($M91="Unmapped","Warning",IF($N91&gt;2*$O91,"Critical",IF($N91&gt;$O91,"Warning","On track")))))))</f>
        <v/>
      </c>
      <c r="Q91" s="29" t="str">
        <f aca="false">IF(OR($P91="",$P91="Closed",$P91="On track"),"",IF($J91="Y","Flagged as an impediment",IF(AND($I91&lt;&gt;"",$I91&lt;AsOf),"Past due since "&amp;TEXT($I91,"yyyy-mm-dd"),IF($M91="Unmapped","Status '"&amp;$C91&amp;"' is not in the Config map","No update in "&amp;$N91&amp;" days (limit "&amp;$O91&amp;")"))))</f>
        <v/>
      </c>
      <c r="R91" s="29" t="str">
        <f aca="false">IF(OR($P91="",$P91="Closed",$P91="On track"),"",IF($P91="Critical",3000,2000)+$N91+ROW()/100000)</f>
        <v/>
      </c>
      <c r="S91" s="29" t="str">
        <f aca="false">IF($R91="","","draft Jira update for "&amp;$A91)</f>
        <v/>
      </c>
      <c r="T91" s="29" t="str">
        <f aca="false">IF($A91="","",HYPERLINK(JiraSite&amp;"/browse/"&amp;$A91,"open"))</f>
        <v/>
      </c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7"/>
      <c r="H92" s="27"/>
      <c r="I92" s="27"/>
      <c r="J92" s="24"/>
      <c r="K92" s="24"/>
      <c r="L92" s="24"/>
      <c r="M92" s="29" t="str">
        <f aca="false">IF($A92="","",IFERROR(INDEX(MapStage,MATCH($C92,MapStatus,0)),"Unmapped"))</f>
        <v/>
      </c>
      <c r="N92" s="29" t="str">
        <f aca="false">IF($A92="","",AsOf-$H92)</f>
        <v/>
      </c>
      <c r="O92" s="29" t="str">
        <f aca="false">IF(OR($M92="",$M92="Closed",$M92="Unmapped"),"",INDEX(StageStale,MATCH($M92,StageName,0)))</f>
        <v/>
      </c>
      <c r="P92" s="29" t="str">
        <f aca="false">IF($A92="","",IF($M92="Closed","Closed",IF($J92="Y","Critical",IF(AND($I92&lt;&gt;"",$I92&lt;AsOf),"Critical",IF($M92="Unmapped","Warning",IF($N92&gt;2*$O92,"Critical",IF($N92&gt;$O92,"Warning","On track")))))))</f>
        <v/>
      </c>
      <c r="Q92" s="29" t="str">
        <f aca="false">IF(OR($P92="",$P92="Closed",$P92="On track"),"",IF($J92="Y","Flagged as an impediment",IF(AND($I92&lt;&gt;"",$I92&lt;AsOf),"Past due since "&amp;TEXT($I92,"yyyy-mm-dd"),IF($M92="Unmapped","Status '"&amp;$C92&amp;"' is not in the Config map","No update in "&amp;$N92&amp;" days (limit "&amp;$O92&amp;")"))))</f>
        <v/>
      </c>
      <c r="R92" s="29" t="str">
        <f aca="false">IF(OR($P92="",$P92="Closed",$P92="On track"),"",IF($P92="Critical",3000,2000)+$N92+ROW()/100000)</f>
        <v/>
      </c>
      <c r="S92" s="29" t="str">
        <f aca="false">IF($R92="","","draft Jira update for "&amp;$A92)</f>
        <v/>
      </c>
      <c r="T92" s="29" t="str">
        <f aca="false">IF($A92="","",HYPERLINK(JiraSite&amp;"/browse/"&amp;$A92,"open"))</f>
        <v/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7"/>
      <c r="H93" s="27"/>
      <c r="I93" s="27"/>
      <c r="J93" s="24"/>
      <c r="K93" s="24"/>
      <c r="L93" s="24"/>
      <c r="M93" s="29" t="str">
        <f aca="false">IF($A93="","",IFERROR(INDEX(MapStage,MATCH($C93,MapStatus,0)),"Unmapped"))</f>
        <v/>
      </c>
      <c r="N93" s="29" t="str">
        <f aca="false">IF($A93="","",AsOf-$H93)</f>
        <v/>
      </c>
      <c r="O93" s="29" t="str">
        <f aca="false">IF(OR($M93="",$M93="Closed",$M93="Unmapped"),"",INDEX(StageStale,MATCH($M93,StageName,0)))</f>
        <v/>
      </c>
      <c r="P93" s="29" t="str">
        <f aca="false">IF($A93="","",IF($M93="Closed","Closed",IF($J93="Y","Critical",IF(AND($I93&lt;&gt;"",$I93&lt;AsOf),"Critical",IF($M93="Unmapped","Warning",IF($N93&gt;2*$O93,"Critical",IF($N93&gt;$O93,"Warning","On track")))))))</f>
        <v/>
      </c>
      <c r="Q93" s="29" t="str">
        <f aca="false">IF(OR($P93="",$P93="Closed",$P93="On track"),"",IF($J93="Y","Flagged as an impediment",IF(AND($I93&lt;&gt;"",$I93&lt;AsOf),"Past due since "&amp;TEXT($I93,"yyyy-mm-dd"),IF($M93="Unmapped","Status '"&amp;$C93&amp;"' is not in the Config map","No update in "&amp;$N93&amp;" days (limit "&amp;$O93&amp;")"))))</f>
        <v/>
      </c>
      <c r="R93" s="29" t="str">
        <f aca="false">IF(OR($P93="",$P93="Closed",$P93="On track"),"",IF($P93="Critical",3000,2000)+$N93+ROW()/100000)</f>
        <v/>
      </c>
      <c r="S93" s="29" t="str">
        <f aca="false">IF($R93="","","draft Jira update for "&amp;$A93)</f>
        <v/>
      </c>
      <c r="T93" s="29" t="str">
        <f aca="false">IF($A93="","",HYPERLINK(JiraSite&amp;"/browse/"&amp;$A93,"open"))</f>
        <v/>
      </c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7"/>
      <c r="H94" s="27"/>
      <c r="I94" s="27"/>
      <c r="J94" s="24"/>
      <c r="K94" s="24"/>
      <c r="L94" s="24"/>
      <c r="M94" s="29" t="str">
        <f aca="false">IF($A94="","",IFERROR(INDEX(MapStage,MATCH($C94,MapStatus,0)),"Unmapped"))</f>
        <v/>
      </c>
      <c r="N94" s="29" t="str">
        <f aca="false">IF($A94="","",AsOf-$H94)</f>
        <v/>
      </c>
      <c r="O94" s="29" t="str">
        <f aca="false">IF(OR($M94="",$M94="Closed",$M94="Unmapped"),"",INDEX(StageStale,MATCH($M94,StageName,0)))</f>
        <v/>
      </c>
      <c r="P94" s="29" t="str">
        <f aca="false">IF($A94="","",IF($M94="Closed","Closed",IF($J94="Y","Critical",IF(AND($I94&lt;&gt;"",$I94&lt;AsOf),"Critical",IF($M94="Unmapped","Warning",IF($N94&gt;2*$O94,"Critical",IF($N94&gt;$O94,"Warning","On track")))))))</f>
        <v/>
      </c>
      <c r="Q94" s="29" t="str">
        <f aca="false">IF(OR($P94="",$P94="Closed",$P94="On track"),"",IF($J94="Y","Flagged as an impediment",IF(AND($I94&lt;&gt;"",$I94&lt;AsOf),"Past due since "&amp;TEXT($I94,"yyyy-mm-dd"),IF($M94="Unmapped","Status '"&amp;$C94&amp;"' is not in the Config map","No update in "&amp;$N94&amp;" days (limit "&amp;$O94&amp;")"))))</f>
        <v/>
      </c>
      <c r="R94" s="29" t="str">
        <f aca="false">IF(OR($P94="",$P94="Closed",$P94="On track"),"",IF($P94="Critical",3000,2000)+$N94+ROW()/100000)</f>
        <v/>
      </c>
      <c r="S94" s="29" t="str">
        <f aca="false">IF($R94="","","draft Jira update for "&amp;$A94)</f>
        <v/>
      </c>
      <c r="T94" s="29" t="str">
        <f aca="false">IF($A94="","",HYPERLINK(JiraSite&amp;"/browse/"&amp;$A94,"open"))</f>
        <v/>
      </c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7"/>
      <c r="H95" s="27"/>
      <c r="I95" s="27"/>
      <c r="J95" s="24"/>
      <c r="K95" s="24"/>
      <c r="L95" s="24"/>
      <c r="M95" s="29" t="str">
        <f aca="false">IF($A95="","",IFERROR(INDEX(MapStage,MATCH($C95,MapStatus,0)),"Unmapped"))</f>
        <v/>
      </c>
      <c r="N95" s="29" t="str">
        <f aca="false">IF($A95="","",AsOf-$H95)</f>
        <v/>
      </c>
      <c r="O95" s="29" t="str">
        <f aca="false">IF(OR($M95="",$M95="Closed",$M95="Unmapped"),"",INDEX(StageStale,MATCH($M95,StageName,0)))</f>
        <v/>
      </c>
      <c r="P95" s="29" t="str">
        <f aca="false">IF($A95="","",IF($M95="Closed","Closed",IF($J95="Y","Critical",IF(AND($I95&lt;&gt;"",$I95&lt;AsOf),"Critical",IF($M95="Unmapped","Warning",IF($N95&gt;2*$O95,"Critical",IF($N95&gt;$O95,"Warning","On track")))))))</f>
        <v/>
      </c>
      <c r="Q95" s="29" t="str">
        <f aca="false">IF(OR($P95="",$P95="Closed",$P95="On track"),"",IF($J95="Y","Flagged as an impediment",IF(AND($I95&lt;&gt;"",$I95&lt;AsOf),"Past due since "&amp;TEXT($I95,"yyyy-mm-dd"),IF($M95="Unmapped","Status '"&amp;$C95&amp;"' is not in the Config map","No update in "&amp;$N95&amp;" days (limit "&amp;$O95&amp;")"))))</f>
        <v/>
      </c>
      <c r="R95" s="29" t="str">
        <f aca="false">IF(OR($P95="",$P95="Closed",$P95="On track"),"",IF($P95="Critical",3000,2000)+$N95+ROW()/100000)</f>
        <v/>
      </c>
      <c r="S95" s="29" t="str">
        <f aca="false">IF($R95="","","draft Jira update for "&amp;$A95)</f>
        <v/>
      </c>
      <c r="T95" s="29" t="str">
        <f aca="false">IF($A95="","",HYPERLINK(JiraSite&amp;"/browse/"&amp;$A95,"open"))</f>
        <v/>
      </c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7"/>
      <c r="H96" s="27"/>
      <c r="I96" s="27"/>
      <c r="J96" s="24"/>
      <c r="K96" s="24"/>
      <c r="L96" s="24"/>
      <c r="M96" s="29" t="str">
        <f aca="false">IF($A96="","",IFERROR(INDEX(MapStage,MATCH($C96,MapStatus,0)),"Unmapped"))</f>
        <v/>
      </c>
      <c r="N96" s="29" t="str">
        <f aca="false">IF($A96="","",AsOf-$H96)</f>
        <v/>
      </c>
      <c r="O96" s="29" t="str">
        <f aca="false">IF(OR($M96="",$M96="Closed",$M96="Unmapped"),"",INDEX(StageStale,MATCH($M96,StageName,0)))</f>
        <v/>
      </c>
      <c r="P96" s="29" t="str">
        <f aca="false">IF($A96="","",IF($M96="Closed","Closed",IF($J96="Y","Critical",IF(AND($I96&lt;&gt;"",$I96&lt;AsOf),"Critical",IF($M96="Unmapped","Warning",IF($N96&gt;2*$O96,"Critical",IF($N96&gt;$O96,"Warning","On track")))))))</f>
        <v/>
      </c>
      <c r="Q96" s="29" t="str">
        <f aca="false">IF(OR($P96="",$P96="Closed",$P96="On track"),"",IF($J96="Y","Flagged as an impediment",IF(AND($I96&lt;&gt;"",$I96&lt;AsOf),"Past due since "&amp;TEXT($I96,"yyyy-mm-dd"),IF($M96="Unmapped","Status '"&amp;$C96&amp;"' is not in the Config map","No update in "&amp;$N96&amp;" days (limit "&amp;$O96&amp;")"))))</f>
        <v/>
      </c>
      <c r="R96" s="29" t="str">
        <f aca="false">IF(OR($P96="",$P96="Closed",$P96="On track"),"",IF($P96="Critical",3000,2000)+$N96+ROW()/100000)</f>
        <v/>
      </c>
      <c r="S96" s="29" t="str">
        <f aca="false">IF($R96="","","draft Jira update for "&amp;$A96)</f>
        <v/>
      </c>
      <c r="T96" s="29" t="str">
        <f aca="false">IF($A96="","",HYPERLINK(JiraSite&amp;"/browse/"&amp;$A96,"open"))</f>
        <v/>
      </c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7"/>
      <c r="H97" s="27"/>
      <c r="I97" s="27"/>
      <c r="J97" s="24"/>
      <c r="K97" s="24"/>
      <c r="L97" s="24"/>
      <c r="M97" s="29" t="str">
        <f aca="false">IF($A97="","",IFERROR(INDEX(MapStage,MATCH($C97,MapStatus,0)),"Unmapped"))</f>
        <v/>
      </c>
      <c r="N97" s="29" t="str">
        <f aca="false">IF($A97="","",AsOf-$H97)</f>
        <v/>
      </c>
      <c r="O97" s="29" t="str">
        <f aca="false">IF(OR($M97="",$M97="Closed",$M97="Unmapped"),"",INDEX(StageStale,MATCH($M97,StageName,0)))</f>
        <v/>
      </c>
      <c r="P97" s="29" t="str">
        <f aca="false">IF($A97="","",IF($M97="Closed","Closed",IF($J97="Y","Critical",IF(AND($I97&lt;&gt;"",$I97&lt;AsOf),"Critical",IF($M97="Unmapped","Warning",IF($N97&gt;2*$O97,"Critical",IF($N97&gt;$O97,"Warning","On track")))))))</f>
        <v/>
      </c>
      <c r="Q97" s="29" t="str">
        <f aca="false">IF(OR($P97="",$P97="Closed",$P97="On track"),"",IF($J97="Y","Flagged as an impediment",IF(AND($I97&lt;&gt;"",$I97&lt;AsOf),"Past due since "&amp;TEXT($I97,"yyyy-mm-dd"),IF($M97="Unmapped","Status '"&amp;$C97&amp;"' is not in the Config map","No update in "&amp;$N97&amp;" days (limit "&amp;$O97&amp;")"))))</f>
        <v/>
      </c>
      <c r="R97" s="29" t="str">
        <f aca="false">IF(OR($P97="",$P97="Closed",$P97="On track"),"",IF($P97="Critical",3000,2000)+$N97+ROW()/100000)</f>
        <v/>
      </c>
      <c r="S97" s="29" t="str">
        <f aca="false">IF($R97="","","draft Jira update for "&amp;$A97)</f>
        <v/>
      </c>
      <c r="T97" s="29" t="str">
        <f aca="false">IF($A97="","",HYPERLINK(JiraSite&amp;"/browse/"&amp;$A97,"open"))</f>
        <v/>
      </c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7"/>
      <c r="H98" s="27"/>
      <c r="I98" s="27"/>
      <c r="J98" s="24"/>
      <c r="K98" s="24"/>
      <c r="L98" s="24"/>
      <c r="M98" s="29" t="str">
        <f aca="false">IF($A98="","",IFERROR(INDEX(MapStage,MATCH($C98,MapStatus,0)),"Unmapped"))</f>
        <v/>
      </c>
      <c r="N98" s="29" t="str">
        <f aca="false">IF($A98="","",AsOf-$H98)</f>
        <v/>
      </c>
      <c r="O98" s="29" t="str">
        <f aca="false">IF(OR($M98="",$M98="Closed",$M98="Unmapped"),"",INDEX(StageStale,MATCH($M98,StageName,0)))</f>
        <v/>
      </c>
      <c r="P98" s="29" t="str">
        <f aca="false">IF($A98="","",IF($M98="Closed","Closed",IF($J98="Y","Critical",IF(AND($I98&lt;&gt;"",$I98&lt;AsOf),"Critical",IF($M98="Unmapped","Warning",IF($N98&gt;2*$O98,"Critical",IF($N98&gt;$O98,"Warning","On track")))))))</f>
        <v/>
      </c>
      <c r="Q98" s="29" t="str">
        <f aca="false">IF(OR($P98="",$P98="Closed",$P98="On track"),"",IF($J98="Y","Flagged as an impediment",IF(AND($I98&lt;&gt;"",$I98&lt;AsOf),"Past due since "&amp;TEXT($I98,"yyyy-mm-dd"),IF($M98="Unmapped","Status '"&amp;$C98&amp;"' is not in the Config map","No update in "&amp;$N98&amp;" days (limit "&amp;$O98&amp;")"))))</f>
        <v/>
      </c>
      <c r="R98" s="29" t="str">
        <f aca="false">IF(OR($P98="",$P98="Closed",$P98="On track"),"",IF($P98="Critical",3000,2000)+$N98+ROW()/100000)</f>
        <v/>
      </c>
      <c r="S98" s="29" t="str">
        <f aca="false">IF($R98="","","draft Jira update for "&amp;$A98)</f>
        <v/>
      </c>
      <c r="T98" s="29" t="str">
        <f aca="false">IF($A98="","",HYPERLINK(JiraSite&amp;"/browse/"&amp;$A98,"open"))</f>
        <v/>
      </c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7"/>
      <c r="H99" s="27"/>
      <c r="I99" s="27"/>
      <c r="J99" s="24"/>
      <c r="K99" s="24"/>
      <c r="L99" s="24"/>
      <c r="M99" s="29" t="str">
        <f aca="false">IF($A99="","",IFERROR(INDEX(MapStage,MATCH($C99,MapStatus,0)),"Unmapped"))</f>
        <v/>
      </c>
      <c r="N99" s="29" t="str">
        <f aca="false">IF($A99="","",AsOf-$H99)</f>
        <v/>
      </c>
      <c r="O99" s="29" t="str">
        <f aca="false">IF(OR($M99="",$M99="Closed",$M99="Unmapped"),"",INDEX(StageStale,MATCH($M99,StageName,0)))</f>
        <v/>
      </c>
      <c r="P99" s="29" t="str">
        <f aca="false">IF($A99="","",IF($M99="Closed","Closed",IF($J99="Y","Critical",IF(AND($I99&lt;&gt;"",$I99&lt;AsOf),"Critical",IF($M99="Unmapped","Warning",IF($N99&gt;2*$O99,"Critical",IF($N99&gt;$O99,"Warning","On track")))))))</f>
        <v/>
      </c>
      <c r="Q99" s="29" t="str">
        <f aca="false">IF(OR($P99="",$P99="Closed",$P99="On track"),"",IF($J99="Y","Flagged as an impediment",IF(AND($I99&lt;&gt;"",$I99&lt;AsOf),"Past due since "&amp;TEXT($I99,"yyyy-mm-dd"),IF($M99="Unmapped","Status '"&amp;$C99&amp;"' is not in the Config map","No update in "&amp;$N99&amp;" days (limit "&amp;$O99&amp;")"))))</f>
        <v/>
      </c>
      <c r="R99" s="29" t="str">
        <f aca="false">IF(OR($P99="",$P99="Closed",$P99="On track"),"",IF($P99="Critical",3000,2000)+$N99+ROW()/100000)</f>
        <v/>
      </c>
      <c r="S99" s="29" t="str">
        <f aca="false">IF($R99="","","draft Jira update for "&amp;$A99)</f>
        <v/>
      </c>
      <c r="T99" s="29" t="str">
        <f aca="false">IF($A99="","",HYPERLINK(JiraSite&amp;"/browse/"&amp;$A99,"open"))</f>
        <v/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7"/>
      <c r="H100" s="27"/>
      <c r="I100" s="27"/>
      <c r="J100" s="24"/>
      <c r="K100" s="24"/>
      <c r="L100" s="24"/>
      <c r="M100" s="29" t="str">
        <f aca="false">IF($A100="","",IFERROR(INDEX(MapStage,MATCH($C100,MapStatus,0)),"Unmapped"))</f>
        <v/>
      </c>
      <c r="N100" s="29" t="str">
        <f aca="false">IF($A100="","",AsOf-$H100)</f>
        <v/>
      </c>
      <c r="O100" s="29" t="str">
        <f aca="false">IF(OR($M100="",$M100="Closed",$M100="Unmapped"),"",INDEX(StageStale,MATCH($M100,StageName,0)))</f>
        <v/>
      </c>
      <c r="P100" s="29" t="str">
        <f aca="false">IF($A100="","",IF($M100="Closed","Closed",IF($J100="Y","Critical",IF(AND($I100&lt;&gt;"",$I100&lt;AsOf),"Critical",IF($M100="Unmapped","Warning",IF($N100&gt;2*$O100,"Critical",IF($N100&gt;$O100,"Warning","On track")))))))</f>
        <v/>
      </c>
      <c r="Q100" s="29" t="str">
        <f aca="false">IF(OR($P100="",$P100="Closed",$P100="On track"),"",IF($J100="Y","Flagged as an impediment",IF(AND($I100&lt;&gt;"",$I100&lt;AsOf),"Past due since "&amp;TEXT($I100,"yyyy-mm-dd"),IF($M100="Unmapped","Status '"&amp;$C100&amp;"' is not in the Config map","No update in "&amp;$N100&amp;" days (limit "&amp;$O100&amp;")"))))</f>
        <v/>
      </c>
      <c r="R100" s="29" t="str">
        <f aca="false">IF(OR($P100="",$P100="Closed",$P100="On track"),"",IF($P100="Critical",3000,2000)+$N100+ROW()/100000)</f>
        <v/>
      </c>
      <c r="S100" s="29" t="str">
        <f aca="false">IF($R100="","","draft Jira update for "&amp;$A100)</f>
        <v/>
      </c>
      <c r="T100" s="29" t="str">
        <f aca="false">IF($A100="","",HYPERLINK(JiraSite&amp;"/browse/"&amp;$A100,"open"))</f>
        <v/>
      </c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7"/>
      <c r="H101" s="27"/>
      <c r="I101" s="27"/>
      <c r="J101" s="24"/>
      <c r="K101" s="24"/>
      <c r="L101" s="24"/>
      <c r="M101" s="29" t="str">
        <f aca="false">IF($A101="","",IFERROR(INDEX(MapStage,MATCH($C101,MapStatus,0)),"Unmapped"))</f>
        <v/>
      </c>
      <c r="N101" s="29" t="str">
        <f aca="false">IF($A101="","",AsOf-$H101)</f>
        <v/>
      </c>
      <c r="O101" s="29" t="str">
        <f aca="false">IF(OR($M101="",$M101="Closed",$M101="Unmapped"),"",INDEX(StageStale,MATCH($M101,StageName,0)))</f>
        <v/>
      </c>
      <c r="P101" s="29" t="str">
        <f aca="false">IF($A101="","",IF($M101="Closed","Closed",IF($J101="Y","Critical",IF(AND($I101&lt;&gt;"",$I101&lt;AsOf),"Critical",IF($M101="Unmapped","Warning",IF($N101&gt;2*$O101,"Critical",IF($N101&gt;$O101,"Warning","On track")))))))</f>
        <v/>
      </c>
      <c r="Q101" s="29" t="str">
        <f aca="false">IF(OR($P101="",$P101="Closed",$P101="On track"),"",IF($J101="Y","Flagged as an impediment",IF(AND($I101&lt;&gt;"",$I101&lt;AsOf),"Past due since "&amp;TEXT($I101,"yyyy-mm-dd"),IF($M101="Unmapped","Status '"&amp;$C101&amp;"' is not in the Config map","No update in "&amp;$N101&amp;" days (limit "&amp;$O101&amp;")"))))</f>
        <v/>
      </c>
      <c r="R101" s="29" t="str">
        <f aca="false">IF(OR($P101="",$P101="Closed",$P101="On track"),"",IF($P101="Critical",3000,2000)+$N101+ROW()/100000)</f>
        <v/>
      </c>
      <c r="S101" s="29" t="str">
        <f aca="false">IF($R101="","","draft Jira update for "&amp;$A101)</f>
        <v/>
      </c>
      <c r="T101" s="29" t="str">
        <f aca="false">IF($A101="","",HYPERLINK(JiraSite&amp;"/browse/"&amp;$A101,"open"))</f>
        <v/>
      </c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7"/>
      <c r="H102" s="27"/>
      <c r="I102" s="27"/>
      <c r="J102" s="24"/>
      <c r="K102" s="24"/>
      <c r="L102" s="24"/>
      <c r="M102" s="29" t="str">
        <f aca="false">IF($A102="","",IFERROR(INDEX(MapStage,MATCH($C102,MapStatus,0)),"Unmapped"))</f>
        <v/>
      </c>
      <c r="N102" s="29" t="str">
        <f aca="false">IF($A102="","",AsOf-$H102)</f>
        <v/>
      </c>
      <c r="O102" s="29" t="str">
        <f aca="false">IF(OR($M102="",$M102="Closed",$M102="Unmapped"),"",INDEX(StageStale,MATCH($M102,StageName,0)))</f>
        <v/>
      </c>
      <c r="P102" s="29" t="str">
        <f aca="false">IF($A102="","",IF($M102="Closed","Closed",IF($J102="Y","Critical",IF(AND($I102&lt;&gt;"",$I102&lt;AsOf),"Critical",IF($M102="Unmapped","Warning",IF($N102&gt;2*$O102,"Critical",IF($N102&gt;$O102,"Warning","On track")))))))</f>
        <v/>
      </c>
      <c r="Q102" s="29" t="str">
        <f aca="false">IF(OR($P102="",$P102="Closed",$P102="On track"),"",IF($J102="Y","Flagged as an impediment",IF(AND($I102&lt;&gt;"",$I102&lt;AsOf),"Past due since "&amp;TEXT($I102,"yyyy-mm-dd"),IF($M102="Unmapped","Status '"&amp;$C102&amp;"' is not in the Config map","No update in "&amp;$N102&amp;" days (limit "&amp;$O102&amp;")"))))</f>
        <v/>
      </c>
      <c r="R102" s="29" t="str">
        <f aca="false">IF(OR($P102="",$P102="Closed",$P102="On track"),"",IF($P102="Critical",3000,2000)+$N102+ROW()/100000)</f>
        <v/>
      </c>
      <c r="S102" s="29" t="str">
        <f aca="false">IF($R102="","","draft Jira update for "&amp;$A102)</f>
        <v/>
      </c>
      <c r="T102" s="29" t="str">
        <f aca="false">IF($A102="","",HYPERLINK(JiraSite&amp;"/browse/"&amp;$A102,"open"))</f>
        <v/>
      </c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7"/>
      <c r="H103" s="27"/>
      <c r="I103" s="27"/>
      <c r="J103" s="24"/>
      <c r="K103" s="24"/>
      <c r="L103" s="24"/>
      <c r="M103" s="29" t="str">
        <f aca="false">IF($A103="","",IFERROR(INDEX(MapStage,MATCH($C103,MapStatus,0)),"Unmapped"))</f>
        <v/>
      </c>
      <c r="N103" s="29" t="str">
        <f aca="false">IF($A103="","",AsOf-$H103)</f>
        <v/>
      </c>
      <c r="O103" s="29" t="str">
        <f aca="false">IF(OR($M103="",$M103="Closed",$M103="Unmapped"),"",INDEX(StageStale,MATCH($M103,StageName,0)))</f>
        <v/>
      </c>
      <c r="P103" s="29" t="str">
        <f aca="false">IF($A103="","",IF($M103="Closed","Closed",IF($J103="Y","Critical",IF(AND($I103&lt;&gt;"",$I103&lt;AsOf),"Critical",IF($M103="Unmapped","Warning",IF($N103&gt;2*$O103,"Critical",IF($N103&gt;$O103,"Warning","On track")))))))</f>
        <v/>
      </c>
      <c r="Q103" s="29" t="str">
        <f aca="false">IF(OR($P103="",$P103="Closed",$P103="On track"),"",IF($J103="Y","Flagged as an impediment",IF(AND($I103&lt;&gt;"",$I103&lt;AsOf),"Past due since "&amp;TEXT($I103,"yyyy-mm-dd"),IF($M103="Unmapped","Status '"&amp;$C103&amp;"' is not in the Config map","No update in "&amp;$N103&amp;" days (limit "&amp;$O103&amp;")"))))</f>
        <v/>
      </c>
      <c r="R103" s="29" t="str">
        <f aca="false">IF(OR($P103="",$P103="Closed",$P103="On track"),"",IF($P103="Critical",3000,2000)+$N103+ROW()/100000)</f>
        <v/>
      </c>
      <c r="S103" s="29" t="str">
        <f aca="false">IF($R103="","","draft Jira update for "&amp;$A103)</f>
        <v/>
      </c>
      <c r="T103" s="29" t="str">
        <f aca="false">IF($A103="","",HYPERLINK(JiraSite&amp;"/browse/"&amp;$A103,"open"))</f>
        <v/>
      </c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7"/>
      <c r="H104" s="27"/>
      <c r="I104" s="27"/>
      <c r="J104" s="24"/>
      <c r="K104" s="24"/>
      <c r="L104" s="24"/>
      <c r="M104" s="29" t="str">
        <f aca="false">IF($A104="","",IFERROR(INDEX(MapStage,MATCH($C104,MapStatus,0)),"Unmapped"))</f>
        <v/>
      </c>
      <c r="N104" s="29" t="str">
        <f aca="false">IF($A104="","",AsOf-$H104)</f>
        <v/>
      </c>
      <c r="O104" s="29" t="str">
        <f aca="false">IF(OR($M104="",$M104="Closed",$M104="Unmapped"),"",INDEX(StageStale,MATCH($M104,StageName,0)))</f>
        <v/>
      </c>
      <c r="P104" s="29" t="str">
        <f aca="false">IF($A104="","",IF($M104="Closed","Closed",IF($J104="Y","Critical",IF(AND($I104&lt;&gt;"",$I104&lt;AsOf),"Critical",IF($M104="Unmapped","Warning",IF($N104&gt;2*$O104,"Critical",IF($N104&gt;$O104,"Warning","On track")))))))</f>
        <v/>
      </c>
      <c r="Q104" s="29" t="str">
        <f aca="false">IF(OR($P104="",$P104="Closed",$P104="On track"),"",IF($J104="Y","Flagged as an impediment",IF(AND($I104&lt;&gt;"",$I104&lt;AsOf),"Past due since "&amp;TEXT($I104,"yyyy-mm-dd"),IF($M104="Unmapped","Status '"&amp;$C104&amp;"' is not in the Config map","No update in "&amp;$N104&amp;" days (limit "&amp;$O104&amp;")"))))</f>
        <v/>
      </c>
      <c r="R104" s="29" t="str">
        <f aca="false">IF(OR($P104="",$P104="Closed",$P104="On track"),"",IF($P104="Critical",3000,2000)+$N104+ROW()/100000)</f>
        <v/>
      </c>
      <c r="S104" s="29" t="str">
        <f aca="false">IF($R104="","","draft Jira update for "&amp;$A104)</f>
        <v/>
      </c>
      <c r="T104" s="29" t="str">
        <f aca="false">IF($A104="","",HYPERLINK(JiraSite&amp;"/browse/"&amp;$A104,"open"))</f>
        <v/>
      </c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7"/>
      <c r="H105" s="27"/>
      <c r="I105" s="27"/>
      <c r="J105" s="24"/>
      <c r="K105" s="24"/>
      <c r="L105" s="24"/>
      <c r="M105" s="29" t="str">
        <f aca="false">IF($A105="","",IFERROR(INDEX(MapStage,MATCH($C105,MapStatus,0)),"Unmapped"))</f>
        <v/>
      </c>
      <c r="N105" s="29" t="str">
        <f aca="false">IF($A105="","",AsOf-$H105)</f>
        <v/>
      </c>
      <c r="O105" s="29" t="str">
        <f aca="false">IF(OR($M105="",$M105="Closed",$M105="Unmapped"),"",INDEX(StageStale,MATCH($M105,StageName,0)))</f>
        <v/>
      </c>
      <c r="P105" s="29" t="str">
        <f aca="false">IF($A105="","",IF($M105="Closed","Closed",IF($J105="Y","Critical",IF(AND($I105&lt;&gt;"",$I105&lt;AsOf),"Critical",IF($M105="Unmapped","Warning",IF($N105&gt;2*$O105,"Critical",IF($N105&gt;$O105,"Warning","On track")))))))</f>
        <v/>
      </c>
      <c r="Q105" s="29" t="str">
        <f aca="false">IF(OR($P105="",$P105="Closed",$P105="On track"),"",IF($J105="Y","Flagged as an impediment",IF(AND($I105&lt;&gt;"",$I105&lt;AsOf),"Past due since "&amp;TEXT($I105,"yyyy-mm-dd"),IF($M105="Unmapped","Status '"&amp;$C105&amp;"' is not in the Config map","No update in "&amp;$N105&amp;" days (limit "&amp;$O105&amp;")"))))</f>
        <v/>
      </c>
      <c r="R105" s="29" t="str">
        <f aca="false">IF(OR($P105="",$P105="Closed",$P105="On track"),"",IF($P105="Critical",3000,2000)+$N105+ROW()/100000)</f>
        <v/>
      </c>
      <c r="S105" s="29" t="str">
        <f aca="false">IF($R105="","","draft Jira update for "&amp;$A105)</f>
        <v/>
      </c>
      <c r="T105" s="29" t="str">
        <f aca="false">IF($A105="","",HYPERLINK(JiraSite&amp;"/browse/"&amp;$A105,"open"))</f>
        <v/>
      </c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7"/>
      <c r="H106" s="27"/>
      <c r="I106" s="27"/>
      <c r="J106" s="24"/>
      <c r="K106" s="24"/>
      <c r="L106" s="24"/>
      <c r="M106" s="29" t="str">
        <f aca="false">IF($A106="","",IFERROR(INDEX(MapStage,MATCH($C106,MapStatus,0)),"Unmapped"))</f>
        <v/>
      </c>
      <c r="N106" s="29" t="str">
        <f aca="false">IF($A106="","",AsOf-$H106)</f>
        <v/>
      </c>
      <c r="O106" s="29" t="str">
        <f aca="false">IF(OR($M106="",$M106="Closed",$M106="Unmapped"),"",INDEX(StageStale,MATCH($M106,StageName,0)))</f>
        <v/>
      </c>
      <c r="P106" s="29" t="str">
        <f aca="false">IF($A106="","",IF($M106="Closed","Closed",IF($J106="Y","Critical",IF(AND($I106&lt;&gt;"",$I106&lt;AsOf),"Critical",IF($M106="Unmapped","Warning",IF($N106&gt;2*$O106,"Critical",IF($N106&gt;$O106,"Warning","On track")))))))</f>
        <v/>
      </c>
      <c r="Q106" s="29" t="str">
        <f aca="false">IF(OR($P106="",$P106="Closed",$P106="On track"),"",IF($J106="Y","Flagged as an impediment",IF(AND($I106&lt;&gt;"",$I106&lt;AsOf),"Past due since "&amp;TEXT($I106,"yyyy-mm-dd"),IF($M106="Unmapped","Status '"&amp;$C106&amp;"' is not in the Config map","No update in "&amp;$N106&amp;" days (limit "&amp;$O106&amp;")"))))</f>
        <v/>
      </c>
      <c r="R106" s="29" t="str">
        <f aca="false">IF(OR($P106="",$P106="Closed",$P106="On track"),"",IF($P106="Critical",3000,2000)+$N106+ROW()/100000)</f>
        <v/>
      </c>
      <c r="S106" s="29" t="str">
        <f aca="false">IF($R106="","","draft Jira update for "&amp;$A106)</f>
        <v/>
      </c>
      <c r="T106" s="29" t="str">
        <f aca="false">IF($A106="","",HYPERLINK(JiraSite&amp;"/browse/"&amp;$A106,"open"))</f>
        <v/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7"/>
      <c r="H107" s="27"/>
      <c r="I107" s="27"/>
      <c r="J107" s="24"/>
      <c r="K107" s="24"/>
      <c r="L107" s="24"/>
      <c r="M107" s="29" t="str">
        <f aca="false">IF($A107="","",IFERROR(INDEX(MapStage,MATCH($C107,MapStatus,0)),"Unmapped"))</f>
        <v/>
      </c>
      <c r="N107" s="29" t="str">
        <f aca="false">IF($A107="","",AsOf-$H107)</f>
        <v/>
      </c>
      <c r="O107" s="29" t="str">
        <f aca="false">IF(OR($M107="",$M107="Closed",$M107="Unmapped"),"",INDEX(StageStale,MATCH($M107,StageName,0)))</f>
        <v/>
      </c>
      <c r="P107" s="29" t="str">
        <f aca="false">IF($A107="","",IF($M107="Closed","Closed",IF($J107="Y","Critical",IF(AND($I107&lt;&gt;"",$I107&lt;AsOf),"Critical",IF($M107="Unmapped","Warning",IF($N107&gt;2*$O107,"Critical",IF($N107&gt;$O107,"Warning","On track")))))))</f>
        <v/>
      </c>
      <c r="Q107" s="29" t="str">
        <f aca="false">IF(OR($P107="",$P107="Closed",$P107="On track"),"",IF($J107="Y","Flagged as an impediment",IF(AND($I107&lt;&gt;"",$I107&lt;AsOf),"Past due since "&amp;TEXT($I107,"yyyy-mm-dd"),IF($M107="Unmapped","Status '"&amp;$C107&amp;"' is not in the Config map","No update in "&amp;$N107&amp;" days (limit "&amp;$O107&amp;")"))))</f>
        <v/>
      </c>
      <c r="R107" s="29" t="str">
        <f aca="false">IF(OR($P107="",$P107="Closed",$P107="On track"),"",IF($P107="Critical",3000,2000)+$N107+ROW()/100000)</f>
        <v/>
      </c>
      <c r="S107" s="29" t="str">
        <f aca="false">IF($R107="","","draft Jira update for "&amp;$A107)</f>
        <v/>
      </c>
      <c r="T107" s="29" t="str">
        <f aca="false">IF($A107="","",HYPERLINK(JiraSite&amp;"/browse/"&amp;$A107,"open"))</f>
        <v/>
      </c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7"/>
      <c r="H108" s="27"/>
      <c r="I108" s="27"/>
      <c r="J108" s="24"/>
      <c r="K108" s="24"/>
      <c r="L108" s="24"/>
      <c r="M108" s="29" t="str">
        <f aca="false">IF($A108="","",IFERROR(INDEX(MapStage,MATCH($C108,MapStatus,0)),"Unmapped"))</f>
        <v/>
      </c>
      <c r="N108" s="29" t="str">
        <f aca="false">IF($A108="","",AsOf-$H108)</f>
        <v/>
      </c>
      <c r="O108" s="29" t="str">
        <f aca="false">IF(OR($M108="",$M108="Closed",$M108="Unmapped"),"",INDEX(StageStale,MATCH($M108,StageName,0)))</f>
        <v/>
      </c>
      <c r="P108" s="29" t="str">
        <f aca="false">IF($A108="","",IF($M108="Closed","Closed",IF($J108="Y","Critical",IF(AND($I108&lt;&gt;"",$I108&lt;AsOf),"Critical",IF($M108="Unmapped","Warning",IF($N108&gt;2*$O108,"Critical",IF($N108&gt;$O108,"Warning","On track")))))))</f>
        <v/>
      </c>
      <c r="Q108" s="29" t="str">
        <f aca="false">IF(OR($P108="",$P108="Closed",$P108="On track"),"",IF($J108="Y","Flagged as an impediment",IF(AND($I108&lt;&gt;"",$I108&lt;AsOf),"Past due since "&amp;TEXT($I108,"yyyy-mm-dd"),IF($M108="Unmapped","Status '"&amp;$C108&amp;"' is not in the Config map","No update in "&amp;$N108&amp;" days (limit "&amp;$O108&amp;")"))))</f>
        <v/>
      </c>
      <c r="R108" s="29" t="str">
        <f aca="false">IF(OR($P108="",$P108="Closed",$P108="On track"),"",IF($P108="Critical",3000,2000)+$N108+ROW()/100000)</f>
        <v/>
      </c>
      <c r="S108" s="29" t="str">
        <f aca="false">IF($R108="","","draft Jira update for "&amp;$A108)</f>
        <v/>
      </c>
      <c r="T108" s="29" t="str">
        <f aca="false">IF($A108="","",HYPERLINK(JiraSite&amp;"/browse/"&amp;$A108,"open"))</f>
        <v/>
      </c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7"/>
      <c r="H109" s="27"/>
      <c r="I109" s="27"/>
      <c r="J109" s="24"/>
      <c r="K109" s="24"/>
      <c r="L109" s="24"/>
      <c r="M109" s="29" t="str">
        <f aca="false">IF($A109="","",IFERROR(INDEX(MapStage,MATCH($C109,MapStatus,0)),"Unmapped"))</f>
        <v/>
      </c>
      <c r="N109" s="29" t="str">
        <f aca="false">IF($A109="","",AsOf-$H109)</f>
        <v/>
      </c>
      <c r="O109" s="29" t="str">
        <f aca="false">IF(OR($M109="",$M109="Closed",$M109="Unmapped"),"",INDEX(StageStale,MATCH($M109,StageName,0)))</f>
        <v/>
      </c>
      <c r="P109" s="29" t="str">
        <f aca="false">IF($A109="","",IF($M109="Closed","Closed",IF($J109="Y","Critical",IF(AND($I109&lt;&gt;"",$I109&lt;AsOf),"Critical",IF($M109="Unmapped","Warning",IF($N109&gt;2*$O109,"Critical",IF($N109&gt;$O109,"Warning","On track")))))))</f>
        <v/>
      </c>
      <c r="Q109" s="29" t="str">
        <f aca="false">IF(OR($P109="",$P109="Closed",$P109="On track"),"",IF($J109="Y","Flagged as an impediment",IF(AND($I109&lt;&gt;"",$I109&lt;AsOf),"Past due since "&amp;TEXT($I109,"yyyy-mm-dd"),IF($M109="Unmapped","Status '"&amp;$C109&amp;"' is not in the Config map","No update in "&amp;$N109&amp;" days (limit "&amp;$O109&amp;")"))))</f>
        <v/>
      </c>
      <c r="R109" s="29" t="str">
        <f aca="false">IF(OR($P109="",$P109="Closed",$P109="On track"),"",IF($P109="Critical",3000,2000)+$N109+ROW()/100000)</f>
        <v/>
      </c>
      <c r="S109" s="29" t="str">
        <f aca="false">IF($R109="","","draft Jira update for "&amp;$A109)</f>
        <v/>
      </c>
      <c r="T109" s="29" t="str">
        <f aca="false">IF($A109="","",HYPERLINK(JiraSite&amp;"/browse/"&amp;$A109,"open"))</f>
        <v/>
      </c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7"/>
      <c r="H110" s="27"/>
      <c r="I110" s="27"/>
      <c r="J110" s="24"/>
      <c r="K110" s="24"/>
      <c r="L110" s="24"/>
      <c r="M110" s="29" t="str">
        <f aca="false">IF($A110="","",IFERROR(INDEX(MapStage,MATCH($C110,MapStatus,0)),"Unmapped"))</f>
        <v/>
      </c>
      <c r="N110" s="29" t="str">
        <f aca="false">IF($A110="","",AsOf-$H110)</f>
        <v/>
      </c>
      <c r="O110" s="29" t="str">
        <f aca="false">IF(OR($M110="",$M110="Closed",$M110="Unmapped"),"",INDEX(StageStale,MATCH($M110,StageName,0)))</f>
        <v/>
      </c>
      <c r="P110" s="29" t="str">
        <f aca="false">IF($A110="","",IF($M110="Closed","Closed",IF($J110="Y","Critical",IF(AND($I110&lt;&gt;"",$I110&lt;AsOf),"Critical",IF($M110="Unmapped","Warning",IF($N110&gt;2*$O110,"Critical",IF($N110&gt;$O110,"Warning","On track")))))))</f>
        <v/>
      </c>
      <c r="Q110" s="29" t="str">
        <f aca="false">IF(OR($P110="",$P110="Closed",$P110="On track"),"",IF($J110="Y","Flagged as an impediment",IF(AND($I110&lt;&gt;"",$I110&lt;AsOf),"Past due since "&amp;TEXT($I110,"yyyy-mm-dd"),IF($M110="Unmapped","Status '"&amp;$C110&amp;"' is not in the Config map","No update in "&amp;$N110&amp;" days (limit "&amp;$O110&amp;")"))))</f>
        <v/>
      </c>
      <c r="R110" s="29" t="str">
        <f aca="false">IF(OR($P110="",$P110="Closed",$P110="On track"),"",IF($P110="Critical",3000,2000)+$N110+ROW()/100000)</f>
        <v/>
      </c>
      <c r="S110" s="29" t="str">
        <f aca="false">IF($R110="","","draft Jira update for "&amp;$A110)</f>
        <v/>
      </c>
      <c r="T110" s="29" t="str">
        <f aca="false">IF($A110="","",HYPERLINK(JiraSite&amp;"/browse/"&amp;$A110,"open"))</f>
        <v/>
      </c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7"/>
      <c r="H111" s="27"/>
      <c r="I111" s="27"/>
      <c r="J111" s="24"/>
      <c r="K111" s="24"/>
      <c r="L111" s="24"/>
      <c r="M111" s="29" t="str">
        <f aca="false">IF($A111="","",IFERROR(INDEX(MapStage,MATCH($C111,MapStatus,0)),"Unmapped"))</f>
        <v/>
      </c>
      <c r="N111" s="29" t="str">
        <f aca="false">IF($A111="","",AsOf-$H111)</f>
        <v/>
      </c>
      <c r="O111" s="29" t="str">
        <f aca="false">IF(OR($M111="",$M111="Closed",$M111="Unmapped"),"",INDEX(StageStale,MATCH($M111,StageName,0)))</f>
        <v/>
      </c>
      <c r="P111" s="29" t="str">
        <f aca="false">IF($A111="","",IF($M111="Closed","Closed",IF($J111="Y","Critical",IF(AND($I111&lt;&gt;"",$I111&lt;AsOf),"Critical",IF($M111="Unmapped","Warning",IF($N111&gt;2*$O111,"Critical",IF($N111&gt;$O111,"Warning","On track")))))))</f>
        <v/>
      </c>
      <c r="Q111" s="29" t="str">
        <f aca="false">IF(OR($P111="",$P111="Closed",$P111="On track"),"",IF($J111="Y","Flagged as an impediment",IF(AND($I111&lt;&gt;"",$I111&lt;AsOf),"Past due since "&amp;TEXT($I111,"yyyy-mm-dd"),IF($M111="Unmapped","Status '"&amp;$C111&amp;"' is not in the Config map","No update in "&amp;$N111&amp;" days (limit "&amp;$O111&amp;")"))))</f>
        <v/>
      </c>
      <c r="R111" s="29" t="str">
        <f aca="false">IF(OR($P111="",$P111="Closed",$P111="On track"),"",IF($P111="Critical",3000,2000)+$N111+ROW()/100000)</f>
        <v/>
      </c>
      <c r="S111" s="29" t="str">
        <f aca="false">IF($R111="","","draft Jira update for "&amp;$A111)</f>
        <v/>
      </c>
      <c r="T111" s="29" t="str">
        <f aca="false">IF($A111="","",HYPERLINK(JiraSite&amp;"/browse/"&amp;$A111,"open"))</f>
        <v/>
      </c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7"/>
      <c r="H112" s="27"/>
      <c r="I112" s="27"/>
      <c r="J112" s="24"/>
      <c r="K112" s="24"/>
      <c r="L112" s="24"/>
      <c r="M112" s="29" t="str">
        <f aca="false">IF($A112="","",IFERROR(INDEX(MapStage,MATCH($C112,MapStatus,0)),"Unmapped"))</f>
        <v/>
      </c>
      <c r="N112" s="29" t="str">
        <f aca="false">IF($A112="","",AsOf-$H112)</f>
        <v/>
      </c>
      <c r="O112" s="29" t="str">
        <f aca="false">IF(OR($M112="",$M112="Closed",$M112="Unmapped"),"",INDEX(StageStale,MATCH($M112,StageName,0)))</f>
        <v/>
      </c>
      <c r="P112" s="29" t="str">
        <f aca="false">IF($A112="","",IF($M112="Closed","Closed",IF($J112="Y","Critical",IF(AND($I112&lt;&gt;"",$I112&lt;AsOf),"Critical",IF($M112="Unmapped","Warning",IF($N112&gt;2*$O112,"Critical",IF($N112&gt;$O112,"Warning","On track")))))))</f>
        <v/>
      </c>
      <c r="Q112" s="29" t="str">
        <f aca="false">IF(OR($P112="",$P112="Closed",$P112="On track"),"",IF($J112="Y","Flagged as an impediment",IF(AND($I112&lt;&gt;"",$I112&lt;AsOf),"Past due since "&amp;TEXT($I112,"yyyy-mm-dd"),IF($M112="Unmapped","Status '"&amp;$C112&amp;"' is not in the Config map","No update in "&amp;$N112&amp;" days (limit "&amp;$O112&amp;")"))))</f>
        <v/>
      </c>
      <c r="R112" s="29" t="str">
        <f aca="false">IF(OR($P112="",$P112="Closed",$P112="On track"),"",IF($P112="Critical",3000,2000)+$N112+ROW()/100000)</f>
        <v/>
      </c>
      <c r="S112" s="29" t="str">
        <f aca="false">IF($R112="","","draft Jira update for "&amp;$A112)</f>
        <v/>
      </c>
      <c r="T112" s="29" t="str">
        <f aca="false">IF($A112="","",HYPERLINK(JiraSite&amp;"/browse/"&amp;$A112,"open"))</f>
        <v/>
      </c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7"/>
      <c r="H113" s="27"/>
      <c r="I113" s="27"/>
      <c r="J113" s="24"/>
      <c r="K113" s="24"/>
      <c r="L113" s="24"/>
      <c r="M113" s="29" t="str">
        <f aca="false">IF($A113="","",IFERROR(INDEX(MapStage,MATCH($C113,MapStatus,0)),"Unmapped"))</f>
        <v/>
      </c>
      <c r="N113" s="29" t="str">
        <f aca="false">IF($A113="","",AsOf-$H113)</f>
        <v/>
      </c>
      <c r="O113" s="29" t="str">
        <f aca="false">IF(OR($M113="",$M113="Closed",$M113="Unmapped"),"",INDEX(StageStale,MATCH($M113,StageName,0)))</f>
        <v/>
      </c>
      <c r="P113" s="29" t="str">
        <f aca="false">IF($A113="","",IF($M113="Closed","Closed",IF($J113="Y","Critical",IF(AND($I113&lt;&gt;"",$I113&lt;AsOf),"Critical",IF($M113="Unmapped","Warning",IF($N113&gt;2*$O113,"Critical",IF($N113&gt;$O113,"Warning","On track")))))))</f>
        <v/>
      </c>
      <c r="Q113" s="29" t="str">
        <f aca="false">IF(OR($P113="",$P113="Closed",$P113="On track"),"",IF($J113="Y","Flagged as an impediment",IF(AND($I113&lt;&gt;"",$I113&lt;AsOf),"Past due since "&amp;TEXT($I113,"yyyy-mm-dd"),IF($M113="Unmapped","Status '"&amp;$C113&amp;"' is not in the Config map","No update in "&amp;$N113&amp;" days (limit "&amp;$O113&amp;")"))))</f>
        <v/>
      </c>
      <c r="R113" s="29" t="str">
        <f aca="false">IF(OR($P113="",$P113="Closed",$P113="On track"),"",IF($P113="Critical",3000,2000)+$N113+ROW()/100000)</f>
        <v/>
      </c>
      <c r="S113" s="29" t="str">
        <f aca="false">IF($R113="","","draft Jira update for "&amp;$A113)</f>
        <v/>
      </c>
      <c r="T113" s="29" t="str">
        <f aca="false">IF($A113="","",HYPERLINK(JiraSite&amp;"/browse/"&amp;$A113,"open"))</f>
        <v/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7"/>
      <c r="H114" s="27"/>
      <c r="I114" s="27"/>
      <c r="J114" s="24"/>
      <c r="K114" s="24"/>
      <c r="L114" s="24"/>
      <c r="M114" s="29" t="str">
        <f aca="false">IF($A114="","",IFERROR(INDEX(MapStage,MATCH($C114,MapStatus,0)),"Unmapped"))</f>
        <v/>
      </c>
      <c r="N114" s="29" t="str">
        <f aca="false">IF($A114="","",AsOf-$H114)</f>
        <v/>
      </c>
      <c r="O114" s="29" t="str">
        <f aca="false">IF(OR($M114="",$M114="Closed",$M114="Unmapped"),"",INDEX(StageStale,MATCH($M114,StageName,0)))</f>
        <v/>
      </c>
      <c r="P114" s="29" t="str">
        <f aca="false">IF($A114="","",IF($M114="Closed","Closed",IF($J114="Y","Critical",IF(AND($I114&lt;&gt;"",$I114&lt;AsOf),"Critical",IF($M114="Unmapped","Warning",IF($N114&gt;2*$O114,"Critical",IF($N114&gt;$O114,"Warning","On track")))))))</f>
        <v/>
      </c>
      <c r="Q114" s="29" t="str">
        <f aca="false">IF(OR($P114="",$P114="Closed",$P114="On track"),"",IF($J114="Y","Flagged as an impediment",IF(AND($I114&lt;&gt;"",$I114&lt;AsOf),"Past due since "&amp;TEXT($I114,"yyyy-mm-dd"),IF($M114="Unmapped","Status '"&amp;$C114&amp;"' is not in the Config map","No update in "&amp;$N114&amp;" days (limit "&amp;$O114&amp;")"))))</f>
        <v/>
      </c>
      <c r="R114" s="29" t="str">
        <f aca="false">IF(OR($P114="",$P114="Closed",$P114="On track"),"",IF($P114="Critical",3000,2000)+$N114+ROW()/100000)</f>
        <v/>
      </c>
      <c r="S114" s="29" t="str">
        <f aca="false">IF($R114="","","draft Jira update for "&amp;$A114)</f>
        <v/>
      </c>
      <c r="T114" s="29" t="str">
        <f aca="false">IF($A114="","",HYPERLINK(JiraSite&amp;"/browse/"&amp;$A114,"open"))</f>
        <v/>
      </c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7"/>
      <c r="H115" s="27"/>
      <c r="I115" s="27"/>
      <c r="J115" s="24"/>
      <c r="K115" s="24"/>
      <c r="L115" s="24"/>
      <c r="M115" s="29" t="str">
        <f aca="false">IF($A115="","",IFERROR(INDEX(MapStage,MATCH($C115,MapStatus,0)),"Unmapped"))</f>
        <v/>
      </c>
      <c r="N115" s="29" t="str">
        <f aca="false">IF($A115="","",AsOf-$H115)</f>
        <v/>
      </c>
      <c r="O115" s="29" t="str">
        <f aca="false">IF(OR($M115="",$M115="Closed",$M115="Unmapped"),"",INDEX(StageStale,MATCH($M115,StageName,0)))</f>
        <v/>
      </c>
      <c r="P115" s="29" t="str">
        <f aca="false">IF($A115="","",IF($M115="Closed","Closed",IF($J115="Y","Critical",IF(AND($I115&lt;&gt;"",$I115&lt;AsOf),"Critical",IF($M115="Unmapped","Warning",IF($N115&gt;2*$O115,"Critical",IF($N115&gt;$O115,"Warning","On track")))))))</f>
        <v/>
      </c>
      <c r="Q115" s="29" t="str">
        <f aca="false">IF(OR($P115="",$P115="Closed",$P115="On track"),"",IF($J115="Y","Flagged as an impediment",IF(AND($I115&lt;&gt;"",$I115&lt;AsOf),"Past due since "&amp;TEXT($I115,"yyyy-mm-dd"),IF($M115="Unmapped","Status '"&amp;$C115&amp;"' is not in the Config map","No update in "&amp;$N115&amp;" days (limit "&amp;$O115&amp;")"))))</f>
        <v/>
      </c>
      <c r="R115" s="29" t="str">
        <f aca="false">IF(OR($P115="",$P115="Closed",$P115="On track"),"",IF($P115="Critical",3000,2000)+$N115+ROW()/100000)</f>
        <v/>
      </c>
      <c r="S115" s="29" t="str">
        <f aca="false">IF($R115="","","draft Jira update for "&amp;$A115)</f>
        <v/>
      </c>
      <c r="T115" s="29" t="str">
        <f aca="false">IF($A115="","",HYPERLINK(JiraSite&amp;"/browse/"&amp;$A115,"open"))</f>
        <v/>
      </c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7"/>
      <c r="H116" s="27"/>
      <c r="I116" s="27"/>
      <c r="J116" s="24"/>
      <c r="K116" s="24"/>
      <c r="L116" s="24"/>
      <c r="M116" s="29" t="str">
        <f aca="false">IF($A116="","",IFERROR(INDEX(MapStage,MATCH($C116,MapStatus,0)),"Unmapped"))</f>
        <v/>
      </c>
      <c r="N116" s="29" t="str">
        <f aca="false">IF($A116="","",AsOf-$H116)</f>
        <v/>
      </c>
      <c r="O116" s="29" t="str">
        <f aca="false">IF(OR($M116="",$M116="Closed",$M116="Unmapped"),"",INDEX(StageStale,MATCH($M116,StageName,0)))</f>
        <v/>
      </c>
      <c r="P116" s="29" t="str">
        <f aca="false">IF($A116="","",IF($M116="Closed","Closed",IF($J116="Y","Critical",IF(AND($I116&lt;&gt;"",$I116&lt;AsOf),"Critical",IF($M116="Unmapped","Warning",IF($N116&gt;2*$O116,"Critical",IF($N116&gt;$O116,"Warning","On track")))))))</f>
        <v/>
      </c>
      <c r="Q116" s="29" t="str">
        <f aca="false">IF(OR($P116="",$P116="Closed",$P116="On track"),"",IF($J116="Y","Flagged as an impediment",IF(AND($I116&lt;&gt;"",$I116&lt;AsOf),"Past due since "&amp;TEXT($I116,"yyyy-mm-dd"),IF($M116="Unmapped","Status '"&amp;$C116&amp;"' is not in the Config map","No update in "&amp;$N116&amp;" days (limit "&amp;$O116&amp;")"))))</f>
        <v/>
      </c>
      <c r="R116" s="29" t="str">
        <f aca="false">IF(OR($P116="",$P116="Closed",$P116="On track"),"",IF($P116="Critical",3000,2000)+$N116+ROW()/100000)</f>
        <v/>
      </c>
      <c r="S116" s="29" t="str">
        <f aca="false">IF($R116="","","draft Jira update for "&amp;$A116)</f>
        <v/>
      </c>
      <c r="T116" s="29" t="str">
        <f aca="false">IF($A116="","",HYPERLINK(JiraSite&amp;"/browse/"&amp;$A116,"open"))</f>
        <v/>
      </c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7"/>
      <c r="H117" s="27"/>
      <c r="I117" s="27"/>
      <c r="J117" s="24"/>
      <c r="K117" s="24"/>
      <c r="L117" s="24"/>
      <c r="M117" s="29" t="str">
        <f aca="false">IF($A117="","",IFERROR(INDEX(MapStage,MATCH($C117,MapStatus,0)),"Unmapped"))</f>
        <v/>
      </c>
      <c r="N117" s="29" t="str">
        <f aca="false">IF($A117="","",AsOf-$H117)</f>
        <v/>
      </c>
      <c r="O117" s="29" t="str">
        <f aca="false">IF(OR($M117="",$M117="Closed",$M117="Unmapped"),"",INDEX(StageStale,MATCH($M117,StageName,0)))</f>
        <v/>
      </c>
      <c r="P117" s="29" t="str">
        <f aca="false">IF($A117="","",IF($M117="Closed","Closed",IF($J117="Y","Critical",IF(AND($I117&lt;&gt;"",$I117&lt;AsOf),"Critical",IF($M117="Unmapped","Warning",IF($N117&gt;2*$O117,"Critical",IF($N117&gt;$O117,"Warning","On track")))))))</f>
        <v/>
      </c>
      <c r="Q117" s="29" t="str">
        <f aca="false">IF(OR($P117="",$P117="Closed",$P117="On track"),"",IF($J117="Y","Flagged as an impediment",IF(AND($I117&lt;&gt;"",$I117&lt;AsOf),"Past due since "&amp;TEXT($I117,"yyyy-mm-dd"),IF($M117="Unmapped","Status '"&amp;$C117&amp;"' is not in the Config map","No update in "&amp;$N117&amp;" days (limit "&amp;$O117&amp;")"))))</f>
        <v/>
      </c>
      <c r="R117" s="29" t="str">
        <f aca="false">IF(OR($P117="",$P117="Closed",$P117="On track"),"",IF($P117="Critical",3000,2000)+$N117+ROW()/100000)</f>
        <v/>
      </c>
      <c r="S117" s="29" t="str">
        <f aca="false">IF($R117="","","draft Jira update for "&amp;$A117)</f>
        <v/>
      </c>
      <c r="T117" s="29" t="str">
        <f aca="false">IF($A117="","",HYPERLINK(JiraSite&amp;"/browse/"&amp;$A117,"open"))</f>
        <v/>
      </c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7"/>
      <c r="H118" s="27"/>
      <c r="I118" s="27"/>
      <c r="J118" s="24"/>
      <c r="K118" s="24"/>
      <c r="L118" s="24"/>
      <c r="M118" s="29" t="str">
        <f aca="false">IF($A118="","",IFERROR(INDEX(MapStage,MATCH($C118,MapStatus,0)),"Unmapped"))</f>
        <v/>
      </c>
      <c r="N118" s="29" t="str">
        <f aca="false">IF($A118="","",AsOf-$H118)</f>
        <v/>
      </c>
      <c r="O118" s="29" t="str">
        <f aca="false">IF(OR($M118="",$M118="Closed",$M118="Unmapped"),"",INDEX(StageStale,MATCH($M118,StageName,0)))</f>
        <v/>
      </c>
      <c r="P118" s="29" t="str">
        <f aca="false">IF($A118="","",IF($M118="Closed","Closed",IF($J118="Y","Critical",IF(AND($I118&lt;&gt;"",$I118&lt;AsOf),"Critical",IF($M118="Unmapped","Warning",IF($N118&gt;2*$O118,"Critical",IF($N118&gt;$O118,"Warning","On track")))))))</f>
        <v/>
      </c>
      <c r="Q118" s="29" t="str">
        <f aca="false">IF(OR($P118="",$P118="Closed",$P118="On track"),"",IF($J118="Y","Flagged as an impediment",IF(AND($I118&lt;&gt;"",$I118&lt;AsOf),"Past due since "&amp;TEXT($I118,"yyyy-mm-dd"),IF($M118="Unmapped","Status '"&amp;$C118&amp;"' is not in the Config map","No update in "&amp;$N118&amp;" days (limit "&amp;$O118&amp;")"))))</f>
        <v/>
      </c>
      <c r="R118" s="29" t="str">
        <f aca="false">IF(OR($P118="",$P118="Closed",$P118="On track"),"",IF($P118="Critical",3000,2000)+$N118+ROW()/100000)</f>
        <v/>
      </c>
      <c r="S118" s="29" t="str">
        <f aca="false">IF($R118="","","draft Jira update for "&amp;$A118)</f>
        <v/>
      </c>
      <c r="T118" s="29" t="str">
        <f aca="false">IF($A118="","",HYPERLINK(JiraSite&amp;"/browse/"&amp;$A118,"open"))</f>
        <v/>
      </c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7"/>
      <c r="H119" s="27"/>
      <c r="I119" s="27"/>
      <c r="J119" s="24"/>
      <c r="K119" s="24"/>
      <c r="L119" s="24"/>
      <c r="M119" s="29" t="str">
        <f aca="false">IF($A119="","",IFERROR(INDEX(MapStage,MATCH($C119,MapStatus,0)),"Unmapped"))</f>
        <v/>
      </c>
      <c r="N119" s="29" t="str">
        <f aca="false">IF($A119="","",AsOf-$H119)</f>
        <v/>
      </c>
      <c r="O119" s="29" t="str">
        <f aca="false">IF(OR($M119="",$M119="Closed",$M119="Unmapped"),"",INDEX(StageStale,MATCH($M119,StageName,0)))</f>
        <v/>
      </c>
      <c r="P119" s="29" t="str">
        <f aca="false">IF($A119="","",IF($M119="Closed","Closed",IF($J119="Y","Critical",IF(AND($I119&lt;&gt;"",$I119&lt;AsOf),"Critical",IF($M119="Unmapped","Warning",IF($N119&gt;2*$O119,"Critical",IF($N119&gt;$O119,"Warning","On track")))))))</f>
        <v/>
      </c>
      <c r="Q119" s="29" t="str">
        <f aca="false">IF(OR($P119="",$P119="Closed",$P119="On track"),"",IF($J119="Y","Flagged as an impediment",IF(AND($I119&lt;&gt;"",$I119&lt;AsOf),"Past due since "&amp;TEXT($I119,"yyyy-mm-dd"),IF($M119="Unmapped","Status '"&amp;$C119&amp;"' is not in the Config map","No update in "&amp;$N119&amp;" days (limit "&amp;$O119&amp;")"))))</f>
        <v/>
      </c>
      <c r="R119" s="29" t="str">
        <f aca="false">IF(OR($P119="",$P119="Closed",$P119="On track"),"",IF($P119="Critical",3000,2000)+$N119+ROW()/100000)</f>
        <v/>
      </c>
      <c r="S119" s="29" t="str">
        <f aca="false">IF($R119="","","draft Jira update for "&amp;$A119)</f>
        <v/>
      </c>
      <c r="T119" s="29" t="str">
        <f aca="false">IF($A119="","",HYPERLINK(JiraSite&amp;"/browse/"&amp;$A119,"open"))</f>
        <v/>
      </c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7"/>
      <c r="H120" s="27"/>
      <c r="I120" s="27"/>
      <c r="J120" s="24"/>
      <c r="K120" s="24"/>
      <c r="L120" s="24"/>
      <c r="M120" s="29" t="str">
        <f aca="false">IF($A120="","",IFERROR(INDEX(MapStage,MATCH($C120,MapStatus,0)),"Unmapped"))</f>
        <v/>
      </c>
      <c r="N120" s="29" t="str">
        <f aca="false">IF($A120="","",AsOf-$H120)</f>
        <v/>
      </c>
      <c r="O120" s="29" t="str">
        <f aca="false">IF(OR($M120="",$M120="Closed",$M120="Unmapped"),"",INDEX(StageStale,MATCH($M120,StageName,0)))</f>
        <v/>
      </c>
      <c r="P120" s="29" t="str">
        <f aca="false">IF($A120="","",IF($M120="Closed","Closed",IF($J120="Y","Critical",IF(AND($I120&lt;&gt;"",$I120&lt;AsOf),"Critical",IF($M120="Unmapped","Warning",IF($N120&gt;2*$O120,"Critical",IF($N120&gt;$O120,"Warning","On track")))))))</f>
        <v/>
      </c>
      <c r="Q120" s="29" t="str">
        <f aca="false">IF(OR($P120="",$P120="Closed",$P120="On track"),"",IF($J120="Y","Flagged as an impediment",IF(AND($I120&lt;&gt;"",$I120&lt;AsOf),"Past due since "&amp;TEXT($I120,"yyyy-mm-dd"),IF($M120="Unmapped","Status '"&amp;$C120&amp;"' is not in the Config map","No update in "&amp;$N120&amp;" days (limit "&amp;$O120&amp;")"))))</f>
        <v/>
      </c>
      <c r="R120" s="29" t="str">
        <f aca="false">IF(OR($P120="",$P120="Closed",$P120="On track"),"",IF($P120="Critical",3000,2000)+$N120+ROW()/100000)</f>
        <v/>
      </c>
      <c r="S120" s="29" t="str">
        <f aca="false">IF($R120="","","draft Jira update for "&amp;$A120)</f>
        <v/>
      </c>
      <c r="T120" s="29" t="str">
        <f aca="false">IF($A120="","",HYPERLINK(JiraSite&amp;"/browse/"&amp;$A120,"open"))</f>
        <v/>
      </c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7"/>
      <c r="H121" s="27"/>
      <c r="I121" s="27"/>
      <c r="J121" s="24"/>
      <c r="K121" s="24"/>
      <c r="L121" s="24"/>
      <c r="M121" s="29" t="str">
        <f aca="false">IF($A121="","",IFERROR(INDEX(MapStage,MATCH($C121,MapStatus,0)),"Unmapped"))</f>
        <v/>
      </c>
      <c r="N121" s="29" t="str">
        <f aca="false">IF($A121="","",AsOf-$H121)</f>
        <v/>
      </c>
      <c r="O121" s="29" t="str">
        <f aca="false">IF(OR($M121="",$M121="Closed",$M121="Unmapped"),"",INDEX(StageStale,MATCH($M121,StageName,0)))</f>
        <v/>
      </c>
      <c r="P121" s="29" t="str">
        <f aca="false">IF($A121="","",IF($M121="Closed","Closed",IF($J121="Y","Critical",IF(AND($I121&lt;&gt;"",$I121&lt;AsOf),"Critical",IF($M121="Unmapped","Warning",IF($N121&gt;2*$O121,"Critical",IF($N121&gt;$O121,"Warning","On track")))))))</f>
        <v/>
      </c>
      <c r="Q121" s="29" t="str">
        <f aca="false">IF(OR($P121="",$P121="Closed",$P121="On track"),"",IF($J121="Y","Flagged as an impediment",IF(AND($I121&lt;&gt;"",$I121&lt;AsOf),"Past due since "&amp;TEXT($I121,"yyyy-mm-dd"),IF($M121="Unmapped","Status '"&amp;$C121&amp;"' is not in the Config map","No update in "&amp;$N121&amp;" days (limit "&amp;$O121&amp;")"))))</f>
        <v/>
      </c>
      <c r="R121" s="29" t="str">
        <f aca="false">IF(OR($P121="",$P121="Closed",$P121="On track"),"",IF($P121="Critical",3000,2000)+$N121+ROW()/100000)</f>
        <v/>
      </c>
      <c r="S121" s="29" t="str">
        <f aca="false">IF($R121="","","draft Jira update for "&amp;$A121)</f>
        <v/>
      </c>
      <c r="T121" s="29" t="str">
        <f aca="false">IF($A121="","",HYPERLINK(JiraSite&amp;"/browse/"&amp;$A121,"open"))</f>
        <v/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7"/>
      <c r="H122" s="27"/>
      <c r="I122" s="27"/>
      <c r="J122" s="24"/>
      <c r="K122" s="24"/>
      <c r="L122" s="24"/>
      <c r="M122" s="29" t="str">
        <f aca="false">IF($A122="","",IFERROR(INDEX(MapStage,MATCH($C122,MapStatus,0)),"Unmapped"))</f>
        <v/>
      </c>
      <c r="N122" s="29" t="str">
        <f aca="false">IF($A122="","",AsOf-$H122)</f>
        <v/>
      </c>
      <c r="O122" s="29" t="str">
        <f aca="false">IF(OR($M122="",$M122="Closed",$M122="Unmapped"),"",INDEX(StageStale,MATCH($M122,StageName,0)))</f>
        <v/>
      </c>
      <c r="P122" s="29" t="str">
        <f aca="false">IF($A122="","",IF($M122="Closed","Closed",IF($J122="Y","Critical",IF(AND($I122&lt;&gt;"",$I122&lt;AsOf),"Critical",IF($M122="Unmapped","Warning",IF($N122&gt;2*$O122,"Critical",IF($N122&gt;$O122,"Warning","On track")))))))</f>
        <v/>
      </c>
      <c r="Q122" s="29" t="str">
        <f aca="false">IF(OR($P122="",$P122="Closed",$P122="On track"),"",IF($J122="Y","Flagged as an impediment",IF(AND($I122&lt;&gt;"",$I122&lt;AsOf),"Past due since "&amp;TEXT($I122,"yyyy-mm-dd"),IF($M122="Unmapped","Status '"&amp;$C122&amp;"' is not in the Config map","No update in "&amp;$N122&amp;" days (limit "&amp;$O122&amp;")"))))</f>
        <v/>
      </c>
      <c r="R122" s="29" t="str">
        <f aca="false">IF(OR($P122="",$P122="Closed",$P122="On track"),"",IF($P122="Critical",3000,2000)+$N122+ROW()/100000)</f>
        <v/>
      </c>
      <c r="S122" s="29" t="str">
        <f aca="false">IF($R122="","","draft Jira update for "&amp;$A122)</f>
        <v/>
      </c>
      <c r="T122" s="29" t="str">
        <f aca="false">IF($A122="","",HYPERLINK(JiraSite&amp;"/browse/"&amp;$A122,"open"))</f>
        <v/>
      </c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7"/>
      <c r="H123" s="27"/>
      <c r="I123" s="27"/>
      <c r="J123" s="24"/>
      <c r="K123" s="24"/>
      <c r="L123" s="24"/>
      <c r="M123" s="29" t="str">
        <f aca="false">IF($A123="","",IFERROR(INDEX(MapStage,MATCH($C123,MapStatus,0)),"Unmapped"))</f>
        <v/>
      </c>
      <c r="N123" s="29" t="str">
        <f aca="false">IF($A123="","",AsOf-$H123)</f>
        <v/>
      </c>
      <c r="O123" s="29" t="str">
        <f aca="false">IF(OR($M123="",$M123="Closed",$M123="Unmapped"),"",INDEX(StageStale,MATCH($M123,StageName,0)))</f>
        <v/>
      </c>
      <c r="P123" s="29" t="str">
        <f aca="false">IF($A123="","",IF($M123="Closed","Closed",IF($J123="Y","Critical",IF(AND($I123&lt;&gt;"",$I123&lt;AsOf),"Critical",IF($M123="Unmapped","Warning",IF($N123&gt;2*$O123,"Critical",IF($N123&gt;$O123,"Warning","On track")))))))</f>
        <v/>
      </c>
      <c r="Q123" s="29" t="str">
        <f aca="false">IF(OR($P123="",$P123="Closed",$P123="On track"),"",IF($J123="Y","Flagged as an impediment",IF(AND($I123&lt;&gt;"",$I123&lt;AsOf),"Past due since "&amp;TEXT($I123,"yyyy-mm-dd"),IF($M123="Unmapped","Status '"&amp;$C123&amp;"' is not in the Config map","No update in "&amp;$N123&amp;" days (limit "&amp;$O123&amp;")"))))</f>
        <v/>
      </c>
      <c r="R123" s="29" t="str">
        <f aca="false">IF(OR($P123="",$P123="Closed",$P123="On track"),"",IF($P123="Critical",3000,2000)+$N123+ROW()/100000)</f>
        <v/>
      </c>
      <c r="S123" s="29" t="str">
        <f aca="false">IF($R123="","","draft Jira update for "&amp;$A123)</f>
        <v/>
      </c>
      <c r="T123" s="29" t="str">
        <f aca="false">IF($A123="","",HYPERLINK(JiraSite&amp;"/browse/"&amp;$A123,"open"))</f>
        <v/>
      </c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7"/>
      <c r="H124" s="27"/>
      <c r="I124" s="27"/>
      <c r="J124" s="24"/>
      <c r="K124" s="24"/>
      <c r="L124" s="24"/>
      <c r="M124" s="29" t="str">
        <f aca="false">IF($A124="","",IFERROR(INDEX(MapStage,MATCH($C124,MapStatus,0)),"Unmapped"))</f>
        <v/>
      </c>
      <c r="N124" s="29" t="str">
        <f aca="false">IF($A124="","",AsOf-$H124)</f>
        <v/>
      </c>
      <c r="O124" s="29" t="str">
        <f aca="false">IF(OR($M124="",$M124="Closed",$M124="Unmapped"),"",INDEX(StageStale,MATCH($M124,StageName,0)))</f>
        <v/>
      </c>
      <c r="P124" s="29" t="str">
        <f aca="false">IF($A124="","",IF($M124="Closed","Closed",IF($J124="Y","Critical",IF(AND($I124&lt;&gt;"",$I124&lt;AsOf),"Critical",IF($M124="Unmapped","Warning",IF($N124&gt;2*$O124,"Critical",IF($N124&gt;$O124,"Warning","On track")))))))</f>
        <v/>
      </c>
      <c r="Q124" s="29" t="str">
        <f aca="false">IF(OR($P124="",$P124="Closed",$P124="On track"),"",IF($J124="Y","Flagged as an impediment",IF(AND($I124&lt;&gt;"",$I124&lt;AsOf),"Past due since "&amp;TEXT($I124,"yyyy-mm-dd"),IF($M124="Unmapped","Status '"&amp;$C124&amp;"' is not in the Config map","No update in "&amp;$N124&amp;" days (limit "&amp;$O124&amp;")"))))</f>
        <v/>
      </c>
      <c r="R124" s="29" t="str">
        <f aca="false">IF(OR($P124="",$P124="Closed",$P124="On track"),"",IF($P124="Critical",3000,2000)+$N124+ROW()/100000)</f>
        <v/>
      </c>
      <c r="S124" s="29" t="str">
        <f aca="false">IF($R124="","","draft Jira update for "&amp;$A124)</f>
        <v/>
      </c>
      <c r="T124" s="29" t="str">
        <f aca="false">IF($A124="","",HYPERLINK(JiraSite&amp;"/browse/"&amp;$A124,"open"))</f>
        <v/>
      </c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7"/>
      <c r="H125" s="27"/>
      <c r="I125" s="27"/>
      <c r="J125" s="24"/>
      <c r="K125" s="24"/>
      <c r="L125" s="24"/>
      <c r="M125" s="29" t="str">
        <f aca="false">IF($A125="","",IFERROR(INDEX(MapStage,MATCH($C125,MapStatus,0)),"Unmapped"))</f>
        <v/>
      </c>
      <c r="N125" s="29" t="str">
        <f aca="false">IF($A125="","",AsOf-$H125)</f>
        <v/>
      </c>
      <c r="O125" s="29" t="str">
        <f aca="false">IF(OR($M125="",$M125="Closed",$M125="Unmapped"),"",INDEX(StageStale,MATCH($M125,StageName,0)))</f>
        <v/>
      </c>
      <c r="P125" s="29" t="str">
        <f aca="false">IF($A125="","",IF($M125="Closed","Closed",IF($J125="Y","Critical",IF(AND($I125&lt;&gt;"",$I125&lt;AsOf),"Critical",IF($M125="Unmapped","Warning",IF($N125&gt;2*$O125,"Critical",IF($N125&gt;$O125,"Warning","On track")))))))</f>
        <v/>
      </c>
      <c r="Q125" s="29" t="str">
        <f aca="false">IF(OR($P125="",$P125="Closed",$P125="On track"),"",IF($J125="Y","Flagged as an impediment",IF(AND($I125&lt;&gt;"",$I125&lt;AsOf),"Past due since "&amp;TEXT($I125,"yyyy-mm-dd"),IF($M125="Unmapped","Status '"&amp;$C125&amp;"' is not in the Config map","No update in "&amp;$N125&amp;" days (limit "&amp;$O125&amp;")"))))</f>
        <v/>
      </c>
      <c r="R125" s="29" t="str">
        <f aca="false">IF(OR($P125="",$P125="Closed",$P125="On track"),"",IF($P125="Critical",3000,2000)+$N125+ROW()/100000)</f>
        <v/>
      </c>
      <c r="S125" s="29" t="str">
        <f aca="false">IF($R125="","","draft Jira update for "&amp;$A125)</f>
        <v/>
      </c>
      <c r="T125" s="29" t="str">
        <f aca="false">IF($A125="","",HYPERLINK(JiraSite&amp;"/browse/"&amp;$A125,"open"))</f>
        <v/>
      </c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7"/>
      <c r="H126" s="27"/>
      <c r="I126" s="27"/>
      <c r="J126" s="24"/>
      <c r="K126" s="24"/>
      <c r="L126" s="24"/>
      <c r="M126" s="29" t="str">
        <f aca="false">IF($A126="","",IFERROR(INDEX(MapStage,MATCH($C126,MapStatus,0)),"Unmapped"))</f>
        <v/>
      </c>
      <c r="N126" s="29" t="str">
        <f aca="false">IF($A126="","",AsOf-$H126)</f>
        <v/>
      </c>
      <c r="O126" s="29" t="str">
        <f aca="false">IF(OR($M126="",$M126="Closed",$M126="Unmapped"),"",INDEX(StageStale,MATCH($M126,StageName,0)))</f>
        <v/>
      </c>
      <c r="P126" s="29" t="str">
        <f aca="false">IF($A126="","",IF($M126="Closed","Closed",IF($J126="Y","Critical",IF(AND($I126&lt;&gt;"",$I126&lt;AsOf),"Critical",IF($M126="Unmapped","Warning",IF($N126&gt;2*$O126,"Critical",IF($N126&gt;$O126,"Warning","On track")))))))</f>
        <v/>
      </c>
      <c r="Q126" s="29" t="str">
        <f aca="false">IF(OR($P126="",$P126="Closed",$P126="On track"),"",IF($J126="Y","Flagged as an impediment",IF(AND($I126&lt;&gt;"",$I126&lt;AsOf),"Past due since "&amp;TEXT($I126,"yyyy-mm-dd"),IF($M126="Unmapped","Status '"&amp;$C126&amp;"' is not in the Config map","No update in "&amp;$N126&amp;" days (limit "&amp;$O126&amp;")"))))</f>
        <v/>
      </c>
      <c r="R126" s="29" t="str">
        <f aca="false">IF(OR($P126="",$P126="Closed",$P126="On track"),"",IF($P126="Critical",3000,2000)+$N126+ROW()/100000)</f>
        <v/>
      </c>
      <c r="S126" s="29" t="str">
        <f aca="false">IF($R126="","","draft Jira update for "&amp;$A126)</f>
        <v/>
      </c>
      <c r="T126" s="29" t="str">
        <f aca="false">IF($A126="","",HYPERLINK(JiraSite&amp;"/browse/"&amp;$A126,"open"))</f>
        <v/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7"/>
      <c r="H127" s="27"/>
      <c r="I127" s="27"/>
      <c r="J127" s="24"/>
      <c r="K127" s="24"/>
      <c r="L127" s="24"/>
      <c r="M127" s="29" t="str">
        <f aca="false">IF($A127="","",IFERROR(INDEX(MapStage,MATCH($C127,MapStatus,0)),"Unmapped"))</f>
        <v/>
      </c>
      <c r="N127" s="29" t="str">
        <f aca="false">IF($A127="","",AsOf-$H127)</f>
        <v/>
      </c>
      <c r="O127" s="29" t="str">
        <f aca="false">IF(OR($M127="",$M127="Closed",$M127="Unmapped"),"",INDEX(StageStale,MATCH($M127,StageName,0)))</f>
        <v/>
      </c>
      <c r="P127" s="29" t="str">
        <f aca="false">IF($A127="","",IF($M127="Closed","Closed",IF($J127="Y","Critical",IF(AND($I127&lt;&gt;"",$I127&lt;AsOf),"Critical",IF($M127="Unmapped","Warning",IF($N127&gt;2*$O127,"Critical",IF($N127&gt;$O127,"Warning","On track")))))))</f>
        <v/>
      </c>
      <c r="Q127" s="29" t="str">
        <f aca="false">IF(OR($P127="",$P127="Closed",$P127="On track"),"",IF($J127="Y","Flagged as an impediment",IF(AND($I127&lt;&gt;"",$I127&lt;AsOf),"Past due since "&amp;TEXT($I127,"yyyy-mm-dd"),IF($M127="Unmapped","Status '"&amp;$C127&amp;"' is not in the Config map","No update in "&amp;$N127&amp;" days (limit "&amp;$O127&amp;")"))))</f>
        <v/>
      </c>
      <c r="R127" s="29" t="str">
        <f aca="false">IF(OR($P127="",$P127="Closed",$P127="On track"),"",IF($P127="Critical",3000,2000)+$N127+ROW()/100000)</f>
        <v/>
      </c>
      <c r="S127" s="29" t="str">
        <f aca="false">IF($R127="","","draft Jira update for "&amp;$A127)</f>
        <v/>
      </c>
      <c r="T127" s="29" t="str">
        <f aca="false">IF($A127="","",HYPERLINK(JiraSite&amp;"/browse/"&amp;$A127,"open"))</f>
        <v/>
      </c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7"/>
      <c r="H128" s="27"/>
      <c r="I128" s="27"/>
      <c r="J128" s="24"/>
      <c r="K128" s="24"/>
      <c r="L128" s="24"/>
      <c r="M128" s="29" t="str">
        <f aca="false">IF($A128="","",IFERROR(INDEX(MapStage,MATCH($C128,MapStatus,0)),"Unmapped"))</f>
        <v/>
      </c>
      <c r="N128" s="29" t="str">
        <f aca="false">IF($A128="","",AsOf-$H128)</f>
        <v/>
      </c>
      <c r="O128" s="29" t="str">
        <f aca="false">IF(OR($M128="",$M128="Closed",$M128="Unmapped"),"",INDEX(StageStale,MATCH($M128,StageName,0)))</f>
        <v/>
      </c>
      <c r="P128" s="29" t="str">
        <f aca="false">IF($A128="","",IF($M128="Closed","Closed",IF($J128="Y","Critical",IF(AND($I128&lt;&gt;"",$I128&lt;AsOf),"Critical",IF($M128="Unmapped","Warning",IF($N128&gt;2*$O128,"Critical",IF($N128&gt;$O128,"Warning","On track")))))))</f>
        <v/>
      </c>
      <c r="Q128" s="29" t="str">
        <f aca="false">IF(OR($P128="",$P128="Closed",$P128="On track"),"",IF($J128="Y","Flagged as an impediment",IF(AND($I128&lt;&gt;"",$I128&lt;AsOf),"Past due since "&amp;TEXT($I128,"yyyy-mm-dd"),IF($M128="Unmapped","Status '"&amp;$C128&amp;"' is not in the Config map","No update in "&amp;$N128&amp;" days (limit "&amp;$O128&amp;")"))))</f>
        <v/>
      </c>
      <c r="R128" s="29" t="str">
        <f aca="false">IF(OR($P128="",$P128="Closed",$P128="On track"),"",IF($P128="Critical",3000,2000)+$N128+ROW()/100000)</f>
        <v/>
      </c>
      <c r="S128" s="29" t="str">
        <f aca="false">IF($R128="","","draft Jira update for "&amp;$A128)</f>
        <v/>
      </c>
      <c r="T128" s="29" t="str">
        <f aca="false">IF($A128="","",HYPERLINK(JiraSite&amp;"/browse/"&amp;$A128,"open"))</f>
        <v/>
      </c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7"/>
      <c r="H129" s="27"/>
      <c r="I129" s="27"/>
      <c r="J129" s="24"/>
      <c r="K129" s="24"/>
      <c r="L129" s="24"/>
      <c r="M129" s="29" t="str">
        <f aca="false">IF($A129="","",IFERROR(INDEX(MapStage,MATCH($C129,MapStatus,0)),"Unmapped"))</f>
        <v/>
      </c>
      <c r="N129" s="29" t="str">
        <f aca="false">IF($A129="","",AsOf-$H129)</f>
        <v/>
      </c>
      <c r="O129" s="29" t="str">
        <f aca="false">IF(OR($M129="",$M129="Closed",$M129="Unmapped"),"",INDEX(StageStale,MATCH($M129,StageName,0)))</f>
        <v/>
      </c>
      <c r="P129" s="29" t="str">
        <f aca="false">IF($A129="","",IF($M129="Closed","Closed",IF($J129="Y","Critical",IF(AND($I129&lt;&gt;"",$I129&lt;AsOf),"Critical",IF($M129="Unmapped","Warning",IF($N129&gt;2*$O129,"Critical",IF($N129&gt;$O129,"Warning","On track")))))))</f>
        <v/>
      </c>
      <c r="Q129" s="29" t="str">
        <f aca="false">IF(OR($P129="",$P129="Closed",$P129="On track"),"",IF($J129="Y","Flagged as an impediment",IF(AND($I129&lt;&gt;"",$I129&lt;AsOf),"Past due since "&amp;TEXT($I129,"yyyy-mm-dd"),IF($M129="Unmapped","Status '"&amp;$C129&amp;"' is not in the Config map","No update in "&amp;$N129&amp;" days (limit "&amp;$O129&amp;")"))))</f>
        <v/>
      </c>
      <c r="R129" s="29" t="str">
        <f aca="false">IF(OR($P129="",$P129="Closed",$P129="On track"),"",IF($P129="Critical",3000,2000)+$N129+ROW()/100000)</f>
        <v/>
      </c>
      <c r="S129" s="29" t="str">
        <f aca="false">IF($R129="","","draft Jira update for "&amp;$A129)</f>
        <v/>
      </c>
      <c r="T129" s="29" t="str">
        <f aca="false">IF($A129="","",HYPERLINK(JiraSite&amp;"/browse/"&amp;$A129,"open"))</f>
        <v/>
      </c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7"/>
      <c r="H130" s="27"/>
      <c r="I130" s="27"/>
      <c r="J130" s="24"/>
      <c r="K130" s="24"/>
      <c r="L130" s="24"/>
      <c r="M130" s="29" t="str">
        <f aca="false">IF($A130="","",IFERROR(INDEX(MapStage,MATCH($C130,MapStatus,0)),"Unmapped"))</f>
        <v/>
      </c>
      <c r="N130" s="29" t="str">
        <f aca="false">IF($A130="","",AsOf-$H130)</f>
        <v/>
      </c>
      <c r="O130" s="29" t="str">
        <f aca="false">IF(OR($M130="",$M130="Closed",$M130="Unmapped"),"",INDEX(StageStale,MATCH($M130,StageName,0)))</f>
        <v/>
      </c>
      <c r="P130" s="29" t="str">
        <f aca="false">IF($A130="","",IF($M130="Closed","Closed",IF($J130="Y","Critical",IF(AND($I130&lt;&gt;"",$I130&lt;AsOf),"Critical",IF($M130="Unmapped","Warning",IF($N130&gt;2*$O130,"Critical",IF($N130&gt;$O130,"Warning","On track")))))))</f>
        <v/>
      </c>
      <c r="Q130" s="29" t="str">
        <f aca="false">IF(OR($P130="",$P130="Closed",$P130="On track"),"",IF($J130="Y","Flagged as an impediment",IF(AND($I130&lt;&gt;"",$I130&lt;AsOf),"Past due since "&amp;TEXT($I130,"yyyy-mm-dd"),IF($M130="Unmapped","Status '"&amp;$C130&amp;"' is not in the Config map","No update in "&amp;$N130&amp;" days (limit "&amp;$O130&amp;")"))))</f>
        <v/>
      </c>
      <c r="R130" s="29" t="str">
        <f aca="false">IF(OR($P130="",$P130="Closed",$P130="On track"),"",IF($P130="Critical",3000,2000)+$N130+ROW()/100000)</f>
        <v/>
      </c>
      <c r="S130" s="29" t="str">
        <f aca="false">IF($R130="","","draft Jira update for "&amp;$A130)</f>
        <v/>
      </c>
      <c r="T130" s="29" t="str">
        <f aca="false">IF($A130="","",HYPERLINK(JiraSite&amp;"/browse/"&amp;$A130,"open"))</f>
        <v/>
      </c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7"/>
      <c r="H131" s="27"/>
      <c r="I131" s="27"/>
      <c r="J131" s="24"/>
      <c r="K131" s="24"/>
      <c r="L131" s="24"/>
      <c r="M131" s="29" t="str">
        <f aca="false">IF($A131="","",IFERROR(INDEX(MapStage,MATCH($C131,MapStatus,0)),"Unmapped"))</f>
        <v/>
      </c>
      <c r="N131" s="29" t="str">
        <f aca="false">IF($A131="","",AsOf-$H131)</f>
        <v/>
      </c>
      <c r="O131" s="29" t="str">
        <f aca="false">IF(OR($M131="",$M131="Closed",$M131="Unmapped"),"",INDEX(StageStale,MATCH($M131,StageName,0)))</f>
        <v/>
      </c>
      <c r="P131" s="29" t="str">
        <f aca="false">IF($A131="","",IF($M131="Closed","Closed",IF($J131="Y","Critical",IF(AND($I131&lt;&gt;"",$I131&lt;AsOf),"Critical",IF($M131="Unmapped","Warning",IF($N131&gt;2*$O131,"Critical",IF($N131&gt;$O131,"Warning","On track")))))))</f>
        <v/>
      </c>
      <c r="Q131" s="29" t="str">
        <f aca="false">IF(OR($P131="",$P131="Closed",$P131="On track"),"",IF($J131="Y","Flagged as an impediment",IF(AND($I131&lt;&gt;"",$I131&lt;AsOf),"Past due since "&amp;TEXT($I131,"yyyy-mm-dd"),IF($M131="Unmapped","Status '"&amp;$C131&amp;"' is not in the Config map","No update in "&amp;$N131&amp;" days (limit "&amp;$O131&amp;")"))))</f>
        <v/>
      </c>
      <c r="R131" s="29" t="str">
        <f aca="false">IF(OR($P131="",$P131="Closed",$P131="On track"),"",IF($P131="Critical",3000,2000)+$N131+ROW()/100000)</f>
        <v/>
      </c>
      <c r="S131" s="29" t="str">
        <f aca="false">IF($R131="","","draft Jira update for "&amp;$A131)</f>
        <v/>
      </c>
      <c r="T131" s="29" t="str">
        <f aca="false">IF($A131="","",HYPERLINK(JiraSite&amp;"/browse/"&amp;$A131,"open"))</f>
        <v/>
      </c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7"/>
      <c r="H132" s="27"/>
      <c r="I132" s="27"/>
      <c r="J132" s="24"/>
      <c r="K132" s="24"/>
      <c r="L132" s="24"/>
      <c r="M132" s="29" t="str">
        <f aca="false">IF($A132="","",IFERROR(INDEX(MapStage,MATCH($C132,MapStatus,0)),"Unmapped"))</f>
        <v/>
      </c>
      <c r="N132" s="29" t="str">
        <f aca="false">IF($A132="","",AsOf-$H132)</f>
        <v/>
      </c>
      <c r="O132" s="29" t="str">
        <f aca="false">IF(OR($M132="",$M132="Closed",$M132="Unmapped"),"",INDEX(StageStale,MATCH($M132,StageName,0)))</f>
        <v/>
      </c>
      <c r="P132" s="29" t="str">
        <f aca="false">IF($A132="","",IF($M132="Closed","Closed",IF($J132="Y","Critical",IF(AND($I132&lt;&gt;"",$I132&lt;AsOf),"Critical",IF($M132="Unmapped","Warning",IF($N132&gt;2*$O132,"Critical",IF($N132&gt;$O132,"Warning","On track")))))))</f>
        <v/>
      </c>
      <c r="Q132" s="29" t="str">
        <f aca="false">IF(OR($P132="",$P132="Closed",$P132="On track"),"",IF($J132="Y","Flagged as an impediment",IF(AND($I132&lt;&gt;"",$I132&lt;AsOf),"Past due since "&amp;TEXT($I132,"yyyy-mm-dd"),IF($M132="Unmapped","Status '"&amp;$C132&amp;"' is not in the Config map","No update in "&amp;$N132&amp;" days (limit "&amp;$O132&amp;")"))))</f>
        <v/>
      </c>
      <c r="R132" s="29" t="str">
        <f aca="false">IF(OR($P132="",$P132="Closed",$P132="On track"),"",IF($P132="Critical",3000,2000)+$N132+ROW()/100000)</f>
        <v/>
      </c>
      <c r="S132" s="29" t="str">
        <f aca="false">IF($R132="","","draft Jira update for "&amp;$A132)</f>
        <v/>
      </c>
      <c r="T132" s="29" t="str">
        <f aca="false">IF($A132="","",HYPERLINK(JiraSite&amp;"/browse/"&amp;$A132,"open"))</f>
        <v/>
      </c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7"/>
      <c r="H133" s="27"/>
      <c r="I133" s="27"/>
      <c r="J133" s="24"/>
      <c r="K133" s="24"/>
      <c r="L133" s="24"/>
      <c r="M133" s="29" t="str">
        <f aca="false">IF($A133="","",IFERROR(INDEX(MapStage,MATCH($C133,MapStatus,0)),"Unmapped"))</f>
        <v/>
      </c>
      <c r="N133" s="29" t="str">
        <f aca="false">IF($A133="","",AsOf-$H133)</f>
        <v/>
      </c>
      <c r="O133" s="29" t="str">
        <f aca="false">IF(OR($M133="",$M133="Closed",$M133="Unmapped"),"",INDEX(StageStale,MATCH($M133,StageName,0)))</f>
        <v/>
      </c>
      <c r="P133" s="29" t="str">
        <f aca="false">IF($A133="","",IF($M133="Closed","Closed",IF($J133="Y","Critical",IF(AND($I133&lt;&gt;"",$I133&lt;AsOf),"Critical",IF($M133="Unmapped","Warning",IF($N133&gt;2*$O133,"Critical",IF($N133&gt;$O133,"Warning","On track")))))))</f>
        <v/>
      </c>
      <c r="Q133" s="29" t="str">
        <f aca="false">IF(OR($P133="",$P133="Closed",$P133="On track"),"",IF($J133="Y","Flagged as an impediment",IF(AND($I133&lt;&gt;"",$I133&lt;AsOf),"Past due since "&amp;TEXT($I133,"yyyy-mm-dd"),IF($M133="Unmapped","Status '"&amp;$C133&amp;"' is not in the Config map","No update in "&amp;$N133&amp;" days (limit "&amp;$O133&amp;")"))))</f>
        <v/>
      </c>
      <c r="R133" s="29" t="str">
        <f aca="false">IF(OR($P133="",$P133="Closed",$P133="On track"),"",IF($P133="Critical",3000,2000)+$N133+ROW()/100000)</f>
        <v/>
      </c>
      <c r="S133" s="29" t="str">
        <f aca="false">IF($R133="","","draft Jira update for "&amp;$A133)</f>
        <v/>
      </c>
      <c r="T133" s="29" t="str">
        <f aca="false">IF($A133="","",HYPERLINK(JiraSite&amp;"/browse/"&amp;$A133,"open"))</f>
        <v/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7"/>
      <c r="H134" s="27"/>
      <c r="I134" s="27"/>
      <c r="J134" s="24"/>
      <c r="K134" s="24"/>
      <c r="L134" s="24"/>
      <c r="M134" s="29" t="str">
        <f aca="false">IF($A134="","",IFERROR(INDEX(MapStage,MATCH($C134,MapStatus,0)),"Unmapped"))</f>
        <v/>
      </c>
      <c r="N134" s="29" t="str">
        <f aca="false">IF($A134="","",AsOf-$H134)</f>
        <v/>
      </c>
      <c r="O134" s="29" t="str">
        <f aca="false">IF(OR($M134="",$M134="Closed",$M134="Unmapped"),"",INDEX(StageStale,MATCH($M134,StageName,0)))</f>
        <v/>
      </c>
      <c r="P134" s="29" t="str">
        <f aca="false">IF($A134="","",IF($M134="Closed","Closed",IF($J134="Y","Critical",IF(AND($I134&lt;&gt;"",$I134&lt;AsOf),"Critical",IF($M134="Unmapped","Warning",IF($N134&gt;2*$O134,"Critical",IF($N134&gt;$O134,"Warning","On track")))))))</f>
        <v/>
      </c>
      <c r="Q134" s="29" t="str">
        <f aca="false">IF(OR($P134="",$P134="Closed",$P134="On track"),"",IF($J134="Y","Flagged as an impediment",IF(AND($I134&lt;&gt;"",$I134&lt;AsOf),"Past due since "&amp;TEXT($I134,"yyyy-mm-dd"),IF($M134="Unmapped","Status '"&amp;$C134&amp;"' is not in the Config map","No update in "&amp;$N134&amp;" days (limit "&amp;$O134&amp;")"))))</f>
        <v/>
      </c>
      <c r="R134" s="29" t="str">
        <f aca="false">IF(OR($P134="",$P134="Closed",$P134="On track"),"",IF($P134="Critical",3000,2000)+$N134+ROW()/100000)</f>
        <v/>
      </c>
      <c r="S134" s="29" t="str">
        <f aca="false">IF($R134="","","draft Jira update for "&amp;$A134)</f>
        <v/>
      </c>
      <c r="T134" s="29" t="str">
        <f aca="false">IF($A134="","",HYPERLINK(JiraSite&amp;"/browse/"&amp;$A134,"open"))</f>
        <v/>
      </c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7"/>
      <c r="H135" s="27"/>
      <c r="I135" s="27"/>
      <c r="J135" s="24"/>
      <c r="K135" s="24"/>
      <c r="L135" s="24"/>
      <c r="M135" s="29" t="str">
        <f aca="false">IF($A135="","",IFERROR(INDEX(MapStage,MATCH($C135,MapStatus,0)),"Unmapped"))</f>
        <v/>
      </c>
      <c r="N135" s="29" t="str">
        <f aca="false">IF($A135="","",AsOf-$H135)</f>
        <v/>
      </c>
      <c r="O135" s="29" t="str">
        <f aca="false">IF(OR($M135="",$M135="Closed",$M135="Unmapped"),"",INDEX(StageStale,MATCH($M135,StageName,0)))</f>
        <v/>
      </c>
      <c r="P135" s="29" t="str">
        <f aca="false">IF($A135="","",IF($M135="Closed","Closed",IF($J135="Y","Critical",IF(AND($I135&lt;&gt;"",$I135&lt;AsOf),"Critical",IF($M135="Unmapped","Warning",IF($N135&gt;2*$O135,"Critical",IF($N135&gt;$O135,"Warning","On track")))))))</f>
        <v/>
      </c>
      <c r="Q135" s="29" t="str">
        <f aca="false">IF(OR($P135="",$P135="Closed",$P135="On track"),"",IF($J135="Y","Flagged as an impediment",IF(AND($I135&lt;&gt;"",$I135&lt;AsOf),"Past due since "&amp;TEXT($I135,"yyyy-mm-dd"),IF($M135="Unmapped","Status '"&amp;$C135&amp;"' is not in the Config map","No update in "&amp;$N135&amp;" days (limit "&amp;$O135&amp;")"))))</f>
        <v/>
      </c>
      <c r="R135" s="29" t="str">
        <f aca="false">IF(OR($P135="",$P135="Closed",$P135="On track"),"",IF($P135="Critical",3000,2000)+$N135+ROW()/100000)</f>
        <v/>
      </c>
      <c r="S135" s="29" t="str">
        <f aca="false">IF($R135="","","draft Jira update for "&amp;$A135)</f>
        <v/>
      </c>
      <c r="T135" s="29" t="str">
        <f aca="false">IF($A135="","",HYPERLINK(JiraSite&amp;"/browse/"&amp;$A135,"open"))</f>
        <v/>
      </c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7"/>
      <c r="H136" s="27"/>
      <c r="I136" s="27"/>
      <c r="J136" s="24"/>
      <c r="K136" s="24"/>
      <c r="L136" s="24"/>
      <c r="M136" s="29" t="str">
        <f aca="false">IF($A136="","",IFERROR(INDEX(MapStage,MATCH($C136,MapStatus,0)),"Unmapped"))</f>
        <v/>
      </c>
      <c r="N136" s="29" t="str">
        <f aca="false">IF($A136="","",AsOf-$H136)</f>
        <v/>
      </c>
      <c r="O136" s="29" t="str">
        <f aca="false">IF(OR($M136="",$M136="Closed",$M136="Unmapped"),"",INDEX(StageStale,MATCH($M136,StageName,0)))</f>
        <v/>
      </c>
      <c r="P136" s="29" t="str">
        <f aca="false">IF($A136="","",IF($M136="Closed","Closed",IF($J136="Y","Critical",IF(AND($I136&lt;&gt;"",$I136&lt;AsOf),"Critical",IF($M136="Unmapped","Warning",IF($N136&gt;2*$O136,"Critical",IF($N136&gt;$O136,"Warning","On track")))))))</f>
        <v/>
      </c>
      <c r="Q136" s="29" t="str">
        <f aca="false">IF(OR($P136="",$P136="Closed",$P136="On track"),"",IF($J136="Y","Flagged as an impediment",IF(AND($I136&lt;&gt;"",$I136&lt;AsOf),"Past due since "&amp;TEXT($I136,"yyyy-mm-dd"),IF($M136="Unmapped","Status '"&amp;$C136&amp;"' is not in the Config map","No update in "&amp;$N136&amp;" days (limit "&amp;$O136&amp;")"))))</f>
        <v/>
      </c>
      <c r="R136" s="29" t="str">
        <f aca="false">IF(OR($P136="",$P136="Closed",$P136="On track"),"",IF($P136="Critical",3000,2000)+$N136+ROW()/100000)</f>
        <v/>
      </c>
      <c r="S136" s="29" t="str">
        <f aca="false">IF($R136="","","draft Jira update for "&amp;$A136)</f>
        <v/>
      </c>
      <c r="T136" s="29" t="str">
        <f aca="false">IF($A136="","",HYPERLINK(JiraSite&amp;"/browse/"&amp;$A136,"open"))</f>
        <v/>
      </c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7"/>
      <c r="H137" s="27"/>
      <c r="I137" s="27"/>
      <c r="J137" s="24"/>
      <c r="K137" s="24"/>
      <c r="L137" s="24"/>
      <c r="M137" s="29" t="str">
        <f aca="false">IF($A137="","",IFERROR(INDEX(MapStage,MATCH($C137,MapStatus,0)),"Unmapped"))</f>
        <v/>
      </c>
      <c r="N137" s="29" t="str">
        <f aca="false">IF($A137="","",AsOf-$H137)</f>
        <v/>
      </c>
      <c r="O137" s="29" t="str">
        <f aca="false">IF(OR($M137="",$M137="Closed",$M137="Unmapped"),"",INDEX(StageStale,MATCH($M137,StageName,0)))</f>
        <v/>
      </c>
      <c r="P137" s="29" t="str">
        <f aca="false">IF($A137="","",IF($M137="Closed","Closed",IF($J137="Y","Critical",IF(AND($I137&lt;&gt;"",$I137&lt;AsOf),"Critical",IF($M137="Unmapped","Warning",IF($N137&gt;2*$O137,"Critical",IF($N137&gt;$O137,"Warning","On track")))))))</f>
        <v/>
      </c>
      <c r="Q137" s="29" t="str">
        <f aca="false">IF(OR($P137="",$P137="Closed",$P137="On track"),"",IF($J137="Y","Flagged as an impediment",IF(AND($I137&lt;&gt;"",$I137&lt;AsOf),"Past due since "&amp;TEXT($I137,"yyyy-mm-dd"),IF($M137="Unmapped","Status '"&amp;$C137&amp;"' is not in the Config map","No update in "&amp;$N137&amp;" days (limit "&amp;$O137&amp;")"))))</f>
        <v/>
      </c>
      <c r="R137" s="29" t="str">
        <f aca="false">IF(OR($P137="",$P137="Closed",$P137="On track"),"",IF($P137="Critical",3000,2000)+$N137+ROW()/100000)</f>
        <v/>
      </c>
      <c r="S137" s="29" t="str">
        <f aca="false">IF($R137="","","draft Jira update for "&amp;$A137)</f>
        <v/>
      </c>
      <c r="T137" s="29" t="str">
        <f aca="false">IF($A137="","",HYPERLINK(JiraSite&amp;"/browse/"&amp;$A137,"open"))</f>
        <v/>
      </c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7"/>
      <c r="H138" s="27"/>
      <c r="I138" s="27"/>
      <c r="J138" s="24"/>
      <c r="K138" s="24"/>
      <c r="L138" s="24"/>
      <c r="M138" s="29" t="str">
        <f aca="false">IF($A138="","",IFERROR(INDEX(MapStage,MATCH($C138,MapStatus,0)),"Unmapped"))</f>
        <v/>
      </c>
      <c r="N138" s="29" t="str">
        <f aca="false">IF($A138="","",AsOf-$H138)</f>
        <v/>
      </c>
      <c r="O138" s="29" t="str">
        <f aca="false">IF(OR($M138="",$M138="Closed",$M138="Unmapped"),"",INDEX(StageStale,MATCH($M138,StageName,0)))</f>
        <v/>
      </c>
      <c r="P138" s="29" t="str">
        <f aca="false">IF($A138="","",IF($M138="Closed","Closed",IF($J138="Y","Critical",IF(AND($I138&lt;&gt;"",$I138&lt;AsOf),"Critical",IF($M138="Unmapped","Warning",IF($N138&gt;2*$O138,"Critical",IF($N138&gt;$O138,"Warning","On track")))))))</f>
        <v/>
      </c>
      <c r="Q138" s="29" t="str">
        <f aca="false">IF(OR($P138="",$P138="Closed",$P138="On track"),"",IF($J138="Y","Flagged as an impediment",IF(AND($I138&lt;&gt;"",$I138&lt;AsOf),"Past due since "&amp;TEXT($I138,"yyyy-mm-dd"),IF($M138="Unmapped","Status '"&amp;$C138&amp;"' is not in the Config map","No update in "&amp;$N138&amp;" days (limit "&amp;$O138&amp;")"))))</f>
        <v/>
      </c>
      <c r="R138" s="29" t="str">
        <f aca="false">IF(OR($P138="",$P138="Closed",$P138="On track"),"",IF($P138="Critical",3000,2000)+$N138+ROW()/100000)</f>
        <v/>
      </c>
      <c r="S138" s="29" t="str">
        <f aca="false">IF($R138="","","draft Jira update for "&amp;$A138)</f>
        <v/>
      </c>
      <c r="T138" s="29" t="str">
        <f aca="false">IF($A138="","",HYPERLINK(JiraSite&amp;"/browse/"&amp;$A138,"open"))</f>
        <v/>
      </c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7"/>
      <c r="H139" s="27"/>
      <c r="I139" s="27"/>
      <c r="J139" s="24"/>
      <c r="K139" s="24"/>
      <c r="L139" s="24"/>
      <c r="M139" s="29" t="str">
        <f aca="false">IF($A139="","",IFERROR(INDEX(MapStage,MATCH($C139,MapStatus,0)),"Unmapped"))</f>
        <v/>
      </c>
      <c r="N139" s="29" t="str">
        <f aca="false">IF($A139="","",AsOf-$H139)</f>
        <v/>
      </c>
      <c r="O139" s="29" t="str">
        <f aca="false">IF(OR($M139="",$M139="Closed",$M139="Unmapped"),"",INDEX(StageStale,MATCH($M139,StageName,0)))</f>
        <v/>
      </c>
      <c r="P139" s="29" t="str">
        <f aca="false">IF($A139="","",IF($M139="Closed","Closed",IF($J139="Y","Critical",IF(AND($I139&lt;&gt;"",$I139&lt;AsOf),"Critical",IF($M139="Unmapped","Warning",IF($N139&gt;2*$O139,"Critical",IF($N139&gt;$O139,"Warning","On track")))))))</f>
        <v/>
      </c>
      <c r="Q139" s="29" t="str">
        <f aca="false">IF(OR($P139="",$P139="Closed",$P139="On track"),"",IF($J139="Y","Flagged as an impediment",IF(AND($I139&lt;&gt;"",$I139&lt;AsOf),"Past due since "&amp;TEXT($I139,"yyyy-mm-dd"),IF($M139="Unmapped","Status '"&amp;$C139&amp;"' is not in the Config map","No update in "&amp;$N139&amp;" days (limit "&amp;$O139&amp;")"))))</f>
        <v/>
      </c>
      <c r="R139" s="29" t="str">
        <f aca="false">IF(OR($P139="",$P139="Closed",$P139="On track"),"",IF($P139="Critical",3000,2000)+$N139+ROW()/100000)</f>
        <v/>
      </c>
      <c r="S139" s="29" t="str">
        <f aca="false">IF($R139="","","draft Jira update for "&amp;$A139)</f>
        <v/>
      </c>
      <c r="T139" s="29" t="str">
        <f aca="false">IF($A139="","",HYPERLINK(JiraSite&amp;"/browse/"&amp;$A139,"open"))</f>
        <v/>
      </c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7"/>
      <c r="H140" s="27"/>
      <c r="I140" s="27"/>
      <c r="J140" s="24"/>
      <c r="K140" s="24"/>
      <c r="L140" s="24"/>
      <c r="M140" s="29" t="str">
        <f aca="false">IF($A140="","",IFERROR(INDEX(MapStage,MATCH($C140,MapStatus,0)),"Unmapped"))</f>
        <v/>
      </c>
      <c r="N140" s="29" t="str">
        <f aca="false">IF($A140="","",AsOf-$H140)</f>
        <v/>
      </c>
      <c r="O140" s="29" t="str">
        <f aca="false">IF(OR($M140="",$M140="Closed",$M140="Unmapped"),"",INDEX(StageStale,MATCH($M140,StageName,0)))</f>
        <v/>
      </c>
      <c r="P140" s="29" t="str">
        <f aca="false">IF($A140="","",IF($M140="Closed","Closed",IF($J140="Y","Critical",IF(AND($I140&lt;&gt;"",$I140&lt;AsOf),"Critical",IF($M140="Unmapped","Warning",IF($N140&gt;2*$O140,"Critical",IF($N140&gt;$O140,"Warning","On track")))))))</f>
        <v/>
      </c>
      <c r="Q140" s="29" t="str">
        <f aca="false">IF(OR($P140="",$P140="Closed",$P140="On track"),"",IF($J140="Y","Flagged as an impediment",IF(AND($I140&lt;&gt;"",$I140&lt;AsOf),"Past due since "&amp;TEXT($I140,"yyyy-mm-dd"),IF($M140="Unmapped","Status '"&amp;$C140&amp;"' is not in the Config map","No update in "&amp;$N140&amp;" days (limit "&amp;$O140&amp;")"))))</f>
        <v/>
      </c>
      <c r="R140" s="29" t="str">
        <f aca="false">IF(OR($P140="",$P140="Closed",$P140="On track"),"",IF($P140="Critical",3000,2000)+$N140+ROW()/100000)</f>
        <v/>
      </c>
      <c r="S140" s="29" t="str">
        <f aca="false">IF($R140="","","draft Jira update for "&amp;$A140)</f>
        <v/>
      </c>
      <c r="T140" s="29" t="str">
        <f aca="false">IF($A140="","",HYPERLINK(JiraSite&amp;"/browse/"&amp;$A140,"open"))</f>
        <v/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7"/>
      <c r="H141" s="27"/>
      <c r="I141" s="27"/>
      <c r="J141" s="24"/>
      <c r="K141" s="24"/>
      <c r="L141" s="24"/>
      <c r="M141" s="29" t="str">
        <f aca="false">IF($A141="","",IFERROR(INDEX(MapStage,MATCH($C141,MapStatus,0)),"Unmapped"))</f>
        <v/>
      </c>
      <c r="N141" s="29" t="str">
        <f aca="false">IF($A141="","",AsOf-$H141)</f>
        <v/>
      </c>
      <c r="O141" s="29" t="str">
        <f aca="false">IF(OR($M141="",$M141="Closed",$M141="Unmapped"),"",INDEX(StageStale,MATCH($M141,StageName,0)))</f>
        <v/>
      </c>
      <c r="P141" s="29" t="str">
        <f aca="false">IF($A141="","",IF($M141="Closed","Closed",IF($J141="Y","Critical",IF(AND($I141&lt;&gt;"",$I141&lt;AsOf),"Critical",IF($M141="Unmapped","Warning",IF($N141&gt;2*$O141,"Critical",IF($N141&gt;$O141,"Warning","On track")))))))</f>
        <v/>
      </c>
      <c r="Q141" s="29" t="str">
        <f aca="false">IF(OR($P141="",$P141="Closed",$P141="On track"),"",IF($J141="Y","Flagged as an impediment",IF(AND($I141&lt;&gt;"",$I141&lt;AsOf),"Past due since "&amp;TEXT($I141,"yyyy-mm-dd"),IF($M141="Unmapped","Status '"&amp;$C141&amp;"' is not in the Config map","No update in "&amp;$N141&amp;" days (limit "&amp;$O141&amp;")"))))</f>
        <v/>
      </c>
      <c r="R141" s="29" t="str">
        <f aca="false">IF(OR($P141="",$P141="Closed",$P141="On track"),"",IF($P141="Critical",3000,2000)+$N141+ROW()/100000)</f>
        <v/>
      </c>
      <c r="S141" s="29" t="str">
        <f aca="false">IF($R141="","","draft Jira update for "&amp;$A141)</f>
        <v/>
      </c>
      <c r="T141" s="29" t="str">
        <f aca="false">IF($A141="","",HYPERLINK(JiraSite&amp;"/browse/"&amp;$A141,"open"))</f>
        <v/>
      </c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7"/>
      <c r="H142" s="27"/>
      <c r="I142" s="27"/>
      <c r="J142" s="24"/>
      <c r="K142" s="24"/>
      <c r="L142" s="24"/>
      <c r="M142" s="29" t="str">
        <f aca="false">IF($A142="","",IFERROR(INDEX(MapStage,MATCH($C142,MapStatus,0)),"Unmapped"))</f>
        <v/>
      </c>
      <c r="N142" s="29" t="str">
        <f aca="false">IF($A142="","",AsOf-$H142)</f>
        <v/>
      </c>
      <c r="O142" s="29" t="str">
        <f aca="false">IF(OR($M142="",$M142="Closed",$M142="Unmapped"),"",INDEX(StageStale,MATCH($M142,StageName,0)))</f>
        <v/>
      </c>
      <c r="P142" s="29" t="str">
        <f aca="false">IF($A142="","",IF($M142="Closed","Closed",IF($J142="Y","Critical",IF(AND($I142&lt;&gt;"",$I142&lt;AsOf),"Critical",IF($M142="Unmapped","Warning",IF($N142&gt;2*$O142,"Critical",IF($N142&gt;$O142,"Warning","On track")))))))</f>
        <v/>
      </c>
      <c r="Q142" s="29" t="str">
        <f aca="false">IF(OR($P142="",$P142="Closed",$P142="On track"),"",IF($J142="Y","Flagged as an impediment",IF(AND($I142&lt;&gt;"",$I142&lt;AsOf),"Past due since "&amp;TEXT($I142,"yyyy-mm-dd"),IF($M142="Unmapped","Status '"&amp;$C142&amp;"' is not in the Config map","No update in "&amp;$N142&amp;" days (limit "&amp;$O142&amp;")"))))</f>
        <v/>
      </c>
      <c r="R142" s="29" t="str">
        <f aca="false">IF(OR($P142="",$P142="Closed",$P142="On track"),"",IF($P142="Critical",3000,2000)+$N142+ROW()/100000)</f>
        <v/>
      </c>
      <c r="S142" s="29" t="str">
        <f aca="false">IF($R142="","","draft Jira update for "&amp;$A142)</f>
        <v/>
      </c>
      <c r="T142" s="29" t="str">
        <f aca="false">IF($A142="","",HYPERLINK(JiraSite&amp;"/browse/"&amp;$A142,"open"))</f>
        <v/>
      </c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7"/>
      <c r="H143" s="27"/>
      <c r="I143" s="27"/>
      <c r="J143" s="24"/>
      <c r="K143" s="24"/>
      <c r="L143" s="24"/>
      <c r="M143" s="29" t="str">
        <f aca="false">IF($A143="","",IFERROR(INDEX(MapStage,MATCH($C143,MapStatus,0)),"Unmapped"))</f>
        <v/>
      </c>
      <c r="N143" s="29" t="str">
        <f aca="false">IF($A143="","",AsOf-$H143)</f>
        <v/>
      </c>
      <c r="O143" s="29" t="str">
        <f aca="false">IF(OR($M143="",$M143="Closed",$M143="Unmapped"),"",INDEX(StageStale,MATCH($M143,StageName,0)))</f>
        <v/>
      </c>
      <c r="P143" s="29" t="str">
        <f aca="false">IF($A143="","",IF($M143="Closed","Closed",IF($J143="Y","Critical",IF(AND($I143&lt;&gt;"",$I143&lt;AsOf),"Critical",IF($M143="Unmapped","Warning",IF($N143&gt;2*$O143,"Critical",IF($N143&gt;$O143,"Warning","On track")))))))</f>
        <v/>
      </c>
      <c r="Q143" s="29" t="str">
        <f aca="false">IF(OR($P143="",$P143="Closed",$P143="On track"),"",IF($J143="Y","Flagged as an impediment",IF(AND($I143&lt;&gt;"",$I143&lt;AsOf),"Past due since "&amp;TEXT($I143,"yyyy-mm-dd"),IF($M143="Unmapped","Status '"&amp;$C143&amp;"' is not in the Config map","No update in "&amp;$N143&amp;" days (limit "&amp;$O143&amp;")"))))</f>
        <v/>
      </c>
      <c r="R143" s="29" t="str">
        <f aca="false">IF(OR($P143="",$P143="Closed",$P143="On track"),"",IF($P143="Critical",3000,2000)+$N143+ROW()/100000)</f>
        <v/>
      </c>
      <c r="S143" s="29" t="str">
        <f aca="false">IF($R143="","","draft Jira update for "&amp;$A143)</f>
        <v/>
      </c>
      <c r="T143" s="29" t="str">
        <f aca="false">IF($A143="","",HYPERLINK(JiraSite&amp;"/browse/"&amp;$A143,"open"))</f>
        <v/>
      </c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7"/>
      <c r="H144" s="27"/>
      <c r="I144" s="27"/>
      <c r="J144" s="24"/>
      <c r="K144" s="24"/>
      <c r="L144" s="24"/>
      <c r="M144" s="29" t="str">
        <f aca="false">IF($A144="","",IFERROR(INDEX(MapStage,MATCH($C144,MapStatus,0)),"Unmapped"))</f>
        <v/>
      </c>
      <c r="N144" s="29" t="str">
        <f aca="false">IF($A144="","",AsOf-$H144)</f>
        <v/>
      </c>
      <c r="O144" s="29" t="str">
        <f aca="false">IF(OR($M144="",$M144="Closed",$M144="Unmapped"),"",INDEX(StageStale,MATCH($M144,StageName,0)))</f>
        <v/>
      </c>
      <c r="P144" s="29" t="str">
        <f aca="false">IF($A144="","",IF($M144="Closed","Closed",IF($J144="Y","Critical",IF(AND($I144&lt;&gt;"",$I144&lt;AsOf),"Critical",IF($M144="Unmapped","Warning",IF($N144&gt;2*$O144,"Critical",IF($N144&gt;$O144,"Warning","On track")))))))</f>
        <v/>
      </c>
      <c r="Q144" s="29" t="str">
        <f aca="false">IF(OR($P144="",$P144="Closed",$P144="On track"),"",IF($J144="Y","Flagged as an impediment",IF(AND($I144&lt;&gt;"",$I144&lt;AsOf),"Past due since "&amp;TEXT($I144,"yyyy-mm-dd"),IF($M144="Unmapped","Status '"&amp;$C144&amp;"' is not in the Config map","No update in "&amp;$N144&amp;" days (limit "&amp;$O144&amp;")"))))</f>
        <v/>
      </c>
      <c r="R144" s="29" t="str">
        <f aca="false">IF(OR($P144="",$P144="Closed",$P144="On track"),"",IF($P144="Critical",3000,2000)+$N144+ROW()/100000)</f>
        <v/>
      </c>
      <c r="S144" s="29" t="str">
        <f aca="false">IF($R144="","","draft Jira update for "&amp;$A144)</f>
        <v/>
      </c>
      <c r="T144" s="29" t="str">
        <f aca="false">IF($A144="","",HYPERLINK(JiraSite&amp;"/browse/"&amp;$A144,"open"))</f>
        <v/>
      </c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7"/>
      <c r="H145" s="27"/>
      <c r="I145" s="27"/>
      <c r="J145" s="24"/>
      <c r="K145" s="24"/>
      <c r="L145" s="24"/>
      <c r="M145" s="29" t="str">
        <f aca="false">IF($A145="","",IFERROR(INDEX(MapStage,MATCH($C145,MapStatus,0)),"Unmapped"))</f>
        <v/>
      </c>
      <c r="N145" s="29" t="str">
        <f aca="false">IF($A145="","",AsOf-$H145)</f>
        <v/>
      </c>
      <c r="O145" s="29" t="str">
        <f aca="false">IF(OR($M145="",$M145="Closed",$M145="Unmapped"),"",INDEX(StageStale,MATCH($M145,StageName,0)))</f>
        <v/>
      </c>
      <c r="P145" s="29" t="str">
        <f aca="false">IF($A145="","",IF($M145="Closed","Closed",IF($J145="Y","Critical",IF(AND($I145&lt;&gt;"",$I145&lt;AsOf),"Critical",IF($M145="Unmapped","Warning",IF($N145&gt;2*$O145,"Critical",IF($N145&gt;$O145,"Warning","On track")))))))</f>
        <v/>
      </c>
      <c r="Q145" s="29" t="str">
        <f aca="false">IF(OR($P145="",$P145="Closed",$P145="On track"),"",IF($J145="Y","Flagged as an impediment",IF(AND($I145&lt;&gt;"",$I145&lt;AsOf),"Past due since "&amp;TEXT($I145,"yyyy-mm-dd"),IF($M145="Unmapped","Status '"&amp;$C145&amp;"' is not in the Config map","No update in "&amp;$N145&amp;" days (limit "&amp;$O145&amp;")"))))</f>
        <v/>
      </c>
      <c r="R145" s="29" t="str">
        <f aca="false">IF(OR($P145="",$P145="Closed",$P145="On track"),"",IF($P145="Critical",3000,2000)+$N145+ROW()/100000)</f>
        <v/>
      </c>
      <c r="S145" s="29" t="str">
        <f aca="false">IF($R145="","","draft Jira update for "&amp;$A145)</f>
        <v/>
      </c>
      <c r="T145" s="29" t="str">
        <f aca="false">IF($A145="","",HYPERLINK(JiraSite&amp;"/browse/"&amp;$A145,"open"))</f>
        <v/>
      </c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7"/>
      <c r="H146" s="27"/>
      <c r="I146" s="27"/>
      <c r="J146" s="24"/>
      <c r="K146" s="24"/>
      <c r="L146" s="24"/>
      <c r="M146" s="29" t="str">
        <f aca="false">IF($A146="","",IFERROR(INDEX(MapStage,MATCH($C146,MapStatus,0)),"Unmapped"))</f>
        <v/>
      </c>
      <c r="N146" s="29" t="str">
        <f aca="false">IF($A146="","",AsOf-$H146)</f>
        <v/>
      </c>
      <c r="O146" s="29" t="str">
        <f aca="false">IF(OR($M146="",$M146="Closed",$M146="Unmapped"),"",INDEX(StageStale,MATCH($M146,StageName,0)))</f>
        <v/>
      </c>
      <c r="P146" s="29" t="str">
        <f aca="false">IF($A146="","",IF($M146="Closed","Closed",IF($J146="Y","Critical",IF(AND($I146&lt;&gt;"",$I146&lt;AsOf),"Critical",IF($M146="Unmapped","Warning",IF($N146&gt;2*$O146,"Critical",IF($N146&gt;$O146,"Warning","On track")))))))</f>
        <v/>
      </c>
      <c r="Q146" s="29" t="str">
        <f aca="false">IF(OR($P146="",$P146="Closed",$P146="On track"),"",IF($J146="Y","Flagged as an impediment",IF(AND($I146&lt;&gt;"",$I146&lt;AsOf),"Past due since "&amp;TEXT($I146,"yyyy-mm-dd"),IF($M146="Unmapped","Status '"&amp;$C146&amp;"' is not in the Config map","No update in "&amp;$N146&amp;" days (limit "&amp;$O146&amp;")"))))</f>
        <v/>
      </c>
      <c r="R146" s="29" t="str">
        <f aca="false">IF(OR($P146="",$P146="Closed",$P146="On track"),"",IF($P146="Critical",3000,2000)+$N146+ROW()/100000)</f>
        <v/>
      </c>
      <c r="S146" s="29" t="str">
        <f aca="false">IF($R146="","","draft Jira update for "&amp;$A146)</f>
        <v/>
      </c>
      <c r="T146" s="29" t="str">
        <f aca="false">IF($A146="","",HYPERLINK(JiraSite&amp;"/browse/"&amp;$A146,"open"))</f>
        <v/>
      </c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7"/>
      <c r="H147" s="27"/>
      <c r="I147" s="27"/>
      <c r="J147" s="24"/>
      <c r="K147" s="24"/>
      <c r="L147" s="24"/>
      <c r="M147" s="29" t="str">
        <f aca="false">IF($A147="","",IFERROR(INDEX(MapStage,MATCH($C147,MapStatus,0)),"Unmapped"))</f>
        <v/>
      </c>
      <c r="N147" s="29" t="str">
        <f aca="false">IF($A147="","",AsOf-$H147)</f>
        <v/>
      </c>
      <c r="O147" s="29" t="str">
        <f aca="false">IF(OR($M147="",$M147="Closed",$M147="Unmapped"),"",INDEX(StageStale,MATCH($M147,StageName,0)))</f>
        <v/>
      </c>
      <c r="P147" s="29" t="str">
        <f aca="false">IF($A147="","",IF($M147="Closed","Closed",IF($J147="Y","Critical",IF(AND($I147&lt;&gt;"",$I147&lt;AsOf),"Critical",IF($M147="Unmapped","Warning",IF($N147&gt;2*$O147,"Critical",IF($N147&gt;$O147,"Warning","On track")))))))</f>
        <v/>
      </c>
      <c r="Q147" s="29" t="str">
        <f aca="false">IF(OR($P147="",$P147="Closed",$P147="On track"),"",IF($J147="Y","Flagged as an impediment",IF(AND($I147&lt;&gt;"",$I147&lt;AsOf),"Past due since "&amp;TEXT($I147,"yyyy-mm-dd"),IF($M147="Unmapped","Status '"&amp;$C147&amp;"' is not in the Config map","No update in "&amp;$N147&amp;" days (limit "&amp;$O147&amp;")"))))</f>
        <v/>
      </c>
      <c r="R147" s="29" t="str">
        <f aca="false">IF(OR($P147="",$P147="Closed",$P147="On track"),"",IF($P147="Critical",3000,2000)+$N147+ROW()/100000)</f>
        <v/>
      </c>
      <c r="S147" s="29" t="str">
        <f aca="false">IF($R147="","","draft Jira update for "&amp;$A147)</f>
        <v/>
      </c>
      <c r="T147" s="29" t="str">
        <f aca="false">IF($A147="","",HYPERLINK(JiraSite&amp;"/browse/"&amp;$A147,"open"))</f>
        <v/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7"/>
      <c r="H148" s="27"/>
      <c r="I148" s="27"/>
      <c r="J148" s="24"/>
      <c r="K148" s="24"/>
      <c r="L148" s="24"/>
      <c r="M148" s="29" t="str">
        <f aca="false">IF($A148="","",IFERROR(INDEX(MapStage,MATCH($C148,MapStatus,0)),"Unmapped"))</f>
        <v/>
      </c>
      <c r="N148" s="29" t="str">
        <f aca="false">IF($A148="","",AsOf-$H148)</f>
        <v/>
      </c>
      <c r="O148" s="29" t="str">
        <f aca="false">IF(OR($M148="",$M148="Closed",$M148="Unmapped"),"",INDEX(StageStale,MATCH($M148,StageName,0)))</f>
        <v/>
      </c>
      <c r="P148" s="29" t="str">
        <f aca="false">IF($A148="","",IF($M148="Closed","Closed",IF($J148="Y","Critical",IF(AND($I148&lt;&gt;"",$I148&lt;AsOf),"Critical",IF($M148="Unmapped","Warning",IF($N148&gt;2*$O148,"Critical",IF($N148&gt;$O148,"Warning","On track")))))))</f>
        <v/>
      </c>
      <c r="Q148" s="29" t="str">
        <f aca="false">IF(OR($P148="",$P148="Closed",$P148="On track"),"",IF($J148="Y","Flagged as an impediment",IF(AND($I148&lt;&gt;"",$I148&lt;AsOf),"Past due since "&amp;TEXT($I148,"yyyy-mm-dd"),IF($M148="Unmapped","Status '"&amp;$C148&amp;"' is not in the Config map","No update in "&amp;$N148&amp;" days (limit "&amp;$O148&amp;")"))))</f>
        <v/>
      </c>
      <c r="R148" s="29" t="str">
        <f aca="false">IF(OR($P148="",$P148="Closed",$P148="On track"),"",IF($P148="Critical",3000,2000)+$N148+ROW()/100000)</f>
        <v/>
      </c>
      <c r="S148" s="29" t="str">
        <f aca="false">IF($R148="","","draft Jira update for "&amp;$A148)</f>
        <v/>
      </c>
      <c r="T148" s="29" t="str">
        <f aca="false">IF($A148="","",HYPERLINK(JiraSite&amp;"/browse/"&amp;$A148,"open"))</f>
        <v/>
      </c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7"/>
      <c r="H149" s="27"/>
      <c r="I149" s="27"/>
      <c r="J149" s="24"/>
      <c r="K149" s="24"/>
      <c r="L149" s="24"/>
      <c r="M149" s="29" t="str">
        <f aca="false">IF($A149="","",IFERROR(INDEX(MapStage,MATCH($C149,MapStatus,0)),"Unmapped"))</f>
        <v/>
      </c>
      <c r="N149" s="29" t="str">
        <f aca="false">IF($A149="","",AsOf-$H149)</f>
        <v/>
      </c>
      <c r="O149" s="29" t="str">
        <f aca="false">IF(OR($M149="",$M149="Closed",$M149="Unmapped"),"",INDEX(StageStale,MATCH($M149,StageName,0)))</f>
        <v/>
      </c>
      <c r="P149" s="29" t="str">
        <f aca="false">IF($A149="","",IF($M149="Closed","Closed",IF($J149="Y","Critical",IF(AND($I149&lt;&gt;"",$I149&lt;AsOf),"Critical",IF($M149="Unmapped","Warning",IF($N149&gt;2*$O149,"Critical",IF($N149&gt;$O149,"Warning","On track")))))))</f>
        <v/>
      </c>
      <c r="Q149" s="29" t="str">
        <f aca="false">IF(OR($P149="",$P149="Closed",$P149="On track"),"",IF($J149="Y","Flagged as an impediment",IF(AND($I149&lt;&gt;"",$I149&lt;AsOf),"Past due since "&amp;TEXT($I149,"yyyy-mm-dd"),IF($M149="Unmapped","Status '"&amp;$C149&amp;"' is not in the Config map","No update in "&amp;$N149&amp;" days (limit "&amp;$O149&amp;")"))))</f>
        <v/>
      </c>
      <c r="R149" s="29" t="str">
        <f aca="false">IF(OR($P149="",$P149="Closed",$P149="On track"),"",IF($P149="Critical",3000,2000)+$N149+ROW()/100000)</f>
        <v/>
      </c>
      <c r="S149" s="29" t="str">
        <f aca="false">IF($R149="","","draft Jira update for "&amp;$A149)</f>
        <v/>
      </c>
      <c r="T149" s="29" t="str">
        <f aca="false">IF($A149="","",HYPERLINK(JiraSite&amp;"/browse/"&amp;$A149,"open"))</f>
        <v/>
      </c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7"/>
      <c r="H150" s="27"/>
      <c r="I150" s="27"/>
      <c r="J150" s="24"/>
      <c r="K150" s="24"/>
      <c r="L150" s="24"/>
      <c r="M150" s="29" t="str">
        <f aca="false">IF($A150="","",IFERROR(INDEX(MapStage,MATCH($C150,MapStatus,0)),"Unmapped"))</f>
        <v/>
      </c>
      <c r="N150" s="29" t="str">
        <f aca="false">IF($A150="","",AsOf-$H150)</f>
        <v/>
      </c>
      <c r="O150" s="29" t="str">
        <f aca="false">IF(OR($M150="",$M150="Closed",$M150="Unmapped"),"",INDEX(StageStale,MATCH($M150,StageName,0)))</f>
        <v/>
      </c>
      <c r="P150" s="29" t="str">
        <f aca="false">IF($A150="","",IF($M150="Closed","Closed",IF($J150="Y","Critical",IF(AND($I150&lt;&gt;"",$I150&lt;AsOf),"Critical",IF($M150="Unmapped","Warning",IF($N150&gt;2*$O150,"Critical",IF($N150&gt;$O150,"Warning","On track")))))))</f>
        <v/>
      </c>
      <c r="Q150" s="29" t="str">
        <f aca="false">IF(OR($P150="",$P150="Closed",$P150="On track"),"",IF($J150="Y","Flagged as an impediment",IF(AND($I150&lt;&gt;"",$I150&lt;AsOf),"Past due since "&amp;TEXT($I150,"yyyy-mm-dd"),IF($M150="Unmapped","Status '"&amp;$C150&amp;"' is not in the Config map","No update in "&amp;$N150&amp;" days (limit "&amp;$O150&amp;")"))))</f>
        <v/>
      </c>
      <c r="R150" s="29" t="str">
        <f aca="false">IF(OR($P150="",$P150="Closed",$P150="On track"),"",IF($P150="Critical",3000,2000)+$N150+ROW()/100000)</f>
        <v/>
      </c>
      <c r="S150" s="29" t="str">
        <f aca="false">IF($R150="","","draft Jira update for "&amp;$A150)</f>
        <v/>
      </c>
      <c r="T150" s="29" t="str">
        <f aca="false">IF($A150="","",HYPERLINK(JiraSite&amp;"/browse/"&amp;$A150,"open"))</f>
        <v/>
      </c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7"/>
      <c r="H151" s="27"/>
      <c r="I151" s="27"/>
      <c r="J151" s="24"/>
      <c r="K151" s="24"/>
      <c r="L151" s="24"/>
      <c r="M151" s="29" t="str">
        <f aca="false">IF($A151="","",IFERROR(INDEX(MapStage,MATCH($C151,MapStatus,0)),"Unmapped"))</f>
        <v/>
      </c>
      <c r="N151" s="29" t="str">
        <f aca="false">IF($A151="","",AsOf-$H151)</f>
        <v/>
      </c>
      <c r="O151" s="29" t="str">
        <f aca="false">IF(OR($M151="",$M151="Closed",$M151="Unmapped"),"",INDEX(StageStale,MATCH($M151,StageName,0)))</f>
        <v/>
      </c>
      <c r="P151" s="29" t="str">
        <f aca="false">IF($A151="","",IF($M151="Closed","Closed",IF($J151="Y","Critical",IF(AND($I151&lt;&gt;"",$I151&lt;AsOf),"Critical",IF($M151="Unmapped","Warning",IF($N151&gt;2*$O151,"Critical",IF($N151&gt;$O151,"Warning","On track")))))))</f>
        <v/>
      </c>
      <c r="Q151" s="29" t="str">
        <f aca="false">IF(OR($P151="",$P151="Closed",$P151="On track"),"",IF($J151="Y","Flagged as an impediment",IF(AND($I151&lt;&gt;"",$I151&lt;AsOf),"Past due since "&amp;TEXT($I151,"yyyy-mm-dd"),IF($M151="Unmapped","Status '"&amp;$C151&amp;"' is not in the Config map","No update in "&amp;$N151&amp;" days (limit "&amp;$O151&amp;")"))))</f>
        <v/>
      </c>
      <c r="R151" s="29" t="str">
        <f aca="false">IF(OR($P151="",$P151="Closed",$P151="On track"),"",IF($P151="Critical",3000,2000)+$N151+ROW()/100000)</f>
        <v/>
      </c>
      <c r="S151" s="29" t="str">
        <f aca="false">IF($R151="","","draft Jira update for "&amp;$A151)</f>
        <v/>
      </c>
      <c r="T151" s="29" t="str">
        <f aca="false">IF($A151="","",HYPERLINK(JiraSite&amp;"/browse/"&amp;$A151,"open"))</f>
        <v/>
      </c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7"/>
      <c r="H152" s="27"/>
      <c r="I152" s="27"/>
      <c r="J152" s="24"/>
      <c r="K152" s="24"/>
      <c r="L152" s="24"/>
      <c r="M152" s="29" t="str">
        <f aca="false">IF($A152="","",IFERROR(INDEX(MapStage,MATCH($C152,MapStatus,0)),"Unmapped"))</f>
        <v/>
      </c>
      <c r="N152" s="29" t="str">
        <f aca="false">IF($A152="","",AsOf-$H152)</f>
        <v/>
      </c>
      <c r="O152" s="29" t="str">
        <f aca="false">IF(OR($M152="",$M152="Closed",$M152="Unmapped"),"",INDEX(StageStale,MATCH($M152,StageName,0)))</f>
        <v/>
      </c>
      <c r="P152" s="29" t="str">
        <f aca="false">IF($A152="","",IF($M152="Closed","Closed",IF($J152="Y","Critical",IF(AND($I152&lt;&gt;"",$I152&lt;AsOf),"Critical",IF($M152="Unmapped","Warning",IF($N152&gt;2*$O152,"Critical",IF($N152&gt;$O152,"Warning","On track")))))))</f>
        <v/>
      </c>
      <c r="Q152" s="29" t="str">
        <f aca="false">IF(OR($P152="",$P152="Closed",$P152="On track"),"",IF($J152="Y","Flagged as an impediment",IF(AND($I152&lt;&gt;"",$I152&lt;AsOf),"Past due since "&amp;TEXT($I152,"yyyy-mm-dd"),IF($M152="Unmapped","Status '"&amp;$C152&amp;"' is not in the Config map","No update in "&amp;$N152&amp;" days (limit "&amp;$O152&amp;")"))))</f>
        <v/>
      </c>
      <c r="R152" s="29" t="str">
        <f aca="false">IF(OR($P152="",$P152="Closed",$P152="On track"),"",IF($P152="Critical",3000,2000)+$N152+ROW()/100000)</f>
        <v/>
      </c>
      <c r="S152" s="29" t="str">
        <f aca="false">IF($R152="","","draft Jira update for "&amp;$A152)</f>
        <v/>
      </c>
      <c r="T152" s="29" t="str">
        <f aca="false">IF($A152="","",HYPERLINK(JiraSite&amp;"/browse/"&amp;$A152,"open"))</f>
        <v/>
      </c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7"/>
      <c r="H153" s="27"/>
      <c r="I153" s="27"/>
      <c r="J153" s="24"/>
      <c r="K153" s="24"/>
      <c r="L153" s="24"/>
      <c r="M153" s="29" t="str">
        <f aca="false">IF($A153="","",IFERROR(INDEX(MapStage,MATCH($C153,MapStatus,0)),"Unmapped"))</f>
        <v/>
      </c>
      <c r="N153" s="29" t="str">
        <f aca="false">IF($A153="","",AsOf-$H153)</f>
        <v/>
      </c>
      <c r="O153" s="29" t="str">
        <f aca="false">IF(OR($M153="",$M153="Closed",$M153="Unmapped"),"",INDEX(StageStale,MATCH($M153,StageName,0)))</f>
        <v/>
      </c>
      <c r="P153" s="29" t="str">
        <f aca="false">IF($A153="","",IF($M153="Closed","Closed",IF($J153="Y","Critical",IF(AND($I153&lt;&gt;"",$I153&lt;AsOf),"Critical",IF($M153="Unmapped","Warning",IF($N153&gt;2*$O153,"Critical",IF($N153&gt;$O153,"Warning","On track")))))))</f>
        <v/>
      </c>
      <c r="Q153" s="29" t="str">
        <f aca="false">IF(OR($P153="",$P153="Closed",$P153="On track"),"",IF($J153="Y","Flagged as an impediment",IF(AND($I153&lt;&gt;"",$I153&lt;AsOf),"Past due since "&amp;TEXT($I153,"yyyy-mm-dd"),IF($M153="Unmapped","Status '"&amp;$C153&amp;"' is not in the Config map","No update in "&amp;$N153&amp;" days (limit "&amp;$O153&amp;")"))))</f>
        <v/>
      </c>
      <c r="R153" s="29" t="str">
        <f aca="false">IF(OR($P153="",$P153="Closed",$P153="On track"),"",IF($P153="Critical",3000,2000)+$N153+ROW()/100000)</f>
        <v/>
      </c>
      <c r="S153" s="29" t="str">
        <f aca="false">IF($R153="","","draft Jira update for "&amp;$A153)</f>
        <v/>
      </c>
      <c r="T153" s="29" t="str">
        <f aca="false">IF($A153="","",HYPERLINK(JiraSite&amp;"/browse/"&amp;$A153,"open"))</f>
        <v/>
      </c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7"/>
      <c r="H154" s="27"/>
      <c r="I154" s="27"/>
      <c r="J154" s="24"/>
      <c r="K154" s="24"/>
      <c r="L154" s="24"/>
      <c r="M154" s="29" t="str">
        <f aca="false">IF($A154="","",IFERROR(INDEX(MapStage,MATCH($C154,MapStatus,0)),"Unmapped"))</f>
        <v/>
      </c>
      <c r="N154" s="29" t="str">
        <f aca="false">IF($A154="","",AsOf-$H154)</f>
        <v/>
      </c>
      <c r="O154" s="29" t="str">
        <f aca="false">IF(OR($M154="",$M154="Closed",$M154="Unmapped"),"",INDEX(StageStale,MATCH($M154,StageName,0)))</f>
        <v/>
      </c>
      <c r="P154" s="29" t="str">
        <f aca="false">IF($A154="","",IF($M154="Closed","Closed",IF($J154="Y","Critical",IF(AND($I154&lt;&gt;"",$I154&lt;AsOf),"Critical",IF($M154="Unmapped","Warning",IF($N154&gt;2*$O154,"Critical",IF($N154&gt;$O154,"Warning","On track")))))))</f>
        <v/>
      </c>
      <c r="Q154" s="29" t="str">
        <f aca="false">IF(OR($P154="",$P154="Closed",$P154="On track"),"",IF($J154="Y","Flagged as an impediment",IF(AND($I154&lt;&gt;"",$I154&lt;AsOf),"Past due since "&amp;TEXT($I154,"yyyy-mm-dd"),IF($M154="Unmapped","Status '"&amp;$C154&amp;"' is not in the Config map","No update in "&amp;$N154&amp;" days (limit "&amp;$O154&amp;")"))))</f>
        <v/>
      </c>
      <c r="R154" s="29" t="str">
        <f aca="false">IF(OR($P154="",$P154="Closed",$P154="On track"),"",IF($P154="Critical",3000,2000)+$N154+ROW()/100000)</f>
        <v/>
      </c>
      <c r="S154" s="29" t="str">
        <f aca="false">IF($R154="","","draft Jira update for "&amp;$A154)</f>
        <v/>
      </c>
      <c r="T154" s="29" t="str">
        <f aca="false">IF($A154="","",HYPERLINK(JiraSite&amp;"/browse/"&amp;$A154,"open"))</f>
        <v/>
      </c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7"/>
      <c r="H155" s="27"/>
      <c r="I155" s="27"/>
      <c r="J155" s="24"/>
      <c r="K155" s="24"/>
      <c r="L155" s="24"/>
      <c r="M155" s="29" t="str">
        <f aca="false">IF($A155="","",IFERROR(INDEX(MapStage,MATCH($C155,MapStatus,0)),"Unmapped"))</f>
        <v/>
      </c>
      <c r="N155" s="29" t="str">
        <f aca="false">IF($A155="","",AsOf-$H155)</f>
        <v/>
      </c>
      <c r="O155" s="29" t="str">
        <f aca="false">IF(OR($M155="",$M155="Closed",$M155="Unmapped"),"",INDEX(StageStale,MATCH($M155,StageName,0)))</f>
        <v/>
      </c>
      <c r="P155" s="29" t="str">
        <f aca="false">IF($A155="","",IF($M155="Closed","Closed",IF($J155="Y","Critical",IF(AND($I155&lt;&gt;"",$I155&lt;AsOf),"Critical",IF($M155="Unmapped","Warning",IF($N155&gt;2*$O155,"Critical",IF($N155&gt;$O155,"Warning","On track")))))))</f>
        <v/>
      </c>
      <c r="Q155" s="29" t="str">
        <f aca="false">IF(OR($P155="",$P155="Closed",$P155="On track"),"",IF($J155="Y","Flagged as an impediment",IF(AND($I155&lt;&gt;"",$I155&lt;AsOf),"Past due since "&amp;TEXT($I155,"yyyy-mm-dd"),IF($M155="Unmapped","Status '"&amp;$C155&amp;"' is not in the Config map","No update in "&amp;$N155&amp;" days (limit "&amp;$O155&amp;")"))))</f>
        <v/>
      </c>
      <c r="R155" s="29" t="str">
        <f aca="false">IF(OR($P155="",$P155="Closed",$P155="On track"),"",IF($P155="Critical",3000,2000)+$N155+ROW()/100000)</f>
        <v/>
      </c>
      <c r="S155" s="29" t="str">
        <f aca="false">IF($R155="","","draft Jira update for "&amp;$A155)</f>
        <v/>
      </c>
      <c r="T155" s="29" t="str">
        <f aca="false">IF($A155="","",HYPERLINK(JiraSite&amp;"/browse/"&amp;$A155,"open"))</f>
        <v/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7"/>
      <c r="H156" s="27"/>
      <c r="I156" s="27"/>
      <c r="J156" s="24"/>
      <c r="K156" s="24"/>
      <c r="L156" s="24"/>
      <c r="M156" s="29" t="str">
        <f aca="false">IF($A156="","",IFERROR(INDEX(MapStage,MATCH($C156,MapStatus,0)),"Unmapped"))</f>
        <v/>
      </c>
      <c r="N156" s="29" t="str">
        <f aca="false">IF($A156="","",AsOf-$H156)</f>
        <v/>
      </c>
      <c r="O156" s="29" t="str">
        <f aca="false">IF(OR($M156="",$M156="Closed",$M156="Unmapped"),"",INDEX(StageStale,MATCH($M156,StageName,0)))</f>
        <v/>
      </c>
      <c r="P156" s="29" t="str">
        <f aca="false">IF($A156="","",IF($M156="Closed","Closed",IF($J156="Y","Critical",IF(AND($I156&lt;&gt;"",$I156&lt;AsOf),"Critical",IF($M156="Unmapped","Warning",IF($N156&gt;2*$O156,"Critical",IF($N156&gt;$O156,"Warning","On track")))))))</f>
        <v/>
      </c>
      <c r="Q156" s="29" t="str">
        <f aca="false">IF(OR($P156="",$P156="Closed",$P156="On track"),"",IF($J156="Y","Flagged as an impediment",IF(AND($I156&lt;&gt;"",$I156&lt;AsOf),"Past due since "&amp;TEXT($I156,"yyyy-mm-dd"),IF($M156="Unmapped","Status '"&amp;$C156&amp;"' is not in the Config map","No update in "&amp;$N156&amp;" days (limit "&amp;$O156&amp;")"))))</f>
        <v/>
      </c>
      <c r="R156" s="29" t="str">
        <f aca="false">IF(OR($P156="",$P156="Closed",$P156="On track"),"",IF($P156="Critical",3000,2000)+$N156+ROW()/100000)</f>
        <v/>
      </c>
      <c r="S156" s="29" t="str">
        <f aca="false">IF($R156="","","draft Jira update for "&amp;$A156)</f>
        <v/>
      </c>
      <c r="T156" s="29" t="str">
        <f aca="false">IF($A156="","",HYPERLINK(JiraSite&amp;"/browse/"&amp;$A156,"open"))</f>
        <v/>
      </c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7"/>
      <c r="H157" s="27"/>
      <c r="I157" s="27"/>
      <c r="J157" s="24"/>
      <c r="K157" s="24"/>
      <c r="L157" s="24"/>
      <c r="M157" s="29" t="str">
        <f aca="false">IF($A157="","",IFERROR(INDEX(MapStage,MATCH($C157,MapStatus,0)),"Unmapped"))</f>
        <v/>
      </c>
      <c r="N157" s="29" t="str">
        <f aca="false">IF($A157="","",AsOf-$H157)</f>
        <v/>
      </c>
      <c r="O157" s="29" t="str">
        <f aca="false">IF(OR($M157="",$M157="Closed",$M157="Unmapped"),"",INDEX(StageStale,MATCH($M157,StageName,0)))</f>
        <v/>
      </c>
      <c r="P157" s="29" t="str">
        <f aca="false">IF($A157="","",IF($M157="Closed","Closed",IF($J157="Y","Critical",IF(AND($I157&lt;&gt;"",$I157&lt;AsOf),"Critical",IF($M157="Unmapped","Warning",IF($N157&gt;2*$O157,"Critical",IF($N157&gt;$O157,"Warning","On track")))))))</f>
        <v/>
      </c>
      <c r="Q157" s="29" t="str">
        <f aca="false">IF(OR($P157="",$P157="Closed",$P157="On track"),"",IF($J157="Y","Flagged as an impediment",IF(AND($I157&lt;&gt;"",$I157&lt;AsOf),"Past due since "&amp;TEXT($I157,"yyyy-mm-dd"),IF($M157="Unmapped","Status '"&amp;$C157&amp;"' is not in the Config map","No update in "&amp;$N157&amp;" days (limit "&amp;$O157&amp;")"))))</f>
        <v/>
      </c>
      <c r="R157" s="29" t="str">
        <f aca="false">IF(OR($P157="",$P157="Closed",$P157="On track"),"",IF($P157="Critical",3000,2000)+$N157+ROW()/100000)</f>
        <v/>
      </c>
      <c r="S157" s="29" t="str">
        <f aca="false">IF($R157="","","draft Jira update for "&amp;$A157)</f>
        <v/>
      </c>
      <c r="T157" s="29" t="str">
        <f aca="false">IF($A157="","",HYPERLINK(JiraSite&amp;"/browse/"&amp;$A157,"open"))</f>
        <v/>
      </c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7"/>
      <c r="H158" s="27"/>
      <c r="I158" s="27"/>
      <c r="J158" s="24"/>
      <c r="K158" s="24"/>
      <c r="L158" s="24"/>
      <c r="M158" s="29" t="str">
        <f aca="false">IF($A158="","",IFERROR(INDEX(MapStage,MATCH($C158,MapStatus,0)),"Unmapped"))</f>
        <v/>
      </c>
      <c r="N158" s="29" t="str">
        <f aca="false">IF($A158="","",AsOf-$H158)</f>
        <v/>
      </c>
      <c r="O158" s="29" t="str">
        <f aca="false">IF(OR($M158="",$M158="Closed",$M158="Unmapped"),"",INDEX(StageStale,MATCH($M158,StageName,0)))</f>
        <v/>
      </c>
      <c r="P158" s="29" t="str">
        <f aca="false">IF($A158="","",IF($M158="Closed","Closed",IF($J158="Y","Critical",IF(AND($I158&lt;&gt;"",$I158&lt;AsOf),"Critical",IF($M158="Unmapped","Warning",IF($N158&gt;2*$O158,"Critical",IF($N158&gt;$O158,"Warning","On track")))))))</f>
        <v/>
      </c>
      <c r="Q158" s="29" t="str">
        <f aca="false">IF(OR($P158="",$P158="Closed",$P158="On track"),"",IF($J158="Y","Flagged as an impediment",IF(AND($I158&lt;&gt;"",$I158&lt;AsOf),"Past due since "&amp;TEXT($I158,"yyyy-mm-dd"),IF($M158="Unmapped","Status '"&amp;$C158&amp;"' is not in the Config map","No update in "&amp;$N158&amp;" days (limit "&amp;$O158&amp;")"))))</f>
        <v/>
      </c>
      <c r="R158" s="29" t="str">
        <f aca="false">IF(OR($P158="",$P158="Closed",$P158="On track"),"",IF($P158="Critical",3000,2000)+$N158+ROW()/100000)</f>
        <v/>
      </c>
      <c r="S158" s="29" t="str">
        <f aca="false">IF($R158="","","draft Jira update for "&amp;$A158)</f>
        <v/>
      </c>
      <c r="T158" s="29" t="str">
        <f aca="false">IF($A158="","",HYPERLINK(JiraSite&amp;"/browse/"&amp;$A158,"open"))</f>
        <v/>
      </c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7"/>
      <c r="H159" s="27"/>
      <c r="I159" s="27"/>
      <c r="J159" s="24"/>
      <c r="K159" s="24"/>
      <c r="L159" s="24"/>
      <c r="M159" s="29" t="str">
        <f aca="false">IF($A159="","",IFERROR(INDEX(MapStage,MATCH($C159,MapStatus,0)),"Unmapped"))</f>
        <v/>
      </c>
      <c r="N159" s="29" t="str">
        <f aca="false">IF($A159="","",AsOf-$H159)</f>
        <v/>
      </c>
      <c r="O159" s="29" t="str">
        <f aca="false">IF(OR($M159="",$M159="Closed",$M159="Unmapped"),"",INDEX(StageStale,MATCH($M159,StageName,0)))</f>
        <v/>
      </c>
      <c r="P159" s="29" t="str">
        <f aca="false">IF($A159="","",IF($M159="Closed","Closed",IF($J159="Y","Critical",IF(AND($I159&lt;&gt;"",$I159&lt;AsOf),"Critical",IF($M159="Unmapped","Warning",IF($N159&gt;2*$O159,"Critical",IF($N159&gt;$O159,"Warning","On track")))))))</f>
        <v/>
      </c>
      <c r="Q159" s="29" t="str">
        <f aca="false">IF(OR($P159="",$P159="Closed",$P159="On track"),"",IF($J159="Y","Flagged as an impediment",IF(AND($I159&lt;&gt;"",$I159&lt;AsOf),"Past due since "&amp;TEXT($I159,"yyyy-mm-dd"),IF($M159="Unmapped","Status '"&amp;$C159&amp;"' is not in the Config map","No update in "&amp;$N159&amp;" days (limit "&amp;$O159&amp;")"))))</f>
        <v/>
      </c>
      <c r="R159" s="29" t="str">
        <f aca="false">IF(OR($P159="",$P159="Closed",$P159="On track"),"",IF($P159="Critical",3000,2000)+$N159+ROW()/100000)</f>
        <v/>
      </c>
      <c r="S159" s="29" t="str">
        <f aca="false">IF($R159="","","draft Jira update for "&amp;$A159)</f>
        <v/>
      </c>
      <c r="T159" s="29" t="str">
        <f aca="false">IF($A159="","",HYPERLINK(JiraSite&amp;"/browse/"&amp;$A159,"open"))</f>
        <v/>
      </c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7"/>
      <c r="H160" s="27"/>
      <c r="I160" s="27"/>
      <c r="J160" s="24"/>
      <c r="K160" s="24"/>
      <c r="L160" s="24"/>
      <c r="M160" s="29" t="str">
        <f aca="false">IF($A160="","",IFERROR(INDEX(MapStage,MATCH($C160,MapStatus,0)),"Unmapped"))</f>
        <v/>
      </c>
      <c r="N160" s="29" t="str">
        <f aca="false">IF($A160="","",AsOf-$H160)</f>
        <v/>
      </c>
      <c r="O160" s="29" t="str">
        <f aca="false">IF(OR($M160="",$M160="Closed",$M160="Unmapped"),"",INDEX(StageStale,MATCH($M160,StageName,0)))</f>
        <v/>
      </c>
      <c r="P160" s="29" t="str">
        <f aca="false">IF($A160="","",IF($M160="Closed","Closed",IF($J160="Y","Critical",IF(AND($I160&lt;&gt;"",$I160&lt;AsOf),"Critical",IF($M160="Unmapped","Warning",IF($N160&gt;2*$O160,"Critical",IF($N160&gt;$O160,"Warning","On track")))))))</f>
        <v/>
      </c>
      <c r="Q160" s="29" t="str">
        <f aca="false">IF(OR($P160="",$P160="Closed",$P160="On track"),"",IF($J160="Y","Flagged as an impediment",IF(AND($I160&lt;&gt;"",$I160&lt;AsOf),"Past due since "&amp;TEXT($I160,"yyyy-mm-dd"),IF($M160="Unmapped","Status '"&amp;$C160&amp;"' is not in the Config map","No update in "&amp;$N160&amp;" days (limit "&amp;$O160&amp;")"))))</f>
        <v/>
      </c>
      <c r="R160" s="29" t="str">
        <f aca="false">IF(OR($P160="",$P160="Closed",$P160="On track"),"",IF($P160="Critical",3000,2000)+$N160+ROW()/100000)</f>
        <v/>
      </c>
      <c r="S160" s="29" t="str">
        <f aca="false">IF($R160="","","draft Jira update for "&amp;$A160)</f>
        <v/>
      </c>
      <c r="T160" s="29" t="str">
        <f aca="false">IF($A160="","",HYPERLINK(JiraSite&amp;"/browse/"&amp;$A160,"open"))</f>
        <v/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7"/>
      <c r="H161" s="27"/>
      <c r="I161" s="27"/>
      <c r="J161" s="24"/>
      <c r="K161" s="24"/>
      <c r="L161" s="24"/>
      <c r="M161" s="29" t="str">
        <f aca="false">IF($A161="","",IFERROR(INDEX(MapStage,MATCH($C161,MapStatus,0)),"Unmapped"))</f>
        <v/>
      </c>
      <c r="N161" s="29" t="str">
        <f aca="false">IF($A161="","",AsOf-$H161)</f>
        <v/>
      </c>
      <c r="O161" s="29" t="str">
        <f aca="false">IF(OR($M161="",$M161="Closed",$M161="Unmapped"),"",INDEX(StageStale,MATCH($M161,StageName,0)))</f>
        <v/>
      </c>
      <c r="P161" s="29" t="str">
        <f aca="false">IF($A161="","",IF($M161="Closed","Closed",IF($J161="Y","Critical",IF(AND($I161&lt;&gt;"",$I161&lt;AsOf),"Critical",IF($M161="Unmapped","Warning",IF($N161&gt;2*$O161,"Critical",IF($N161&gt;$O161,"Warning","On track")))))))</f>
        <v/>
      </c>
      <c r="Q161" s="29" t="str">
        <f aca="false">IF(OR($P161="",$P161="Closed",$P161="On track"),"",IF($J161="Y","Flagged as an impediment",IF(AND($I161&lt;&gt;"",$I161&lt;AsOf),"Past due since "&amp;TEXT($I161,"yyyy-mm-dd"),IF($M161="Unmapped","Status '"&amp;$C161&amp;"' is not in the Config map","No update in "&amp;$N161&amp;" days (limit "&amp;$O161&amp;")"))))</f>
        <v/>
      </c>
      <c r="R161" s="29" t="str">
        <f aca="false">IF(OR($P161="",$P161="Closed",$P161="On track"),"",IF($P161="Critical",3000,2000)+$N161+ROW()/100000)</f>
        <v/>
      </c>
      <c r="S161" s="29" t="str">
        <f aca="false">IF($R161="","","draft Jira update for "&amp;$A161)</f>
        <v/>
      </c>
      <c r="T161" s="29" t="str">
        <f aca="false">IF($A161="","",HYPERLINK(JiraSite&amp;"/browse/"&amp;$A161,"open"))</f>
        <v/>
      </c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7"/>
      <c r="H162" s="27"/>
      <c r="I162" s="27"/>
      <c r="J162" s="24"/>
      <c r="K162" s="24"/>
      <c r="L162" s="24"/>
      <c r="M162" s="29" t="str">
        <f aca="false">IF($A162="","",IFERROR(INDEX(MapStage,MATCH($C162,MapStatus,0)),"Unmapped"))</f>
        <v/>
      </c>
      <c r="N162" s="29" t="str">
        <f aca="false">IF($A162="","",AsOf-$H162)</f>
        <v/>
      </c>
      <c r="O162" s="29" t="str">
        <f aca="false">IF(OR($M162="",$M162="Closed",$M162="Unmapped"),"",INDEX(StageStale,MATCH($M162,StageName,0)))</f>
        <v/>
      </c>
      <c r="P162" s="29" t="str">
        <f aca="false">IF($A162="","",IF($M162="Closed","Closed",IF($J162="Y","Critical",IF(AND($I162&lt;&gt;"",$I162&lt;AsOf),"Critical",IF($M162="Unmapped","Warning",IF($N162&gt;2*$O162,"Critical",IF($N162&gt;$O162,"Warning","On track")))))))</f>
        <v/>
      </c>
      <c r="Q162" s="29" t="str">
        <f aca="false">IF(OR($P162="",$P162="Closed",$P162="On track"),"",IF($J162="Y","Flagged as an impediment",IF(AND($I162&lt;&gt;"",$I162&lt;AsOf),"Past due since "&amp;TEXT($I162,"yyyy-mm-dd"),IF($M162="Unmapped","Status '"&amp;$C162&amp;"' is not in the Config map","No update in "&amp;$N162&amp;" days (limit "&amp;$O162&amp;")"))))</f>
        <v/>
      </c>
      <c r="R162" s="29" t="str">
        <f aca="false">IF(OR($P162="",$P162="Closed",$P162="On track"),"",IF($P162="Critical",3000,2000)+$N162+ROW()/100000)</f>
        <v/>
      </c>
      <c r="S162" s="29" t="str">
        <f aca="false">IF($R162="","","draft Jira update for "&amp;$A162)</f>
        <v/>
      </c>
      <c r="T162" s="29" t="str">
        <f aca="false">IF($A162="","",HYPERLINK(JiraSite&amp;"/browse/"&amp;$A162,"open"))</f>
        <v/>
      </c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7"/>
      <c r="H163" s="27"/>
      <c r="I163" s="27"/>
      <c r="J163" s="24"/>
      <c r="K163" s="24"/>
      <c r="L163" s="24"/>
      <c r="M163" s="29" t="str">
        <f aca="false">IF($A163="","",IFERROR(INDEX(MapStage,MATCH($C163,MapStatus,0)),"Unmapped"))</f>
        <v/>
      </c>
      <c r="N163" s="29" t="str">
        <f aca="false">IF($A163="","",AsOf-$H163)</f>
        <v/>
      </c>
      <c r="O163" s="29" t="str">
        <f aca="false">IF(OR($M163="",$M163="Closed",$M163="Unmapped"),"",INDEX(StageStale,MATCH($M163,StageName,0)))</f>
        <v/>
      </c>
      <c r="P163" s="29" t="str">
        <f aca="false">IF($A163="","",IF($M163="Closed","Closed",IF($J163="Y","Critical",IF(AND($I163&lt;&gt;"",$I163&lt;AsOf),"Critical",IF($M163="Unmapped","Warning",IF($N163&gt;2*$O163,"Critical",IF($N163&gt;$O163,"Warning","On track")))))))</f>
        <v/>
      </c>
      <c r="Q163" s="29" t="str">
        <f aca="false">IF(OR($P163="",$P163="Closed",$P163="On track"),"",IF($J163="Y","Flagged as an impediment",IF(AND($I163&lt;&gt;"",$I163&lt;AsOf),"Past due since "&amp;TEXT($I163,"yyyy-mm-dd"),IF($M163="Unmapped","Status '"&amp;$C163&amp;"' is not in the Config map","No update in "&amp;$N163&amp;" days (limit "&amp;$O163&amp;")"))))</f>
        <v/>
      </c>
      <c r="R163" s="29" t="str">
        <f aca="false">IF(OR($P163="",$P163="Closed",$P163="On track"),"",IF($P163="Critical",3000,2000)+$N163+ROW()/100000)</f>
        <v/>
      </c>
      <c r="S163" s="29" t="str">
        <f aca="false">IF($R163="","","draft Jira update for "&amp;$A163)</f>
        <v/>
      </c>
      <c r="T163" s="29" t="str">
        <f aca="false">IF($A163="","",HYPERLINK(JiraSite&amp;"/browse/"&amp;$A163,"open"))</f>
        <v/>
      </c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7"/>
      <c r="H164" s="27"/>
      <c r="I164" s="27"/>
      <c r="J164" s="24"/>
      <c r="K164" s="24"/>
      <c r="L164" s="24"/>
      <c r="M164" s="29" t="str">
        <f aca="false">IF($A164="","",IFERROR(INDEX(MapStage,MATCH($C164,MapStatus,0)),"Unmapped"))</f>
        <v/>
      </c>
      <c r="N164" s="29" t="str">
        <f aca="false">IF($A164="","",AsOf-$H164)</f>
        <v/>
      </c>
      <c r="O164" s="29" t="str">
        <f aca="false">IF(OR($M164="",$M164="Closed",$M164="Unmapped"),"",INDEX(StageStale,MATCH($M164,StageName,0)))</f>
        <v/>
      </c>
      <c r="P164" s="29" t="str">
        <f aca="false">IF($A164="","",IF($M164="Closed","Closed",IF($J164="Y","Critical",IF(AND($I164&lt;&gt;"",$I164&lt;AsOf),"Critical",IF($M164="Unmapped","Warning",IF($N164&gt;2*$O164,"Critical",IF($N164&gt;$O164,"Warning","On track")))))))</f>
        <v/>
      </c>
      <c r="Q164" s="29" t="str">
        <f aca="false">IF(OR($P164="",$P164="Closed",$P164="On track"),"",IF($J164="Y","Flagged as an impediment",IF(AND($I164&lt;&gt;"",$I164&lt;AsOf),"Past due since "&amp;TEXT($I164,"yyyy-mm-dd"),IF($M164="Unmapped","Status '"&amp;$C164&amp;"' is not in the Config map","No update in "&amp;$N164&amp;" days (limit "&amp;$O164&amp;")"))))</f>
        <v/>
      </c>
      <c r="R164" s="29" t="str">
        <f aca="false">IF(OR($P164="",$P164="Closed",$P164="On track"),"",IF($P164="Critical",3000,2000)+$N164+ROW()/100000)</f>
        <v/>
      </c>
      <c r="S164" s="29" t="str">
        <f aca="false">IF($R164="","","draft Jira update for "&amp;$A164)</f>
        <v/>
      </c>
      <c r="T164" s="29" t="str">
        <f aca="false">IF($A164="","",HYPERLINK(JiraSite&amp;"/browse/"&amp;$A164,"open"))</f>
        <v/>
      </c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7"/>
      <c r="H165" s="27"/>
      <c r="I165" s="27"/>
      <c r="J165" s="24"/>
      <c r="K165" s="24"/>
      <c r="L165" s="24"/>
      <c r="M165" s="29" t="str">
        <f aca="false">IF($A165="","",IFERROR(INDEX(MapStage,MATCH($C165,MapStatus,0)),"Unmapped"))</f>
        <v/>
      </c>
      <c r="N165" s="29" t="str">
        <f aca="false">IF($A165="","",AsOf-$H165)</f>
        <v/>
      </c>
      <c r="O165" s="29" t="str">
        <f aca="false">IF(OR($M165="",$M165="Closed",$M165="Unmapped"),"",INDEX(StageStale,MATCH($M165,StageName,0)))</f>
        <v/>
      </c>
      <c r="P165" s="29" t="str">
        <f aca="false">IF($A165="","",IF($M165="Closed","Closed",IF($J165="Y","Critical",IF(AND($I165&lt;&gt;"",$I165&lt;AsOf),"Critical",IF($M165="Unmapped","Warning",IF($N165&gt;2*$O165,"Critical",IF($N165&gt;$O165,"Warning","On track")))))))</f>
        <v/>
      </c>
      <c r="Q165" s="29" t="str">
        <f aca="false">IF(OR($P165="",$P165="Closed",$P165="On track"),"",IF($J165="Y","Flagged as an impediment",IF(AND($I165&lt;&gt;"",$I165&lt;AsOf),"Past due since "&amp;TEXT($I165,"yyyy-mm-dd"),IF($M165="Unmapped","Status '"&amp;$C165&amp;"' is not in the Config map","No update in "&amp;$N165&amp;" days (limit "&amp;$O165&amp;")"))))</f>
        <v/>
      </c>
      <c r="R165" s="29" t="str">
        <f aca="false">IF(OR($P165="",$P165="Closed",$P165="On track"),"",IF($P165="Critical",3000,2000)+$N165+ROW()/100000)</f>
        <v/>
      </c>
      <c r="S165" s="29" t="str">
        <f aca="false">IF($R165="","","draft Jira update for "&amp;$A165)</f>
        <v/>
      </c>
      <c r="T165" s="29" t="str">
        <f aca="false">IF($A165="","",HYPERLINK(JiraSite&amp;"/browse/"&amp;$A165,"open"))</f>
        <v/>
      </c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7"/>
      <c r="H166" s="27"/>
      <c r="I166" s="27"/>
      <c r="J166" s="24"/>
      <c r="K166" s="24"/>
      <c r="L166" s="24"/>
      <c r="M166" s="29" t="str">
        <f aca="false">IF($A166="","",IFERROR(INDEX(MapStage,MATCH($C166,MapStatus,0)),"Unmapped"))</f>
        <v/>
      </c>
      <c r="N166" s="29" t="str">
        <f aca="false">IF($A166="","",AsOf-$H166)</f>
        <v/>
      </c>
      <c r="O166" s="29" t="str">
        <f aca="false">IF(OR($M166="",$M166="Closed",$M166="Unmapped"),"",INDEX(StageStale,MATCH($M166,StageName,0)))</f>
        <v/>
      </c>
      <c r="P166" s="29" t="str">
        <f aca="false">IF($A166="","",IF($M166="Closed","Closed",IF($J166="Y","Critical",IF(AND($I166&lt;&gt;"",$I166&lt;AsOf),"Critical",IF($M166="Unmapped","Warning",IF($N166&gt;2*$O166,"Critical",IF($N166&gt;$O166,"Warning","On track")))))))</f>
        <v/>
      </c>
      <c r="Q166" s="29" t="str">
        <f aca="false">IF(OR($P166="",$P166="Closed",$P166="On track"),"",IF($J166="Y","Flagged as an impediment",IF(AND($I166&lt;&gt;"",$I166&lt;AsOf),"Past due since "&amp;TEXT($I166,"yyyy-mm-dd"),IF($M166="Unmapped","Status '"&amp;$C166&amp;"' is not in the Config map","No update in "&amp;$N166&amp;" days (limit "&amp;$O166&amp;")"))))</f>
        <v/>
      </c>
      <c r="R166" s="29" t="str">
        <f aca="false">IF(OR($P166="",$P166="Closed",$P166="On track"),"",IF($P166="Critical",3000,2000)+$N166+ROW()/100000)</f>
        <v/>
      </c>
      <c r="S166" s="29" t="str">
        <f aca="false">IF($R166="","","draft Jira update for "&amp;$A166)</f>
        <v/>
      </c>
      <c r="T166" s="29" t="str">
        <f aca="false">IF($A166="","",HYPERLINK(JiraSite&amp;"/browse/"&amp;$A166,"open"))</f>
        <v/>
      </c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7"/>
      <c r="H167" s="27"/>
      <c r="I167" s="27"/>
      <c r="J167" s="24"/>
      <c r="K167" s="24"/>
      <c r="L167" s="24"/>
      <c r="M167" s="29" t="str">
        <f aca="false">IF($A167="","",IFERROR(INDEX(MapStage,MATCH($C167,MapStatus,0)),"Unmapped"))</f>
        <v/>
      </c>
      <c r="N167" s="29" t="str">
        <f aca="false">IF($A167="","",AsOf-$H167)</f>
        <v/>
      </c>
      <c r="O167" s="29" t="str">
        <f aca="false">IF(OR($M167="",$M167="Closed",$M167="Unmapped"),"",INDEX(StageStale,MATCH($M167,StageName,0)))</f>
        <v/>
      </c>
      <c r="P167" s="29" t="str">
        <f aca="false">IF($A167="","",IF($M167="Closed","Closed",IF($J167="Y","Critical",IF(AND($I167&lt;&gt;"",$I167&lt;AsOf),"Critical",IF($M167="Unmapped","Warning",IF($N167&gt;2*$O167,"Critical",IF($N167&gt;$O167,"Warning","On track")))))))</f>
        <v/>
      </c>
      <c r="Q167" s="29" t="str">
        <f aca="false">IF(OR($P167="",$P167="Closed",$P167="On track"),"",IF($J167="Y","Flagged as an impediment",IF(AND($I167&lt;&gt;"",$I167&lt;AsOf),"Past due since "&amp;TEXT($I167,"yyyy-mm-dd"),IF($M167="Unmapped","Status '"&amp;$C167&amp;"' is not in the Config map","No update in "&amp;$N167&amp;" days (limit "&amp;$O167&amp;")"))))</f>
        <v/>
      </c>
      <c r="R167" s="29" t="str">
        <f aca="false">IF(OR($P167="",$P167="Closed",$P167="On track"),"",IF($P167="Critical",3000,2000)+$N167+ROW()/100000)</f>
        <v/>
      </c>
      <c r="S167" s="29" t="str">
        <f aca="false">IF($R167="","","draft Jira update for "&amp;$A167)</f>
        <v/>
      </c>
      <c r="T167" s="29" t="str">
        <f aca="false">IF($A167="","",HYPERLINK(JiraSite&amp;"/browse/"&amp;$A167,"open"))</f>
        <v/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7"/>
      <c r="H168" s="27"/>
      <c r="I168" s="27"/>
      <c r="J168" s="24"/>
      <c r="K168" s="24"/>
      <c r="L168" s="24"/>
      <c r="M168" s="29" t="str">
        <f aca="false">IF($A168="","",IFERROR(INDEX(MapStage,MATCH($C168,MapStatus,0)),"Unmapped"))</f>
        <v/>
      </c>
      <c r="N168" s="29" t="str">
        <f aca="false">IF($A168="","",AsOf-$H168)</f>
        <v/>
      </c>
      <c r="O168" s="29" t="str">
        <f aca="false">IF(OR($M168="",$M168="Closed",$M168="Unmapped"),"",INDEX(StageStale,MATCH($M168,StageName,0)))</f>
        <v/>
      </c>
      <c r="P168" s="29" t="str">
        <f aca="false">IF($A168="","",IF($M168="Closed","Closed",IF($J168="Y","Critical",IF(AND($I168&lt;&gt;"",$I168&lt;AsOf),"Critical",IF($M168="Unmapped","Warning",IF($N168&gt;2*$O168,"Critical",IF($N168&gt;$O168,"Warning","On track")))))))</f>
        <v/>
      </c>
      <c r="Q168" s="29" t="str">
        <f aca="false">IF(OR($P168="",$P168="Closed",$P168="On track"),"",IF($J168="Y","Flagged as an impediment",IF(AND($I168&lt;&gt;"",$I168&lt;AsOf),"Past due since "&amp;TEXT($I168,"yyyy-mm-dd"),IF($M168="Unmapped","Status '"&amp;$C168&amp;"' is not in the Config map","No update in "&amp;$N168&amp;" days (limit "&amp;$O168&amp;")"))))</f>
        <v/>
      </c>
      <c r="R168" s="29" t="str">
        <f aca="false">IF(OR($P168="",$P168="Closed",$P168="On track"),"",IF($P168="Critical",3000,2000)+$N168+ROW()/100000)</f>
        <v/>
      </c>
      <c r="S168" s="29" t="str">
        <f aca="false">IF($R168="","","draft Jira update for "&amp;$A168)</f>
        <v/>
      </c>
      <c r="T168" s="29" t="str">
        <f aca="false">IF($A168="","",HYPERLINK(JiraSite&amp;"/browse/"&amp;$A168,"open"))</f>
        <v/>
      </c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7"/>
      <c r="H169" s="27"/>
      <c r="I169" s="27"/>
      <c r="J169" s="24"/>
      <c r="K169" s="24"/>
      <c r="L169" s="24"/>
      <c r="M169" s="29" t="str">
        <f aca="false">IF($A169="","",IFERROR(INDEX(MapStage,MATCH($C169,MapStatus,0)),"Unmapped"))</f>
        <v/>
      </c>
      <c r="N169" s="29" t="str">
        <f aca="false">IF($A169="","",AsOf-$H169)</f>
        <v/>
      </c>
      <c r="O169" s="29" t="str">
        <f aca="false">IF(OR($M169="",$M169="Closed",$M169="Unmapped"),"",INDEX(StageStale,MATCH($M169,StageName,0)))</f>
        <v/>
      </c>
      <c r="P169" s="29" t="str">
        <f aca="false">IF($A169="","",IF($M169="Closed","Closed",IF($J169="Y","Critical",IF(AND($I169&lt;&gt;"",$I169&lt;AsOf),"Critical",IF($M169="Unmapped","Warning",IF($N169&gt;2*$O169,"Critical",IF($N169&gt;$O169,"Warning","On track")))))))</f>
        <v/>
      </c>
      <c r="Q169" s="29" t="str">
        <f aca="false">IF(OR($P169="",$P169="Closed",$P169="On track"),"",IF($J169="Y","Flagged as an impediment",IF(AND($I169&lt;&gt;"",$I169&lt;AsOf),"Past due since "&amp;TEXT($I169,"yyyy-mm-dd"),IF($M169="Unmapped","Status '"&amp;$C169&amp;"' is not in the Config map","No update in "&amp;$N169&amp;" days (limit "&amp;$O169&amp;")"))))</f>
        <v/>
      </c>
      <c r="R169" s="29" t="str">
        <f aca="false">IF(OR($P169="",$P169="Closed",$P169="On track"),"",IF($P169="Critical",3000,2000)+$N169+ROW()/100000)</f>
        <v/>
      </c>
      <c r="S169" s="29" t="str">
        <f aca="false">IF($R169="","","draft Jira update for "&amp;$A169)</f>
        <v/>
      </c>
      <c r="T169" s="29" t="str">
        <f aca="false">IF($A169="","",HYPERLINK(JiraSite&amp;"/browse/"&amp;$A169,"open"))</f>
        <v/>
      </c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7"/>
      <c r="H170" s="27"/>
      <c r="I170" s="27"/>
      <c r="J170" s="24"/>
      <c r="K170" s="24"/>
      <c r="L170" s="24"/>
      <c r="M170" s="29" t="str">
        <f aca="false">IF($A170="","",IFERROR(INDEX(MapStage,MATCH($C170,MapStatus,0)),"Unmapped"))</f>
        <v/>
      </c>
      <c r="N170" s="29" t="str">
        <f aca="false">IF($A170="","",AsOf-$H170)</f>
        <v/>
      </c>
      <c r="O170" s="29" t="str">
        <f aca="false">IF(OR($M170="",$M170="Closed",$M170="Unmapped"),"",INDEX(StageStale,MATCH($M170,StageName,0)))</f>
        <v/>
      </c>
      <c r="P170" s="29" t="str">
        <f aca="false">IF($A170="","",IF($M170="Closed","Closed",IF($J170="Y","Critical",IF(AND($I170&lt;&gt;"",$I170&lt;AsOf),"Critical",IF($M170="Unmapped","Warning",IF($N170&gt;2*$O170,"Critical",IF($N170&gt;$O170,"Warning","On track")))))))</f>
        <v/>
      </c>
      <c r="Q170" s="29" t="str">
        <f aca="false">IF(OR($P170="",$P170="Closed",$P170="On track"),"",IF($J170="Y","Flagged as an impediment",IF(AND($I170&lt;&gt;"",$I170&lt;AsOf),"Past due since "&amp;TEXT($I170,"yyyy-mm-dd"),IF($M170="Unmapped","Status '"&amp;$C170&amp;"' is not in the Config map","No update in "&amp;$N170&amp;" days (limit "&amp;$O170&amp;")"))))</f>
        <v/>
      </c>
      <c r="R170" s="29" t="str">
        <f aca="false">IF(OR($P170="",$P170="Closed",$P170="On track"),"",IF($P170="Critical",3000,2000)+$N170+ROW()/100000)</f>
        <v/>
      </c>
      <c r="S170" s="29" t="str">
        <f aca="false">IF($R170="","","draft Jira update for "&amp;$A170)</f>
        <v/>
      </c>
      <c r="T170" s="29" t="str">
        <f aca="false">IF($A170="","",HYPERLINK(JiraSite&amp;"/browse/"&amp;$A170,"open"))</f>
        <v/>
      </c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7"/>
      <c r="H171" s="27"/>
      <c r="I171" s="27"/>
      <c r="J171" s="24"/>
      <c r="K171" s="24"/>
      <c r="L171" s="24"/>
      <c r="M171" s="29" t="str">
        <f aca="false">IF($A171="","",IFERROR(INDEX(MapStage,MATCH($C171,MapStatus,0)),"Unmapped"))</f>
        <v/>
      </c>
      <c r="N171" s="29" t="str">
        <f aca="false">IF($A171="","",AsOf-$H171)</f>
        <v/>
      </c>
      <c r="O171" s="29" t="str">
        <f aca="false">IF(OR($M171="",$M171="Closed",$M171="Unmapped"),"",INDEX(StageStale,MATCH($M171,StageName,0)))</f>
        <v/>
      </c>
      <c r="P171" s="29" t="str">
        <f aca="false">IF($A171="","",IF($M171="Closed","Closed",IF($J171="Y","Critical",IF(AND($I171&lt;&gt;"",$I171&lt;AsOf),"Critical",IF($M171="Unmapped","Warning",IF($N171&gt;2*$O171,"Critical",IF($N171&gt;$O171,"Warning","On track")))))))</f>
        <v/>
      </c>
      <c r="Q171" s="29" t="str">
        <f aca="false">IF(OR($P171="",$P171="Closed",$P171="On track"),"",IF($J171="Y","Flagged as an impediment",IF(AND($I171&lt;&gt;"",$I171&lt;AsOf),"Past due since "&amp;TEXT($I171,"yyyy-mm-dd"),IF($M171="Unmapped","Status '"&amp;$C171&amp;"' is not in the Config map","No update in "&amp;$N171&amp;" days (limit "&amp;$O171&amp;")"))))</f>
        <v/>
      </c>
      <c r="R171" s="29" t="str">
        <f aca="false">IF(OR($P171="",$P171="Closed",$P171="On track"),"",IF($P171="Critical",3000,2000)+$N171+ROW()/100000)</f>
        <v/>
      </c>
      <c r="S171" s="29" t="str">
        <f aca="false">IF($R171="","","draft Jira update for "&amp;$A171)</f>
        <v/>
      </c>
      <c r="T171" s="29" t="str">
        <f aca="false">IF($A171="","",HYPERLINK(JiraSite&amp;"/browse/"&amp;$A171,"open"))</f>
        <v/>
      </c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7"/>
      <c r="H172" s="27"/>
      <c r="I172" s="27"/>
      <c r="J172" s="24"/>
      <c r="K172" s="24"/>
      <c r="L172" s="24"/>
      <c r="M172" s="29" t="str">
        <f aca="false">IF($A172="","",IFERROR(INDEX(MapStage,MATCH($C172,MapStatus,0)),"Unmapped"))</f>
        <v/>
      </c>
      <c r="N172" s="29" t="str">
        <f aca="false">IF($A172="","",AsOf-$H172)</f>
        <v/>
      </c>
      <c r="O172" s="29" t="str">
        <f aca="false">IF(OR($M172="",$M172="Closed",$M172="Unmapped"),"",INDEX(StageStale,MATCH($M172,StageName,0)))</f>
        <v/>
      </c>
      <c r="P172" s="29" t="str">
        <f aca="false">IF($A172="","",IF($M172="Closed","Closed",IF($J172="Y","Critical",IF(AND($I172&lt;&gt;"",$I172&lt;AsOf),"Critical",IF($M172="Unmapped","Warning",IF($N172&gt;2*$O172,"Critical",IF($N172&gt;$O172,"Warning","On track")))))))</f>
        <v/>
      </c>
      <c r="Q172" s="29" t="str">
        <f aca="false">IF(OR($P172="",$P172="Closed",$P172="On track"),"",IF($J172="Y","Flagged as an impediment",IF(AND($I172&lt;&gt;"",$I172&lt;AsOf),"Past due since "&amp;TEXT($I172,"yyyy-mm-dd"),IF($M172="Unmapped","Status '"&amp;$C172&amp;"' is not in the Config map","No update in "&amp;$N172&amp;" days (limit "&amp;$O172&amp;")"))))</f>
        <v/>
      </c>
      <c r="R172" s="29" t="str">
        <f aca="false">IF(OR($P172="",$P172="Closed",$P172="On track"),"",IF($P172="Critical",3000,2000)+$N172+ROW()/100000)</f>
        <v/>
      </c>
      <c r="S172" s="29" t="str">
        <f aca="false">IF($R172="","","draft Jira update for "&amp;$A172)</f>
        <v/>
      </c>
      <c r="T172" s="29" t="str">
        <f aca="false">IF($A172="","",HYPERLINK(JiraSite&amp;"/browse/"&amp;$A172,"open"))</f>
        <v/>
      </c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7"/>
      <c r="H173" s="27"/>
      <c r="I173" s="27"/>
      <c r="J173" s="24"/>
      <c r="K173" s="24"/>
      <c r="L173" s="24"/>
      <c r="M173" s="29" t="str">
        <f aca="false">IF($A173="","",IFERROR(INDEX(MapStage,MATCH($C173,MapStatus,0)),"Unmapped"))</f>
        <v/>
      </c>
      <c r="N173" s="29" t="str">
        <f aca="false">IF($A173="","",AsOf-$H173)</f>
        <v/>
      </c>
      <c r="O173" s="29" t="str">
        <f aca="false">IF(OR($M173="",$M173="Closed",$M173="Unmapped"),"",INDEX(StageStale,MATCH($M173,StageName,0)))</f>
        <v/>
      </c>
      <c r="P173" s="29" t="str">
        <f aca="false">IF($A173="","",IF($M173="Closed","Closed",IF($J173="Y","Critical",IF(AND($I173&lt;&gt;"",$I173&lt;AsOf),"Critical",IF($M173="Unmapped","Warning",IF($N173&gt;2*$O173,"Critical",IF($N173&gt;$O173,"Warning","On track")))))))</f>
        <v/>
      </c>
      <c r="Q173" s="29" t="str">
        <f aca="false">IF(OR($P173="",$P173="Closed",$P173="On track"),"",IF($J173="Y","Flagged as an impediment",IF(AND($I173&lt;&gt;"",$I173&lt;AsOf),"Past due since "&amp;TEXT($I173,"yyyy-mm-dd"),IF($M173="Unmapped","Status '"&amp;$C173&amp;"' is not in the Config map","No update in "&amp;$N173&amp;" days (limit "&amp;$O173&amp;")"))))</f>
        <v/>
      </c>
      <c r="R173" s="29" t="str">
        <f aca="false">IF(OR($P173="",$P173="Closed",$P173="On track"),"",IF($P173="Critical",3000,2000)+$N173+ROW()/100000)</f>
        <v/>
      </c>
      <c r="S173" s="29" t="str">
        <f aca="false">IF($R173="","","draft Jira update for "&amp;$A173)</f>
        <v/>
      </c>
      <c r="T173" s="29" t="str">
        <f aca="false">IF($A173="","",HYPERLINK(JiraSite&amp;"/browse/"&amp;$A173,"open"))</f>
        <v/>
      </c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7"/>
      <c r="H174" s="27"/>
      <c r="I174" s="27"/>
      <c r="J174" s="24"/>
      <c r="K174" s="24"/>
      <c r="L174" s="24"/>
      <c r="M174" s="29" t="str">
        <f aca="false">IF($A174="","",IFERROR(INDEX(MapStage,MATCH($C174,MapStatus,0)),"Unmapped"))</f>
        <v/>
      </c>
      <c r="N174" s="29" t="str">
        <f aca="false">IF($A174="","",AsOf-$H174)</f>
        <v/>
      </c>
      <c r="O174" s="29" t="str">
        <f aca="false">IF(OR($M174="",$M174="Closed",$M174="Unmapped"),"",INDEX(StageStale,MATCH($M174,StageName,0)))</f>
        <v/>
      </c>
      <c r="P174" s="29" t="str">
        <f aca="false">IF($A174="","",IF($M174="Closed","Closed",IF($J174="Y","Critical",IF(AND($I174&lt;&gt;"",$I174&lt;AsOf),"Critical",IF($M174="Unmapped","Warning",IF($N174&gt;2*$O174,"Critical",IF($N174&gt;$O174,"Warning","On track")))))))</f>
        <v/>
      </c>
      <c r="Q174" s="29" t="str">
        <f aca="false">IF(OR($P174="",$P174="Closed",$P174="On track"),"",IF($J174="Y","Flagged as an impediment",IF(AND($I174&lt;&gt;"",$I174&lt;AsOf),"Past due since "&amp;TEXT($I174,"yyyy-mm-dd"),IF($M174="Unmapped","Status '"&amp;$C174&amp;"' is not in the Config map","No update in "&amp;$N174&amp;" days (limit "&amp;$O174&amp;")"))))</f>
        <v/>
      </c>
      <c r="R174" s="29" t="str">
        <f aca="false">IF(OR($P174="",$P174="Closed",$P174="On track"),"",IF($P174="Critical",3000,2000)+$N174+ROW()/100000)</f>
        <v/>
      </c>
      <c r="S174" s="29" t="str">
        <f aca="false">IF($R174="","","draft Jira update for "&amp;$A174)</f>
        <v/>
      </c>
      <c r="T174" s="29" t="str">
        <f aca="false">IF($A174="","",HYPERLINK(JiraSite&amp;"/browse/"&amp;$A174,"open"))</f>
        <v/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7"/>
      <c r="H175" s="27"/>
      <c r="I175" s="27"/>
      <c r="J175" s="24"/>
      <c r="K175" s="24"/>
      <c r="L175" s="24"/>
      <c r="M175" s="29" t="str">
        <f aca="false">IF($A175="","",IFERROR(INDEX(MapStage,MATCH($C175,MapStatus,0)),"Unmapped"))</f>
        <v/>
      </c>
      <c r="N175" s="29" t="str">
        <f aca="false">IF($A175="","",AsOf-$H175)</f>
        <v/>
      </c>
      <c r="O175" s="29" t="str">
        <f aca="false">IF(OR($M175="",$M175="Closed",$M175="Unmapped"),"",INDEX(StageStale,MATCH($M175,StageName,0)))</f>
        <v/>
      </c>
      <c r="P175" s="29" t="str">
        <f aca="false">IF($A175="","",IF($M175="Closed","Closed",IF($J175="Y","Critical",IF(AND($I175&lt;&gt;"",$I175&lt;AsOf),"Critical",IF($M175="Unmapped","Warning",IF($N175&gt;2*$O175,"Critical",IF($N175&gt;$O175,"Warning","On track")))))))</f>
        <v/>
      </c>
      <c r="Q175" s="29" t="str">
        <f aca="false">IF(OR($P175="",$P175="Closed",$P175="On track"),"",IF($J175="Y","Flagged as an impediment",IF(AND($I175&lt;&gt;"",$I175&lt;AsOf),"Past due since "&amp;TEXT($I175,"yyyy-mm-dd"),IF($M175="Unmapped","Status '"&amp;$C175&amp;"' is not in the Config map","No update in "&amp;$N175&amp;" days (limit "&amp;$O175&amp;")"))))</f>
        <v/>
      </c>
      <c r="R175" s="29" t="str">
        <f aca="false">IF(OR($P175="",$P175="Closed",$P175="On track"),"",IF($P175="Critical",3000,2000)+$N175+ROW()/100000)</f>
        <v/>
      </c>
      <c r="S175" s="29" t="str">
        <f aca="false">IF($R175="","","draft Jira update for "&amp;$A175)</f>
        <v/>
      </c>
      <c r="T175" s="29" t="str">
        <f aca="false">IF($A175="","",HYPERLINK(JiraSite&amp;"/browse/"&amp;$A175,"open"))</f>
        <v/>
      </c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7"/>
      <c r="H176" s="27"/>
      <c r="I176" s="27"/>
      <c r="J176" s="24"/>
      <c r="K176" s="24"/>
      <c r="L176" s="24"/>
      <c r="M176" s="29" t="str">
        <f aca="false">IF($A176="","",IFERROR(INDEX(MapStage,MATCH($C176,MapStatus,0)),"Unmapped"))</f>
        <v/>
      </c>
      <c r="N176" s="29" t="str">
        <f aca="false">IF($A176="","",AsOf-$H176)</f>
        <v/>
      </c>
      <c r="O176" s="29" t="str">
        <f aca="false">IF(OR($M176="",$M176="Closed",$M176="Unmapped"),"",INDEX(StageStale,MATCH($M176,StageName,0)))</f>
        <v/>
      </c>
      <c r="P176" s="29" t="str">
        <f aca="false">IF($A176="","",IF($M176="Closed","Closed",IF($J176="Y","Critical",IF(AND($I176&lt;&gt;"",$I176&lt;AsOf),"Critical",IF($M176="Unmapped","Warning",IF($N176&gt;2*$O176,"Critical",IF($N176&gt;$O176,"Warning","On track")))))))</f>
        <v/>
      </c>
      <c r="Q176" s="29" t="str">
        <f aca="false">IF(OR($P176="",$P176="Closed",$P176="On track"),"",IF($J176="Y","Flagged as an impediment",IF(AND($I176&lt;&gt;"",$I176&lt;AsOf),"Past due since "&amp;TEXT($I176,"yyyy-mm-dd"),IF($M176="Unmapped","Status '"&amp;$C176&amp;"' is not in the Config map","No update in "&amp;$N176&amp;" days (limit "&amp;$O176&amp;")"))))</f>
        <v/>
      </c>
      <c r="R176" s="29" t="str">
        <f aca="false">IF(OR($P176="",$P176="Closed",$P176="On track"),"",IF($P176="Critical",3000,2000)+$N176+ROW()/100000)</f>
        <v/>
      </c>
      <c r="S176" s="29" t="str">
        <f aca="false">IF($R176="","","draft Jira update for "&amp;$A176)</f>
        <v/>
      </c>
      <c r="T176" s="29" t="str">
        <f aca="false">IF($A176="","",HYPERLINK(JiraSite&amp;"/browse/"&amp;$A176,"open"))</f>
        <v/>
      </c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7"/>
      <c r="H177" s="27"/>
      <c r="I177" s="27"/>
      <c r="J177" s="24"/>
      <c r="K177" s="24"/>
      <c r="L177" s="24"/>
      <c r="M177" s="29" t="str">
        <f aca="false">IF($A177="","",IFERROR(INDEX(MapStage,MATCH($C177,MapStatus,0)),"Unmapped"))</f>
        <v/>
      </c>
      <c r="N177" s="29" t="str">
        <f aca="false">IF($A177="","",AsOf-$H177)</f>
        <v/>
      </c>
      <c r="O177" s="29" t="str">
        <f aca="false">IF(OR($M177="",$M177="Closed",$M177="Unmapped"),"",INDEX(StageStale,MATCH($M177,StageName,0)))</f>
        <v/>
      </c>
      <c r="P177" s="29" t="str">
        <f aca="false">IF($A177="","",IF($M177="Closed","Closed",IF($J177="Y","Critical",IF(AND($I177&lt;&gt;"",$I177&lt;AsOf),"Critical",IF($M177="Unmapped","Warning",IF($N177&gt;2*$O177,"Critical",IF($N177&gt;$O177,"Warning","On track")))))))</f>
        <v/>
      </c>
      <c r="Q177" s="29" t="str">
        <f aca="false">IF(OR($P177="",$P177="Closed",$P177="On track"),"",IF($J177="Y","Flagged as an impediment",IF(AND($I177&lt;&gt;"",$I177&lt;AsOf),"Past due since "&amp;TEXT($I177,"yyyy-mm-dd"),IF($M177="Unmapped","Status '"&amp;$C177&amp;"' is not in the Config map","No update in "&amp;$N177&amp;" days (limit "&amp;$O177&amp;")"))))</f>
        <v/>
      </c>
      <c r="R177" s="29" t="str">
        <f aca="false">IF(OR($P177="",$P177="Closed",$P177="On track"),"",IF($P177="Critical",3000,2000)+$N177+ROW()/100000)</f>
        <v/>
      </c>
      <c r="S177" s="29" t="str">
        <f aca="false">IF($R177="","","draft Jira update for "&amp;$A177)</f>
        <v/>
      </c>
      <c r="T177" s="29" t="str">
        <f aca="false">IF($A177="","",HYPERLINK(JiraSite&amp;"/browse/"&amp;$A177,"open"))</f>
        <v/>
      </c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7"/>
      <c r="H178" s="27"/>
      <c r="I178" s="27"/>
      <c r="J178" s="24"/>
      <c r="K178" s="24"/>
      <c r="L178" s="24"/>
      <c r="M178" s="29" t="str">
        <f aca="false">IF($A178="","",IFERROR(INDEX(MapStage,MATCH($C178,MapStatus,0)),"Unmapped"))</f>
        <v/>
      </c>
      <c r="N178" s="29" t="str">
        <f aca="false">IF($A178="","",AsOf-$H178)</f>
        <v/>
      </c>
      <c r="O178" s="29" t="str">
        <f aca="false">IF(OR($M178="",$M178="Closed",$M178="Unmapped"),"",INDEX(StageStale,MATCH($M178,StageName,0)))</f>
        <v/>
      </c>
      <c r="P178" s="29" t="str">
        <f aca="false">IF($A178="","",IF($M178="Closed","Closed",IF($J178="Y","Critical",IF(AND($I178&lt;&gt;"",$I178&lt;AsOf),"Critical",IF($M178="Unmapped","Warning",IF($N178&gt;2*$O178,"Critical",IF($N178&gt;$O178,"Warning","On track")))))))</f>
        <v/>
      </c>
      <c r="Q178" s="29" t="str">
        <f aca="false">IF(OR($P178="",$P178="Closed",$P178="On track"),"",IF($J178="Y","Flagged as an impediment",IF(AND($I178&lt;&gt;"",$I178&lt;AsOf),"Past due since "&amp;TEXT($I178,"yyyy-mm-dd"),IF($M178="Unmapped","Status '"&amp;$C178&amp;"' is not in the Config map","No update in "&amp;$N178&amp;" days (limit "&amp;$O178&amp;")"))))</f>
        <v/>
      </c>
      <c r="R178" s="29" t="str">
        <f aca="false">IF(OR($P178="",$P178="Closed",$P178="On track"),"",IF($P178="Critical",3000,2000)+$N178+ROW()/100000)</f>
        <v/>
      </c>
      <c r="S178" s="29" t="str">
        <f aca="false">IF($R178="","","draft Jira update for "&amp;$A178)</f>
        <v/>
      </c>
      <c r="T178" s="29" t="str">
        <f aca="false">IF($A178="","",HYPERLINK(JiraSite&amp;"/browse/"&amp;$A178,"open"))</f>
        <v/>
      </c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7"/>
      <c r="H179" s="27"/>
      <c r="I179" s="27"/>
      <c r="J179" s="24"/>
      <c r="K179" s="24"/>
      <c r="L179" s="24"/>
      <c r="M179" s="29" t="str">
        <f aca="false">IF($A179="","",IFERROR(INDEX(MapStage,MATCH($C179,MapStatus,0)),"Unmapped"))</f>
        <v/>
      </c>
      <c r="N179" s="29" t="str">
        <f aca="false">IF($A179="","",AsOf-$H179)</f>
        <v/>
      </c>
      <c r="O179" s="29" t="str">
        <f aca="false">IF(OR($M179="",$M179="Closed",$M179="Unmapped"),"",INDEX(StageStale,MATCH($M179,StageName,0)))</f>
        <v/>
      </c>
      <c r="P179" s="29" t="str">
        <f aca="false">IF($A179="","",IF($M179="Closed","Closed",IF($J179="Y","Critical",IF(AND($I179&lt;&gt;"",$I179&lt;AsOf),"Critical",IF($M179="Unmapped","Warning",IF($N179&gt;2*$O179,"Critical",IF($N179&gt;$O179,"Warning","On track")))))))</f>
        <v/>
      </c>
      <c r="Q179" s="29" t="str">
        <f aca="false">IF(OR($P179="",$P179="Closed",$P179="On track"),"",IF($J179="Y","Flagged as an impediment",IF(AND($I179&lt;&gt;"",$I179&lt;AsOf),"Past due since "&amp;TEXT($I179,"yyyy-mm-dd"),IF($M179="Unmapped","Status '"&amp;$C179&amp;"' is not in the Config map","No update in "&amp;$N179&amp;" days (limit "&amp;$O179&amp;")"))))</f>
        <v/>
      </c>
      <c r="R179" s="29" t="str">
        <f aca="false">IF(OR($P179="",$P179="Closed",$P179="On track"),"",IF($P179="Critical",3000,2000)+$N179+ROW()/100000)</f>
        <v/>
      </c>
      <c r="S179" s="29" t="str">
        <f aca="false">IF($R179="","","draft Jira update for "&amp;$A179)</f>
        <v/>
      </c>
      <c r="T179" s="29" t="str">
        <f aca="false">IF($A179="","",HYPERLINK(JiraSite&amp;"/browse/"&amp;$A179,"open"))</f>
        <v/>
      </c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7"/>
      <c r="H180" s="27"/>
      <c r="I180" s="27"/>
      <c r="J180" s="24"/>
      <c r="K180" s="24"/>
      <c r="L180" s="24"/>
      <c r="M180" s="29" t="str">
        <f aca="false">IF($A180="","",IFERROR(INDEX(MapStage,MATCH($C180,MapStatus,0)),"Unmapped"))</f>
        <v/>
      </c>
      <c r="N180" s="29" t="str">
        <f aca="false">IF($A180="","",AsOf-$H180)</f>
        <v/>
      </c>
      <c r="O180" s="29" t="str">
        <f aca="false">IF(OR($M180="",$M180="Closed",$M180="Unmapped"),"",INDEX(StageStale,MATCH($M180,StageName,0)))</f>
        <v/>
      </c>
      <c r="P180" s="29" t="str">
        <f aca="false">IF($A180="","",IF($M180="Closed","Closed",IF($J180="Y","Critical",IF(AND($I180&lt;&gt;"",$I180&lt;AsOf),"Critical",IF($M180="Unmapped","Warning",IF($N180&gt;2*$O180,"Critical",IF($N180&gt;$O180,"Warning","On track")))))))</f>
        <v/>
      </c>
      <c r="Q180" s="29" t="str">
        <f aca="false">IF(OR($P180="",$P180="Closed",$P180="On track"),"",IF($J180="Y","Flagged as an impediment",IF(AND($I180&lt;&gt;"",$I180&lt;AsOf),"Past due since "&amp;TEXT($I180,"yyyy-mm-dd"),IF($M180="Unmapped","Status '"&amp;$C180&amp;"' is not in the Config map","No update in "&amp;$N180&amp;" days (limit "&amp;$O180&amp;")"))))</f>
        <v/>
      </c>
      <c r="R180" s="29" t="str">
        <f aca="false">IF(OR($P180="",$P180="Closed",$P180="On track"),"",IF($P180="Critical",3000,2000)+$N180+ROW()/100000)</f>
        <v/>
      </c>
      <c r="S180" s="29" t="str">
        <f aca="false">IF($R180="","","draft Jira update for "&amp;$A180)</f>
        <v/>
      </c>
      <c r="T180" s="29" t="str">
        <f aca="false">IF($A180="","",HYPERLINK(JiraSite&amp;"/browse/"&amp;$A180,"open"))</f>
        <v/>
      </c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7"/>
      <c r="H181" s="27"/>
      <c r="I181" s="27"/>
      <c r="J181" s="24"/>
      <c r="K181" s="24"/>
      <c r="L181" s="24"/>
      <c r="M181" s="29" t="str">
        <f aca="false">IF($A181="","",IFERROR(INDEX(MapStage,MATCH($C181,MapStatus,0)),"Unmapped"))</f>
        <v/>
      </c>
      <c r="N181" s="29" t="str">
        <f aca="false">IF($A181="","",AsOf-$H181)</f>
        <v/>
      </c>
      <c r="O181" s="29" t="str">
        <f aca="false">IF(OR($M181="",$M181="Closed",$M181="Unmapped"),"",INDEX(StageStale,MATCH($M181,StageName,0)))</f>
        <v/>
      </c>
      <c r="P181" s="29" t="str">
        <f aca="false">IF($A181="","",IF($M181="Closed","Closed",IF($J181="Y","Critical",IF(AND($I181&lt;&gt;"",$I181&lt;AsOf),"Critical",IF($M181="Unmapped","Warning",IF($N181&gt;2*$O181,"Critical",IF($N181&gt;$O181,"Warning","On track")))))))</f>
        <v/>
      </c>
      <c r="Q181" s="29" t="str">
        <f aca="false">IF(OR($P181="",$P181="Closed",$P181="On track"),"",IF($J181="Y","Flagged as an impediment",IF(AND($I181&lt;&gt;"",$I181&lt;AsOf),"Past due since "&amp;TEXT($I181,"yyyy-mm-dd"),IF($M181="Unmapped","Status '"&amp;$C181&amp;"' is not in the Config map","No update in "&amp;$N181&amp;" days (limit "&amp;$O181&amp;")"))))</f>
        <v/>
      </c>
      <c r="R181" s="29" t="str">
        <f aca="false">IF(OR($P181="",$P181="Closed",$P181="On track"),"",IF($P181="Critical",3000,2000)+$N181+ROW()/100000)</f>
        <v/>
      </c>
      <c r="S181" s="29" t="str">
        <f aca="false">IF($R181="","","draft Jira update for "&amp;$A181)</f>
        <v/>
      </c>
      <c r="T181" s="29" t="str">
        <f aca="false">IF($A181="","",HYPERLINK(JiraSite&amp;"/browse/"&amp;$A181,"open"))</f>
        <v/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7"/>
      <c r="H182" s="27"/>
      <c r="I182" s="27"/>
      <c r="J182" s="24"/>
      <c r="K182" s="24"/>
      <c r="L182" s="24"/>
      <c r="M182" s="29" t="str">
        <f aca="false">IF($A182="","",IFERROR(INDEX(MapStage,MATCH($C182,MapStatus,0)),"Unmapped"))</f>
        <v/>
      </c>
      <c r="N182" s="29" t="str">
        <f aca="false">IF($A182="","",AsOf-$H182)</f>
        <v/>
      </c>
      <c r="O182" s="29" t="str">
        <f aca="false">IF(OR($M182="",$M182="Closed",$M182="Unmapped"),"",INDEX(StageStale,MATCH($M182,StageName,0)))</f>
        <v/>
      </c>
      <c r="P182" s="29" t="str">
        <f aca="false">IF($A182="","",IF($M182="Closed","Closed",IF($J182="Y","Critical",IF(AND($I182&lt;&gt;"",$I182&lt;AsOf),"Critical",IF($M182="Unmapped","Warning",IF($N182&gt;2*$O182,"Critical",IF($N182&gt;$O182,"Warning","On track")))))))</f>
        <v/>
      </c>
      <c r="Q182" s="29" t="str">
        <f aca="false">IF(OR($P182="",$P182="Closed",$P182="On track"),"",IF($J182="Y","Flagged as an impediment",IF(AND($I182&lt;&gt;"",$I182&lt;AsOf),"Past due since "&amp;TEXT($I182,"yyyy-mm-dd"),IF($M182="Unmapped","Status '"&amp;$C182&amp;"' is not in the Config map","No update in "&amp;$N182&amp;" days (limit "&amp;$O182&amp;")"))))</f>
        <v/>
      </c>
      <c r="R182" s="29" t="str">
        <f aca="false">IF(OR($P182="",$P182="Closed",$P182="On track"),"",IF($P182="Critical",3000,2000)+$N182+ROW()/100000)</f>
        <v/>
      </c>
      <c r="S182" s="29" t="str">
        <f aca="false">IF($R182="","","draft Jira update for "&amp;$A182)</f>
        <v/>
      </c>
      <c r="T182" s="29" t="str">
        <f aca="false">IF($A182="","",HYPERLINK(JiraSite&amp;"/browse/"&amp;$A182,"open"))</f>
        <v/>
      </c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7"/>
      <c r="H183" s="27"/>
      <c r="I183" s="27"/>
      <c r="J183" s="24"/>
      <c r="K183" s="24"/>
      <c r="L183" s="24"/>
      <c r="M183" s="29" t="str">
        <f aca="false">IF($A183="","",IFERROR(INDEX(MapStage,MATCH($C183,MapStatus,0)),"Unmapped"))</f>
        <v/>
      </c>
      <c r="N183" s="29" t="str">
        <f aca="false">IF($A183="","",AsOf-$H183)</f>
        <v/>
      </c>
      <c r="O183" s="29" t="str">
        <f aca="false">IF(OR($M183="",$M183="Closed",$M183="Unmapped"),"",INDEX(StageStale,MATCH($M183,StageName,0)))</f>
        <v/>
      </c>
      <c r="P183" s="29" t="str">
        <f aca="false">IF($A183="","",IF($M183="Closed","Closed",IF($J183="Y","Critical",IF(AND($I183&lt;&gt;"",$I183&lt;AsOf),"Critical",IF($M183="Unmapped","Warning",IF($N183&gt;2*$O183,"Critical",IF($N183&gt;$O183,"Warning","On track")))))))</f>
        <v/>
      </c>
      <c r="Q183" s="29" t="str">
        <f aca="false">IF(OR($P183="",$P183="Closed",$P183="On track"),"",IF($J183="Y","Flagged as an impediment",IF(AND($I183&lt;&gt;"",$I183&lt;AsOf),"Past due since "&amp;TEXT($I183,"yyyy-mm-dd"),IF($M183="Unmapped","Status '"&amp;$C183&amp;"' is not in the Config map","No update in "&amp;$N183&amp;" days (limit "&amp;$O183&amp;")"))))</f>
        <v/>
      </c>
      <c r="R183" s="29" t="str">
        <f aca="false">IF(OR($P183="",$P183="Closed",$P183="On track"),"",IF($P183="Critical",3000,2000)+$N183+ROW()/100000)</f>
        <v/>
      </c>
      <c r="S183" s="29" t="str">
        <f aca="false">IF($R183="","","draft Jira update for "&amp;$A183)</f>
        <v/>
      </c>
      <c r="T183" s="29" t="str">
        <f aca="false">IF($A183="","",HYPERLINK(JiraSite&amp;"/browse/"&amp;$A183,"open"))</f>
        <v/>
      </c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7"/>
      <c r="H184" s="27"/>
      <c r="I184" s="27"/>
      <c r="J184" s="24"/>
      <c r="K184" s="24"/>
      <c r="L184" s="24"/>
      <c r="M184" s="29" t="str">
        <f aca="false">IF($A184="","",IFERROR(INDEX(MapStage,MATCH($C184,MapStatus,0)),"Unmapped"))</f>
        <v/>
      </c>
      <c r="N184" s="29" t="str">
        <f aca="false">IF($A184="","",AsOf-$H184)</f>
        <v/>
      </c>
      <c r="O184" s="29" t="str">
        <f aca="false">IF(OR($M184="",$M184="Closed",$M184="Unmapped"),"",INDEX(StageStale,MATCH($M184,StageName,0)))</f>
        <v/>
      </c>
      <c r="P184" s="29" t="str">
        <f aca="false">IF($A184="","",IF($M184="Closed","Closed",IF($J184="Y","Critical",IF(AND($I184&lt;&gt;"",$I184&lt;AsOf),"Critical",IF($M184="Unmapped","Warning",IF($N184&gt;2*$O184,"Critical",IF($N184&gt;$O184,"Warning","On track")))))))</f>
        <v/>
      </c>
      <c r="Q184" s="29" t="str">
        <f aca="false">IF(OR($P184="",$P184="Closed",$P184="On track"),"",IF($J184="Y","Flagged as an impediment",IF(AND($I184&lt;&gt;"",$I184&lt;AsOf),"Past due since "&amp;TEXT($I184,"yyyy-mm-dd"),IF($M184="Unmapped","Status '"&amp;$C184&amp;"' is not in the Config map","No update in "&amp;$N184&amp;" days (limit "&amp;$O184&amp;")"))))</f>
        <v/>
      </c>
      <c r="R184" s="29" t="str">
        <f aca="false">IF(OR($P184="",$P184="Closed",$P184="On track"),"",IF($P184="Critical",3000,2000)+$N184+ROW()/100000)</f>
        <v/>
      </c>
      <c r="S184" s="29" t="str">
        <f aca="false">IF($R184="","","draft Jira update for "&amp;$A184)</f>
        <v/>
      </c>
      <c r="T184" s="29" t="str">
        <f aca="false">IF($A184="","",HYPERLINK(JiraSite&amp;"/browse/"&amp;$A184,"open"))</f>
        <v/>
      </c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7"/>
      <c r="H185" s="27"/>
      <c r="I185" s="27"/>
      <c r="J185" s="24"/>
      <c r="K185" s="24"/>
      <c r="L185" s="24"/>
      <c r="M185" s="29" t="str">
        <f aca="false">IF($A185="","",IFERROR(INDEX(MapStage,MATCH($C185,MapStatus,0)),"Unmapped"))</f>
        <v/>
      </c>
      <c r="N185" s="29" t="str">
        <f aca="false">IF($A185="","",AsOf-$H185)</f>
        <v/>
      </c>
      <c r="O185" s="29" t="str">
        <f aca="false">IF(OR($M185="",$M185="Closed",$M185="Unmapped"),"",INDEX(StageStale,MATCH($M185,StageName,0)))</f>
        <v/>
      </c>
      <c r="P185" s="29" t="str">
        <f aca="false">IF($A185="","",IF($M185="Closed","Closed",IF($J185="Y","Critical",IF(AND($I185&lt;&gt;"",$I185&lt;AsOf),"Critical",IF($M185="Unmapped","Warning",IF($N185&gt;2*$O185,"Critical",IF($N185&gt;$O185,"Warning","On track")))))))</f>
        <v/>
      </c>
      <c r="Q185" s="29" t="str">
        <f aca="false">IF(OR($P185="",$P185="Closed",$P185="On track"),"",IF($J185="Y","Flagged as an impediment",IF(AND($I185&lt;&gt;"",$I185&lt;AsOf),"Past due since "&amp;TEXT($I185,"yyyy-mm-dd"),IF($M185="Unmapped","Status '"&amp;$C185&amp;"' is not in the Config map","No update in "&amp;$N185&amp;" days (limit "&amp;$O185&amp;")"))))</f>
        <v/>
      </c>
      <c r="R185" s="29" t="str">
        <f aca="false">IF(OR($P185="",$P185="Closed",$P185="On track"),"",IF($P185="Critical",3000,2000)+$N185+ROW()/100000)</f>
        <v/>
      </c>
      <c r="S185" s="29" t="str">
        <f aca="false">IF($R185="","","draft Jira update for "&amp;$A185)</f>
        <v/>
      </c>
      <c r="T185" s="29" t="str">
        <f aca="false">IF($A185="","",HYPERLINK(JiraSite&amp;"/browse/"&amp;$A185,"open"))</f>
        <v/>
      </c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7"/>
      <c r="H186" s="27"/>
      <c r="I186" s="27"/>
      <c r="J186" s="24"/>
      <c r="K186" s="24"/>
      <c r="L186" s="24"/>
      <c r="M186" s="29" t="str">
        <f aca="false">IF($A186="","",IFERROR(INDEX(MapStage,MATCH($C186,MapStatus,0)),"Unmapped"))</f>
        <v/>
      </c>
      <c r="N186" s="29" t="str">
        <f aca="false">IF($A186="","",AsOf-$H186)</f>
        <v/>
      </c>
      <c r="O186" s="29" t="str">
        <f aca="false">IF(OR($M186="",$M186="Closed",$M186="Unmapped"),"",INDEX(StageStale,MATCH($M186,StageName,0)))</f>
        <v/>
      </c>
      <c r="P186" s="29" t="str">
        <f aca="false">IF($A186="","",IF($M186="Closed","Closed",IF($J186="Y","Critical",IF(AND($I186&lt;&gt;"",$I186&lt;AsOf),"Critical",IF($M186="Unmapped","Warning",IF($N186&gt;2*$O186,"Critical",IF($N186&gt;$O186,"Warning","On track")))))))</f>
        <v/>
      </c>
      <c r="Q186" s="29" t="str">
        <f aca="false">IF(OR($P186="",$P186="Closed",$P186="On track"),"",IF($J186="Y","Flagged as an impediment",IF(AND($I186&lt;&gt;"",$I186&lt;AsOf),"Past due since "&amp;TEXT($I186,"yyyy-mm-dd"),IF($M186="Unmapped","Status '"&amp;$C186&amp;"' is not in the Config map","No update in "&amp;$N186&amp;" days (limit "&amp;$O186&amp;")"))))</f>
        <v/>
      </c>
      <c r="R186" s="29" t="str">
        <f aca="false">IF(OR($P186="",$P186="Closed",$P186="On track"),"",IF($P186="Critical",3000,2000)+$N186+ROW()/100000)</f>
        <v/>
      </c>
      <c r="S186" s="29" t="str">
        <f aca="false">IF($R186="","","draft Jira update for "&amp;$A186)</f>
        <v/>
      </c>
      <c r="T186" s="29" t="str">
        <f aca="false">IF($A186="","",HYPERLINK(JiraSite&amp;"/browse/"&amp;$A186,"open"))</f>
        <v/>
      </c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7"/>
      <c r="H187" s="27"/>
      <c r="I187" s="27"/>
      <c r="J187" s="24"/>
      <c r="K187" s="24"/>
      <c r="L187" s="24"/>
      <c r="M187" s="29" t="str">
        <f aca="false">IF($A187="","",IFERROR(INDEX(MapStage,MATCH($C187,MapStatus,0)),"Unmapped"))</f>
        <v/>
      </c>
      <c r="N187" s="29" t="str">
        <f aca="false">IF($A187="","",AsOf-$H187)</f>
        <v/>
      </c>
      <c r="O187" s="29" t="str">
        <f aca="false">IF(OR($M187="",$M187="Closed",$M187="Unmapped"),"",INDEX(StageStale,MATCH($M187,StageName,0)))</f>
        <v/>
      </c>
      <c r="P187" s="29" t="str">
        <f aca="false">IF($A187="","",IF($M187="Closed","Closed",IF($J187="Y","Critical",IF(AND($I187&lt;&gt;"",$I187&lt;AsOf),"Critical",IF($M187="Unmapped","Warning",IF($N187&gt;2*$O187,"Critical",IF($N187&gt;$O187,"Warning","On track")))))))</f>
        <v/>
      </c>
      <c r="Q187" s="29" t="str">
        <f aca="false">IF(OR($P187="",$P187="Closed",$P187="On track"),"",IF($J187="Y","Flagged as an impediment",IF(AND($I187&lt;&gt;"",$I187&lt;AsOf),"Past due since "&amp;TEXT($I187,"yyyy-mm-dd"),IF($M187="Unmapped","Status '"&amp;$C187&amp;"' is not in the Config map","No update in "&amp;$N187&amp;" days (limit "&amp;$O187&amp;")"))))</f>
        <v/>
      </c>
      <c r="R187" s="29" t="str">
        <f aca="false">IF(OR($P187="",$P187="Closed",$P187="On track"),"",IF($P187="Critical",3000,2000)+$N187+ROW()/100000)</f>
        <v/>
      </c>
      <c r="S187" s="29" t="str">
        <f aca="false">IF($R187="","","draft Jira update for "&amp;$A187)</f>
        <v/>
      </c>
      <c r="T187" s="29" t="str">
        <f aca="false">IF($A187="","",HYPERLINK(JiraSite&amp;"/browse/"&amp;$A187,"open"))</f>
        <v/>
      </c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7"/>
      <c r="H188" s="27"/>
      <c r="I188" s="27"/>
      <c r="J188" s="24"/>
      <c r="K188" s="24"/>
      <c r="L188" s="24"/>
      <c r="M188" s="29" t="str">
        <f aca="false">IF($A188="","",IFERROR(INDEX(MapStage,MATCH($C188,MapStatus,0)),"Unmapped"))</f>
        <v/>
      </c>
      <c r="N188" s="29" t="str">
        <f aca="false">IF($A188="","",AsOf-$H188)</f>
        <v/>
      </c>
      <c r="O188" s="29" t="str">
        <f aca="false">IF(OR($M188="",$M188="Closed",$M188="Unmapped"),"",INDEX(StageStale,MATCH($M188,StageName,0)))</f>
        <v/>
      </c>
      <c r="P188" s="29" t="str">
        <f aca="false">IF($A188="","",IF($M188="Closed","Closed",IF($J188="Y","Critical",IF(AND($I188&lt;&gt;"",$I188&lt;AsOf),"Critical",IF($M188="Unmapped","Warning",IF($N188&gt;2*$O188,"Critical",IF($N188&gt;$O188,"Warning","On track")))))))</f>
        <v/>
      </c>
      <c r="Q188" s="29" t="str">
        <f aca="false">IF(OR($P188="",$P188="Closed",$P188="On track"),"",IF($J188="Y","Flagged as an impediment",IF(AND($I188&lt;&gt;"",$I188&lt;AsOf),"Past due since "&amp;TEXT($I188,"yyyy-mm-dd"),IF($M188="Unmapped","Status '"&amp;$C188&amp;"' is not in the Config map","No update in "&amp;$N188&amp;" days (limit "&amp;$O188&amp;")"))))</f>
        <v/>
      </c>
      <c r="R188" s="29" t="str">
        <f aca="false">IF(OR($P188="",$P188="Closed",$P188="On track"),"",IF($P188="Critical",3000,2000)+$N188+ROW()/100000)</f>
        <v/>
      </c>
      <c r="S188" s="29" t="str">
        <f aca="false">IF($R188="","","draft Jira update for "&amp;$A188)</f>
        <v/>
      </c>
      <c r="T188" s="29" t="str">
        <f aca="false">IF($A188="","",HYPERLINK(JiraSite&amp;"/browse/"&amp;$A188,"open"))</f>
        <v/>
      </c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7"/>
      <c r="H189" s="27"/>
      <c r="I189" s="27"/>
      <c r="J189" s="24"/>
      <c r="K189" s="24"/>
      <c r="L189" s="24"/>
      <c r="M189" s="29" t="str">
        <f aca="false">IF($A189="","",IFERROR(INDEX(MapStage,MATCH($C189,MapStatus,0)),"Unmapped"))</f>
        <v/>
      </c>
      <c r="N189" s="29" t="str">
        <f aca="false">IF($A189="","",AsOf-$H189)</f>
        <v/>
      </c>
      <c r="O189" s="29" t="str">
        <f aca="false">IF(OR($M189="",$M189="Closed",$M189="Unmapped"),"",INDEX(StageStale,MATCH($M189,StageName,0)))</f>
        <v/>
      </c>
      <c r="P189" s="29" t="str">
        <f aca="false">IF($A189="","",IF($M189="Closed","Closed",IF($J189="Y","Critical",IF(AND($I189&lt;&gt;"",$I189&lt;AsOf),"Critical",IF($M189="Unmapped","Warning",IF($N189&gt;2*$O189,"Critical",IF($N189&gt;$O189,"Warning","On track")))))))</f>
        <v/>
      </c>
      <c r="Q189" s="29" t="str">
        <f aca="false">IF(OR($P189="",$P189="Closed",$P189="On track"),"",IF($J189="Y","Flagged as an impediment",IF(AND($I189&lt;&gt;"",$I189&lt;AsOf),"Past due since "&amp;TEXT($I189,"yyyy-mm-dd"),IF($M189="Unmapped","Status '"&amp;$C189&amp;"' is not in the Config map","No update in "&amp;$N189&amp;" days (limit "&amp;$O189&amp;")"))))</f>
        <v/>
      </c>
      <c r="R189" s="29" t="str">
        <f aca="false">IF(OR($P189="",$P189="Closed",$P189="On track"),"",IF($P189="Critical",3000,2000)+$N189+ROW()/100000)</f>
        <v/>
      </c>
      <c r="S189" s="29" t="str">
        <f aca="false">IF($R189="","","draft Jira update for "&amp;$A189)</f>
        <v/>
      </c>
      <c r="T189" s="29" t="str">
        <f aca="false">IF($A189="","",HYPERLINK(JiraSite&amp;"/browse/"&amp;$A189,"open"))</f>
        <v/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7"/>
      <c r="H190" s="27"/>
      <c r="I190" s="27"/>
      <c r="J190" s="24"/>
      <c r="K190" s="24"/>
      <c r="L190" s="24"/>
      <c r="M190" s="29" t="str">
        <f aca="false">IF($A190="","",IFERROR(INDEX(MapStage,MATCH($C190,MapStatus,0)),"Unmapped"))</f>
        <v/>
      </c>
      <c r="N190" s="29" t="str">
        <f aca="false">IF($A190="","",AsOf-$H190)</f>
        <v/>
      </c>
      <c r="O190" s="29" t="str">
        <f aca="false">IF(OR($M190="",$M190="Closed",$M190="Unmapped"),"",INDEX(StageStale,MATCH($M190,StageName,0)))</f>
        <v/>
      </c>
      <c r="P190" s="29" t="str">
        <f aca="false">IF($A190="","",IF($M190="Closed","Closed",IF($J190="Y","Critical",IF(AND($I190&lt;&gt;"",$I190&lt;AsOf),"Critical",IF($M190="Unmapped","Warning",IF($N190&gt;2*$O190,"Critical",IF($N190&gt;$O190,"Warning","On track")))))))</f>
        <v/>
      </c>
      <c r="Q190" s="29" t="str">
        <f aca="false">IF(OR($P190="",$P190="Closed",$P190="On track"),"",IF($J190="Y","Flagged as an impediment",IF(AND($I190&lt;&gt;"",$I190&lt;AsOf),"Past due since "&amp;TEXT($I190,"yyyy-mm-dd"),IF($M190="Unmapped","Status '"&amp;$C190&amp;"' is not in the Config map","No update in "&amp;$N190&amp;" days (limit "&amp;$O190&amp;")"))))</f>
        <v/>
      </c>
      <c r="R190" s="29" t="str">
        <f aca="false">IF(OR($P190="",$P190="Closed",$P190="On track"),"",IF($P190="Critical",3000,2000)+$N190+ROW()/100000)</f>
        <v/>
      </c>
      <c r="S190" s="29" t="str">
        <f aca="false">IF($R190="","","draft Jira update for "&amp;$A190)</f>
        <v/>
      </c>
      <c r="T190" s="29" t="str">
        <f aca="false">IF($A190="","",HYPERLINK(JiraSite&amp;"/browse/"&amp;$A190,"open"))</f>
        <v/>
      </c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7"/>
      <c r="H191" s="27"/>
      <c r="I191" s="27"/>
      <c r="J191" s="24"/>
      <c r="K191" s="24"/>
      <c r="L191" s="24"/>
      <c r="M191" s="29" t="str">
        <f aca="false">IF($A191="","",IFERROR(INDEX(MapStage,MATCH($C191,MapStatus,0)),"Unmapped"))</f>
        <v/>
      </c>
      <c r="N191" s="29" t="str">
        <f aca="false">IF($A191="","",AsOf-$H191)</f>
        <v/>
      </c>
      <c r="O191" s="29" t="str">
        <f aca="false">IF(OR($M191="",$M191="Closed",$M191="Unmapped"),"",INDEX(StageStale,MATCH($M191,StageName,0)))</f>
        <v/>
      </c>
      <c r="P191" s="29" t="str">
        <f aca="false">IF($A191="","",IF($M191="Closed","Closed",IF($J191="Y","Critical",IF(AND($I191&lt;&gt;"",$I191&lt;AsOf),"Critical",IF($M191="Unmapped","Warning",IF($N191&gt;2*$O191,"Critical",IF($N191&gt;$O191,"Warning","On track")))))))</f>
        <v/>
      </c>
      <c r="Q191" s="29" t="str">
        <f aca="false">IF(OR($P191="",$P191="Closed",$P191="On track"),"",IF($J191="Y","Flagged as an impediment",IF(AND($I191&lt;&gt;"",$I191&lt;AsOf),"Past due since "&amp;TEXT($I191,"yyyy-mm-dd"),IF($M191="Unmapped","Status '"&amp;$C191&amp;"' is not in the Config map","No update in "&amp;$N191&amp;" days (limit "&amp;$O191&amp;")"))))</f>
        <v/>
      </c>
      <c r="R191" s="29" t="str">
        <f aca="false">IF(OR($P191="",$P191="Closed",$P191="On track"),"",IF($P191="Critical",3000,2000)+$N191+ROW()/100000)</f>
        <v/>
      </c>
      <c r="S191" s="29" t="str">
        <f aca="false">IF($R191="","","draft Jira update for "&amp;$A191)</f>
        <v/>
      </c>
      <c r="T191" s="29" t="str">
        <f aca="false">IF($A191="","",HYPERLINK(JiraSite&amp;"/browse/"&amp;$A191,"open"))</f>
        <v/>
      </c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7"/>
      <c r="H192" s="27"/>
      <c r="I192" s="27"/>
      <c r="J192" s="24"/>
      <c r="K192" s="24"/>
      <c r="L192" s="24"/>
      <c r="M192" s="29" t="str">
        <f aca="false">IF($A192="","",IFERROR(INDEX(MapStage,MATCH($C192,MapStatus,0)),"Unmapped"))</f>
        <v/>
      </c>
      <c r="N192" s="29" t="str">
        <f aca="false">IF($A192="","",AsOf-$H192)</f>
        <v/>
      </c>
      <c r="O192" s="29" t="str">
        <f aca="false">IF(OR($M192="",$M192="Closed",$M192="Unmapped"),"",INDEX(StageStale,MATCH($M192,StageName,0)))</f>
        <v/>
      </c>
      <c r="P192" s="29" t="str">
        <f aca="false">IF($A192="","",IF($M192="Closed","Closed",IF($J192="Y","Critical",IF(AND($I192&lt;&gt;"",$I192&lt;AsOf),"Critical",IF($M192="Unmapped","Warning",IF($N192&gt;2*$O192,"Critical",IF($N192&gt;$O192,"Warning","On track")))))))</f>
        <v/>
      </c>
      <c r="Q192" s="29" t="str">
        <f aca="false">IF(OR($P192="",$P192="Closed",$P192="On track"),"",IF($J192="Y","Flagged as an impediment",IF(AND($I192&lt;&gt;"",$I192&lt;AsOf),"Past due since "&amp;TEXT($I192,"yyyy-mm-dd"),IF($M192="Unmapped","Status '"&amp;$C192&amp;"' is not in the Config map","No update in "&amp;$N192&amp;" days (limit "&amp;$O192&amp;")"))))</f>
        <v/>
      </c>
      <c r="R192" s="29" t="str">
        <f aca="false">IF(OR($P192="",$P192="Closed",$P192="On track"),"",IF($P192="Critical",3000,2000)+$N192+ROW()/100000)</f>
        <v/>
      </c>
      <c r="S192" s="29" t="str">
        <f aca="false">IF($R192="","","draft Jira update for "&amp;$A192)</f>
        <v/>
      </c>
      <c r="T192" s="29" t="str">
        <f aca="false">IF($A192="","",HYPERLINK(JiraSite&amp;"/browse/"&amp;$A192,"open"))</f>
        <v/>
      </c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7"/>
      <c r="H193" s="27"/>
      <c r="I193" s="27"/>
      <c r="J193" s="24"/>
      <c r="K193" s="24"/>
      <c r="L193" s="24"/>
      <c r="M193" s="29" t="str">
        <f aca="false">IF($A193="","",IFERROR(INDEX(MapStage,MATCH($C193,MapStatus,0)),"Unmapped"))</f>
        <v/>
      </c>
      <c r="N193" s="29" t="str">
        <f aca="false">IF($A193="","",AsOf-$H193)</f>
        <v/>
      </c>
      <c r="O193" s="29" t="str">
        <f aca="false">IF(OR($M193="",$M193="Closed",$M193="Unmapped"),"",INDEX(StageStale,MATCH($M193,StageName,0)))</f>
        <v/>
      </c>
      <c r="P193" s="29" t="str">
        <f aca="false">IF($A193="","",IF($M193="Closed","Closed",IF($J193="Y","Critical",IF(AND($I193&lt;&gt;"",$I193&lt;AsOf),"Critical",IF($M193="Unmapped","Warning",IF($N193&gt;2*$O193,"Critical",IF($N193&gt;$O193,"Warning","On track")))))))</f>
        <v/>
      </c>
      <c r="Q193" s="29" t="str">
        <f aca="false">IF(OR($P193="",$P193="Closed",$P193="On track"),"",IF($J193="Y","Flagged as an impediment",IF(AND($I193&lt;&gt;"",$I193&lt;AsOf),"Past due since "&amp;TEXT($I193,"yyyy-mm-dd"),IF($M193="Unmapped","Status '"&amp;$C193&amp;"' is not in the Config map","No update in "&amp;$N193&amp;" days (limit "&amp;$O193&amp;")"))))</f>
        <v/>
      </c>
      <c r="R193" s="29" t="str">
        <f aca="false">IF(OR($P193="",$P193="Closed",$P193="On track"),"",IF($P193="Critical",3000,2000)+$N193+ROW()/100000)</f>
        <v/>
      </c>
      <c r="S193" s="29" t="str">
        <f aca="false">IF($R193="","","draft Jira update for "&amp;$A193)</f>
        <v/>
      </c>
      <c r="T193" s="29" t="str">
        <f aca="false">IF($A193="","",HYPERLINK(JiraSite&amp;"/browse/"&amp;$A193,"open"))</f>
        <v/>
      </c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7"/>
      <c r="H194" s="27"/>
      <c r="I194" s="27"/>
      <c r="J194" s="24"/>
      <c r="K194" s="24"/>
      <c r="L194" s="24"/>
      <c r="M194" s="29" t="str">
        <f aca="false">IF($A194="","",IFERROR(INDEX(MapStage,MATCH($C194,MapStatus,0)),"Unmapped"))</f>
        <v/>
      </c>
      <c r="N194" s="29" t="str">
        <f aca="false">IF($A194="","",AsOf-$H194)</f>
        <v/>
      </c>
      <c r="O194" s="29" t="str">
        <f aca="false">IF(OR($M194="",$M194="Closed",$M194="Unmapped"),"",INDEX(StageStale,MATCH($M194,StageName,0)))</f>
        <v/>
      </c>
      <c r="P194" s="29" t="str">
        <f aca="false">IF($A194="","",IF($M194="Closed","Closed",IF($J194="Y","Critical",IF(AND($I194&lt;&gt;"",$I194&lt;AsOf),"Critical",IF($M194="Unmapped","Warning",IF($N194&gt;2*$O194,"Critical",IF($N194&gt;$O194,"Warning","On track")))))))</f>
        <v/>
      </c>
      <c r="Q194" s="29" t="str">
        <f aca="false">IF(OR($P194="",$P194="Closed",$P194="On track"),"",IF($J194="Y","Flagged as an impediment",IF(AND($I194&lt;&gt;"",$I194&lt;AsOf),"Past due since "&amp;TEXT($I194,"yyyy-mm-dd"),IF($M194="Unmapped","Status '"&amp;$C194&amp;"' is not in the Config map","No update in "&amp;$N194&amp;" days (limit "&amp;$O194&amp;")"))))</f>
        <v/>
      </c>
      <c r="R194" s="29" t="str">
        <f aca="false">IF(OR($P194="",$P194="Closed",$P194="On track"),"",IF($P194="Critical",3000,2000)+$N194+ROW()/100000)</f>
        <v/>
      </c>
      <c r="S194" s="29" t="str">
        <f aca="false">IF($R194="","","draft Jira update for "&amp;$A194)</f>
        <v/>
      </c>
      <c r="T194" s="29" t="str">
        <f aca="false">IF($A194="","",HYPERLINK(JiraSite&amp;"/browse/"&amp;$A194,"open"))</f>
        <v/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7"/>
      <c r="H195" s="27"/>
      <c r="I195" s="27"/>
      <c r="J195" s="24"/>
      <c r="K195" s="24"/>
      <c r="L195" s="24"/>
      <c r="M195" s="29" t="str">
        <f aca="false">IF($A195="","",IFERROR(INDEX(MapStage,MATCH($C195,MapStatus,0)),"Unmapped"))</f>
        <v/>
      </c>
      <c r="N195" s="29" t="str">
        <f aca="false">IF($A195="","",AsOf-$H195)</f>
        <v/>
      </c>
      <c r="O195" s="29" t="str">
        <f aca="false">IF(OR($M195="",$M195="Closed",$M195="Unmapped"),"",INDEX(StageStale,MATCH($M195,StageName,0)))</f>
        <v/>
      </c>
      <c r="P195" s="29" t="str">
        <f aca="false">IF($A195="","",IF($M195="Closed","Closed",IF($J195="Y","Critical",IF(AND($I195&lt;&gt;"",$I195&lt;AsOf),"Critical",IF($M195="Unmapped","Warning",IF($N195&gt;2*$O195,"Critical",IF($N195&gt;$O195,"Warning","On track")))))))</f>
        <v/>
      </c>
      <c r="Q195" s="29" t="str">
        <f aca="false">IF(OR($P195="",$P195="Closed",$P195="On track"),"",IF($J195="Y","Flagged as an impediment",IF(AND($I195&lt;&gt;"",$I195&lt;AsOf),"Past due since "&amp;TEXT($I195,"yyyy-mm-dd"),IF($M195="Unmapped","Status '"&amp;$C195&amp;"' is not in the Config map","No update in "&amp;$N195&amp;" days (limit "&amp;$O195&amp;")"))))</f>
        <v/>
      </c>
      <c r="R195" s="29" t="str">
        <f aca="false">IF(OR($P195="",$P195="Closed",$P195="On track"),"",IF($P195="Critical",3000,2000)+$N195+ROW()/100000)</f>
        <v/>
      </c>
      <c r="S195" s="29" t="str">
        <f aca="false">IF($R195="","","draft Jira update for "&amp;$A195)</f>
        <v/>
      </c>
      <c r="T195" s="29" t="str">
        <f aca="false">IF($A195="","",HYPERLINK(JiraSite&amp;"/browse/"&amp;$A195,"open"))</f>
        <v/>
      </c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7"/>
      <c r="H196" s="27"/>
      <c r="I196" s="27"/>
      <c r="J196" s="24"/>
      <c r="K196" s="24"/>
      <c r="L196" s="24"/>
      <c r="M196" s="29" t="str">
        <f aca="false">IF($A196="","",IFERROR(INDEX(MapStage,MATCH($C196,MapStatus,0)),"Unmapped"))</f>
        <v/>
      </c>
      <c r="N196" s="29" t="str">
        <f aca="false">IF($A196="","",AsOf-$H196)</f>
        <v/>
      </c>
      <c r="O196" s="29" t="str">
        <f aca="false">IF(OR($M196="",$M196="Closed",$M196="Unmapped"),"",INDEX(StageStale,MATCH($M196,StageName,0)))</f>
        <v/>
      </c>
      <c r="P196" s="29" t="str">
        <f aca="false">IF($A196="","",IF($M196="Closed","Closed",IF($J196="Y","Critical",IF(AND($I196&lt;&gt;"",$I196&lt;AsOf),"Critical",IF($M196="Unmapped","Warning",IF($N196&gt;2*$O196,"Critical",IF($N196&gt;$O196,"Warning","On track")))))))</f>
        <v/>
      </c>
      <c r="Q196" s="29" t="str">
        <f aca="false">IF(OR($P196="",$P196="Closed",$P196="On track"),"",IF($J196="Y","Flagged as an impediment",IF(AND($I196&lt;&gt;"",$I196&lt;AsOf),"Past due since "&amp;TEXT($I196,"yyyy-mm-dd"),IF($M196="Unmapped","Status '"&amp;$C196&amp;"' is not in the Config map","No update in "&amp;$N196&amp;" days (limit "&amp;$O196&amp;")"))))</f>
        <v/>
      </c>
      <c r="R196" s="29" t="str">
        <f aca="false">IF(OR($P196="",$P196="Closed",$P196="On track"),"",IF($P196="Critical",3000,2000)+$N196+ROW()/100000)</f>
        <v/>
      </c>
      <c r="S196" s="29" t="str">
        <f aca="false">IF($R196="","","draft Jira update for "&amp;$A196)</f>
        <v/>
      </c>
      <c r="T196" s="29" t="str">
        <f aca="false">IF($A196="","",HYPERLINK(JiraSite&amp;"/browse/"&amp;$A196,"open"))</f>
        <v/>
      </c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7"/>
      <c r="H197" s="27"/>
      <c r="I197" s="27"/>
      <c r="J197" s="24"/>
      <c r="K197" s="24"/>
      <c r="L197" s="24"/>
      <c r="M197" s="29" t="str">
        <f aca="false">IF($A197="","",IFERROR(INDEX(MapStage,MATCH($C197,MapStatus,0)),"Unmapped"))</f>
        <v/>
      </c>
      <c r="N197" s="29" t="str">
        <f aca="false">IF($A197="","",AsOf-$H197)</f>
        <v/>
      </c>
      <c r="O197" s="29" t="str">
        <f aca="false">IF(OR($M197="",$M197="Closed",$M197="Unmapped"),"",INDEX(StageStale,MATCH($M197,StageName,0)))</f>
        <v/>
      </c>
      <c r="P197" s="29" t="str">
        <f aca="false">IF($A197="","",IF($M197="Closed","Closed",IF($J197="Y","Critical",IF(AND($I197&lt;&gt;"",$I197&lt;AsOf),"Critical",IF($M197="Unmapped","Warning",IF($N197&gt;2*$O197,"Critical",IF($N197&gt;$O197,"Warning","On track")))))))</f>
        <v/>
      </c>
      <c r="Q197" s="29" t="str">
        <f aca="false">IF(OR($P197="",$P197="Closed",$P197="On track"),"",IF($J197="Y","Flagged as an impediment",IF(AND($I197&lt;&gt;"",$I197&lt;AsOf),"Past due since "&amp;TEXT($I197,"yyyy-mm-dd"),IF($M197="Unmapped","Status '"&amp;$C197&amp;"' is not in the Config map","No update in "&amp;$N197&amp;" days (limit "&amp;$O197&amp;")"))))</f>
        <v/>
      </c>
      <c r="R197" s="29" t="str">
        <f aca="false">IF(OR($P197="",$P197="Closed",$P197="On track"),"",IF($P197="Critical",3000,2000)+$N197+ROW()/100000)</f>
        <v/>
      </c>
      <c r="S197" s="29" t="str">
        <f aca="false">IF($R197="","","draft Jira update for "&amp;$A197)</f>
        <v/>
      </c>
      <c r="T197" s="29" t="str">
        <f aca="false">IF($A197="","",HYPERLINK(JiraSite&amp;"/browse/"&amp;$A197,"open"))</f>
        <v/>
      </c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7"/>
      <c r="H198" s="27"/>
      <c r="I198" s="27"/>
      <c r="J198" s="24"/>
      <c r="K198" s="24"/>
      <c r="L198" s="24"/>
      <c r="M198" s="29" t="str">
        <f aca="false">IF($A198="","",IFERROR(INDEX(MapStage,MATCH($C198,MapStatus,0)),"Unmapped"))</f>
        <v/>
      </c>
      <c r="N198" s="29" t="str">
        <f aca="false">IF($A198="","",AsOf-$H198)</f>
        <v/>
      </c>
      <c r="O198" s="29" t="str">
        <f aca="false">IF(OR($M198="",$M198="Closed",$M198="Unmapped"),"",INDEX(StageStale,MATCH($M198,StageName,0)))</f>
        <v/>
      </c>
      <c r="P198" s="29" t="str">
        <f aca="false">IF($A198="","",IF($M198="Closed","Closed",IF($J198="Y","Critical",IF(AND($I198&lt;&gt;"",$I198&lt;AsOf),"Critical",IF($M198="Unmapped","Warning",IF($N198&gt;2*$O198,"Critical",IF($N198&gt;$O198,"Warning","On track")))))))</f>
        <v/>
      </c>
      <c r="Q198" s="29" t="str">
        <f aca="false">IF(OR($P198="",$P198="Closed",$P198="On track"),"",IF($J198="Y","Flagged as an impediment",IF(AND($I198&lt;&gt;"",$I198&lt;AsOf),"Past due since "&amp;TEXT($I198,"yyyy-mm-dd"),IF($M198="Unmapped","Status '"&amp;$C198&amp;"' is not in the Config map","No update in "&amp;$N198&amp;" days (limit "&amp;$O198&amp;")"))))</f>
        <v/>
      </c>
      <c r="R198" s="29" t="str">
        <f aca="false">IF(OR($P198="",$P198="Closed",$P198="On track"),"",IF($P198="Critical",3000,2000)+$N198+ROW()/100000)</f>
        <v/>
      </c>
      <c r="S198" s="29" t="str">
        <f aca="false">IF($R198="","","draft Jira update for "&amp;$A198)</f>
        <v/>
      </c>
      <c r="T198" s="29" t="str">
        <f aca="false">IF($A198="","",HYPERLINK(JiraSite&amp;"/browse/"&amp;$A198,"open"))</f>
        <v/>
      </c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7"/>
      <c r="H199" s="27"/>
      <c r="I199" s="27"/>
      <c r="J199" s="24"/>
      <c r="K199" s="24"/>
      <c r="L199" s="24"/>
      <c r="M199" s="29" t="str">
        <f aca="false">IF($A199="","",IFERROR(INDEX(MapStage,MATCH($C199,MapStatus,0)),"Unmapped"))</f>
        <v/>
      </c>
      <c r="N199" s="29" t="str">
        <f aca="false">IF($A199="","",AsOf-$H199)</f>
        <v/>
      </c>
      <c r="O199" s="29" t="str">
        <f aca="false">IF(OR($M199="",$M199="Closed",$M199="Unmapped"),"",INDEX(StageStale,MATCH($M199,StageName,0)))</f>
        <v/>
      </c>
      <c r="P199" s="29" t="str">
        <f aca="false">IF($A199="","",IF($M199="Closed","Closed",IF($J199="Y","Critical",IF(AND($I199&lt;&gt;"",$I199&lt;AsOf),"Critical",IF($M199="Unmapped","Warning",IF($N199&gt;2*$O199,"Critical",IF($N199&gt;$O199,"Warning","On track")))))))</f>
        <v/>
      </c>
      <c r="Q199" s="29" t="str">
        <f aca="false">IF(OR($P199="",$P199="Closed",$P199="On track"),"",IF($J199="Y","Flagged as an impediment",IF(AND($I199&lt;&gt;"",$I199&lt;AsOf),"Past due since "&amp;TEXT($I199,"yyyy-mm-dd"),IF($M199="Unmapped","Status '"&amp;$C199&amp;"' is not in the Config map","No update in "&amp;$N199&amp;" days (limit "&amp;$O199&amp;")"))))</f>
        <v/>
      </c>
      <c r="R199" s="29" t="str">
        <f aca="false">IF(OR($P199="",$P199="Closed",$P199="On track"),"",IF($P199="Critical",3000,2000)+$N199+ROW()/100000)</f>
        <v/>
      </c>
      <c r="S199" s="29" t="str">
        <f aca="false">IF($R199="","","draft Jira update for "&amp;$A199)</f>
        <v/>
      </c>
      <c r="T199" s="29" t="str">
        <f aca="false">IF($A199="","",HYPERLINK(JiraSite&amp;"/browse/"&amp;$A199,"open"))</f>
        <v/>
      </c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7"/>
      <c r="H200" s="27"/>
      <c r="I200" s="27"/>
      <c r="J200" s="24"/>
      <c r="K200" s="24"/>
      <c r="L200" s="24"/>
      <c r="M200" s="29" t="str">
        <f aca="false">IF($A200="","",IFERROR(INDEX(MapStage,MATCH($C200,MapStatus,0)),"Unmapped"))</f>
        <v/>
      </c>
      <c r="N200" s="29" t="str">
        <f aca="false">IF($A200="","",AsOf-$H200)</f>
        <v/>
      </c>
      <c r="O200" s="29" t="str">
        <f aca="false">IF(OR($M200="",$M200="Closed",$M200="Unmapped"),"",INDEX(StageStale,MATCH($M200,StageName,0)))</f>
        <v/>
      </c>
      <c r="P200" s="29" t="str">
        <f aca="false">IF($A200="","",IF($M200="Closed","Closed",IF($J200="Y","Critical",IF(AND($I200&lt;&gt;"",$I200&lt;AsOf),"Critical",IF($M200="Unmapped","Warning",IF($N200&gt;2*$O200,"Critical",IF($N200&gt;$O200,"Warning","On track")))))))</f>
        <v/>
      </c>
      <c r="Q200" s="29" t="str">
        <f aca="false">IF(OR($P200="",$P200="Closed",$P200="On track"),"",IF($J200="Y","Flagged as an impediment",IF(AND($I200&lt;&gt;"",$I200&lt;AsOf),"Past due since "&amp;TEXT($I200,"yyyy-mm-dd"),IF($M200="Unmapped","Status '"&amp;$C200&amp;"' is not in the Config map","No update in "&amp;$N200&amp;" days (limit "&amp;$O200&amp;")"))))</f>
        <v/>
      </c>
      <c r="R200" s="29" t="str">
        <f aca="false">IF(OR($P200="",$P200="Closed",$P200="On track"),"",IF($P200="Critical",3000,2000)+$N200+ROW()/100000)</f>
        <v/>
      </c>
      <c r="S200" s="29" t="str">
        <f aca="false">IF($R200="","","draft Jira update for "&amp;$A200)</f>
        <v/>
      </c>
      <c r="T200" s="29" t="str">
        <f aca="false">IF($A200="","",HYPERLINK(JiraSite&amp;"/browse/"&amp;$A200,"open"))</f>
        <v/>
      </c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7"/>
      <c r="H201" s="27"/>
      <c r="I201" s="27"/>
      <c r="J201" s="24"/>
      <c r="K201" s="24"/>
      <c r="L201" s="24"/>
      <c r="M201" s="29" t="str">
        <f aca="false">IF($A201="","",IFERROR(INDEX(MapStage,MATCH($C201,MapStatus,0)),"Unmapped"))</f>
        <v/>
      </c>
      <c r="N201" s="29" t="str">
        <f aca="false">IF($A201="","",AsOf-$H201)</f>
        <v/>
      </c>
      <c r="O201" s="29" t="str">
        <f aca="false">IF(OR($M201="",$M201="Closed",$M201="Unmapped"),"",INDEX(StageStale,MATCH($M201,StageName,0)))</f>
        <v/>
      </c>
      <c r="P201" s="29" t="str">
        <f aca="false">IF($A201="","",IF($M201="Closed","Closed",IF($J201="Y","Critical",IF(AND($I201&lt;&gt;"",$I201&lt;AsOf),"Critical",IF($M201="Unmapped","Warning",IF($N201&gt;2*$O201,"Critical",IF($N201&gt;$O201,"Warning","On track")))))))</f>
        <v/>
      </c>
      <c r="Q201" s="29" t="str">
        <f aca="false">IF(OR($P201="",$P201="Closed",$P201="On track"),"",IF($J201="Y","Flagged as an impediment",IF(AND($I201&lt;&gt;"",$I201&lt;AsOf),"Past due since "&amp;TEXT($I201,"yyyy-mm-dd"),IF($M201="Unmapped","Status '"&amp;$C201&amp;"' is not in the Config map","No update in "&amp;$N201&amp;" days (limit "&amp;$O201&amp;")"))))</f>
        <v/>
      </c>
      <c r="R201" s="29" t="str">
        <f aca="false">IF(OR($P201="",$P201="Closed",$P201="On track"),"",IF($P201="Critical",3000,2000)+$N201+ROW()/100000)</f>
        <v/>
      </c>
      <c r="S201" s="29" t="str">
        <f aca="false">IF($R201="","","draft Jira update for "&amp;$A201)</f>
        <v/>
      </c>
      <c r="T201" s="29" t="str">
        <f aca="false">IF($A201="","",HYPERLINK(JiraSite&amp;"/browse/"&amp;$A201,"open"))</f>
        <v/>
      </c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7"/>
      <c r="H202" s="27"/>
      <c r="I202" s="27"/>
      <c r="J202" s="24"/>
      <c r="K202" s="24"/>
      <c r="L202" s="24"/>
      <c r="M202" s="29" t="str">
        <f aca="false">IF($A202="","",IFERROR(INDEX(MapStage,MATCH($C202,MapStatus,0)),"Unmapped"))</f>
        <v/>
      </c>
      <c r="N202" s="29" t="str">
        <f aca="false">IF($A202="","",AsOf-$H202)</f>
        <v/>
      </c>
      <c r="O202" s="29" t="str">
        <f aca="false">IF(OR($M202="",$M202="Closed",$M202="Unmapped"),"",INDEX(StageStale,MATCH($M202,StageName,0)))</f>
        <v/>
      </c>
      <c r="P202" s="29" t="str">
        <f aca="false">IF($A202="","",IF($M202="Closed","Closed",IF($J202="Y","Critical",IF(AND($I202&lt;&gt;"",$I202&lt;AsOf),"Critical",IF($M202="Unmapped","Warning",IF($N202&gt;2*$O202,"Critical",IF($N202&gt;$O202,"Warning","On track")))))))</f>
        <v/>
      </c>
      <c r="Q202" s="29" t="str">
        <f aca="false">IF(OR($P202="",$P202="Closed",$P202="On track"),"",IF($J202="Y","Flagged as an impediment",IF(AND($I202&lt;&gt;"",$I202&lt;AsOf),"Past due since "&amp;TEXT($I202,"yyyy-mm-dd"),IF($M202="Unmapped","Status '"&amp;$C202&amp;"' is not in the Config map","No update in "&amp;$N202&amp;" days (limit "&amp;$O202&amp;")"))))</f>
        <v/>
      </c>
      <c r="R202" s="29" t="str">
        <f aca="false">IF(OR($P202="",$P202="Closed",$P202="On track"),"",IF($P202="Critical",3000,2000)+$N202+ROW()/100000)</f>
        <v/>
      </c>
      <c r="S202" s="29" t="str">
        <f aca="false">IF($R202="","","draft Jira update for "&amp;$A202)</f>
        <v/>
      </c>
      <c r="T202" s="29" t="str">
        <f aca="false">IF($A202="","",HYPERLINK(JiraSite&amp;"/browse/"&amp;$A202,"open"))</f>
        <v/>
      </c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7"/>
      <c r="H203" s="27"/>
      <c r="I203" s="27"/>
      <c r="J203" s="24"/>
      <c r="K203" s="24"/>
      <c r="L203" s="24"/>
      <c r="M203" s="29" t="str">
        <f aca="false">IF($A203="","",IFERROR(INDEX(MapStage,MATCH($C203,MapStatus,0)),"Unmapped"))</f>
        <v/>
      </c>
      <c r="N203" s="29" t="str">
        <f aca="false">IF($A203="","",AsOf-$H203)</f>
        <v/>
      </c>
      <c r="O203" s="29" t="str">
        <f aca="false">IF(OR($M203="",$M203="Closed",$M203="Unmapped"),"",INDEX(StageStale,MATCH($M203,StageName,0)))</f>
        <v/>
      </c>
      <c r="P203" s="29" t="str">
        <f aca="false">IF($A203="","",IF($M203="Closed","Closed",IF($J203="Y","Critical",IF(AND($I203&lt;&gt;"",$I203&lt;AsOf),"Critical",IF($M203="Unmapped","Warning",IF($N203&gt;2*$O203,"Critical",IF($N203&gt;$O203,"Warning","On track")))))))</f>
        <v/>
      </c>
      <c r="Q203" s="29" t="str">
        <f aca="false">IF(OR($P203="",$P203="Closed",$P203="On track"),"",IF($J203="Y","Flagged as an impediment",IF(AND($I203&lt;&gt;"",$I203&lt;AsOf),"Past due since "&amp;TEXT($I203,"yyyy-mm-dd"),IF($M203="Unmapped","Status '"&amp;$C203&amp;"' is not in the Config map","No update in "&amp;$N203&amp;" days (limit "&amp;$O203&amp;")"))))</f>
        <v/>
      </c>
      <c r="R203" s="29" t="str">
        <f aca="false">IF(OR($P203="",$P203="Closed",$P203="On track"),"",IF($P203="Critical",3000,2000)+$N203+ROW()/100000)</f>
        <v/>
      </c>
      <c r="S203" s="29" t="str">
        <f aca="false">IF($R203="","","draft Jira update for "&amp;$A203)</f>
        <v/>
      </c>
      <c r="T203" s="29" t="str">
        <f aca="false">IF($A203="","",HYPERLINK(JiraSite&amp;"/browse/"&amp;$A203,"open"))</f>
        <v/>
      </c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7"/>
      <c r="H204" s="27"/>
      <c r="I204" s="27"/>
      <c r="J204" s="24"/>
      <c r="K204" s="24"/>
      <c r="L204" s="24"/>
      <c r="M204" s="29" t="str">
        <f aca="false">IF($A204="","",IFERROR(INDEX(MapStage,MATCH($C204,MapStatus,0)),"Unmapped"))</f>
        <v/>
      </c>
      <c r="N204" s="29" t="str">
        <f aca="false">IF($A204="","",AsOf-$H204)</f>
        <v/>
      </c>
      <c r="O204" s="29" t="str">
        <f aca="false">IF(OR($M204="",$M204="Closed",$M204="Unmapped"),"",INDEX(StageStale,MATCH($M204,StageName,0)))</f>
        <v/>
      </c>
      <c r="P204" s="29" t="str">
        <f aca="false">IF($A204="","",IF($M204="Closed","Closed",IF($J204="Y","Critical",IF(AND($I204&lt;&gt;"",$I204&lt;AsOf),"Critical",IF($M204="Unmapped","Warning",IF($N204&gt;2*$O204,"Critical",IF($N204&gt;$O204,"Warning","On track")))))))</f>
        <v/>
      </c>
      <c r="Q204" s="29" t="str">
        <f aca="false">IF(OR($P204="",$P204="Closed",$P204="On track"),"",IF($J204="Y","Flagged as an impediment",IF(AND($I204&lt;&gt;"",$I204&lt;AsOf),"Past due since "&amp;TEXT($I204,"yyyy-mm-dd"),IF($M204="Unmapped","Status '"&amp;$C204&amp;"' is not in the Config map","No update in "&amp;$N204&amp;" days (limit "&amp;$O204&amp;")"))))</f>
        <v/>
      </c>
      <c r="R204" s="29" t="str">
        <f aca="false">IF(OR($P204="",$P204="Closed",$P204="On track"),"",IF($P204="Critical",3000,2000)+$N204+ROW()/100000)</f>
        <v/>
      </c>
      <c r="S204" s="29" t="str">
        <f aca="false">IF($R204="","","draft Jira update for "&amp;$A204)</f>
        <v/>
      </c>
      <c r="T204" s="29" t="str">
        <f aca="false">IF($A204="","",HYPERLINK(JiraSite&amp;"/browse/"&amp;$A204,"open"))</f>
        <v/>
      </c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7"/>
      <c r="H205" s="27"/>
      <c r="I205" s="27"/>
      <c r="J205" s="24"/>
      <c r="K205" s="24"/>
      <c r="L205" s="24"/>
      <c r="M205" s="29" t="str">
        <f aca="false">IF($A205="","",IFERROR(INDEX(MapStage,MATCH($C205,MapStatus,0)),"Unmapped"))</f>
        <v/>
      </c>
      <c r="N205" s="29" t="str">
        <f aca="false">IF($A205="","",AsOf-$H205)</f>
        <v/>
      </c>
      <c r="O205" s="29" t="str">
        <f aca="false">IF(OR($M205="",$M205="Closed",$M205="Unmapped"),"",INDEX(StageStale,MATCH($M205,StageName,0)))</f>
        <v/>
      </c>
      <c r="P205" s="29" t="str">
        <f aca="false">IF($A205="","",IF($M205="Closed","Closed",IF($J205="Y","Critical",IF(AND($I205&lt;&gt;"",$I205&lt;AsOf),"Critical",IF($M205="Unmapped","Warning",IF($N205&gt;2*$O205,"Critical",IF($N205&gt;$O205,"Warning","On track")))))))</f>
        <v/>
      </c>
      <c r="Q205" s="29" t="str">
        <f aca="false">IF(OR($P205="",$P205="Closed",$P205="On track"),"",IF($J205="Y","Flagged as an impediment",IF(AND($I205&lt;&gt;"",$I205&lt;AsOf),"Past due since "&amp;TEXT($I205,"yyyy-mm-dd"),IF($M205="Unmapped","Status '"&amp;$C205&amp;"' is not in the Config map","No update in "&amp;$N205&amp;" days (limit "&amp;$O205&amp;")"))))</f>
        <v/>
      </c>
      <c r="R205" s="29" t="str">
        <f aca="false">IF(OR($P205="",$P205="Closed",$P205="On track"),"",IF($P205="Critical",3000,2000)+$N205+ROW()/100000)</f>
        <v/>
      </c>
      <c r="S205" s="29" t="str">
        <f aca="false">IF($R205="","","draft Jira update for "&amp;$A205)</f>
        <v/>
      </c>
      <c r="T205" s="29" t="str">
        <f aca="false">IF($A205="","",HYPERLINK(JiraSite&amp;"/browse/"&amp;$A205,"open"))</f>
        <v/>
      </c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7"/>
      <c r="H206" s="27"/>
      <c r="I206" s="27"/>
      <c r="J206" s="24"/>
      <c r="K206" s="24"/>
      <c r="L206" s="24"/>
      <c r="M206" s="29" t="str">
        <f aca="false">IF($A206="","",IFERROR(INDEX(MapStage,MATCH($C206,MapStatus,0)),"Unmapped"))</f>
        <v/>
      </c>
      <c r="N206" s="29" t="str">
        <f aca="false">IF($A206="","",AsOf-$H206)</f>
        <v/>
      </c>
      <c r="O206" s="29" t="str">
        <f aca="false">IF(OR($M206="",$M206="Closed",$M206="Unmapped"),"",INDEX(StageStale,MATCH($M206,StageName,0)))</f>
        <v/>
      </c>
      <c r="P206" s="29" t="str">
        <f aca="false">IF($A206="","",IF($M206="Closed","Closed",IF($J206="Y","Critical",IF(AND($I206&lt;&gt;"",$I206&lt;AsOf),"Critical",IF($M206="Unmapped","Warning",IF($N206&gt;2*$O206,"Critical",IF($N206&gt;$O206,"Warning","On track")))))))</f>
        <v/>
      </c>
      <c r="Q206" s="29" t="str">
        <f aca="false">IF(OR($P206="",$P206="Closed",$P206="On track"),"",IF($J206="Y","Flagged as an impediment",IF(AND($I206&lt;&gt;"",$I206&lt;AsOf),"Past due since "&amp;TEXT($I206,"yyyy-mm-dd"),IF($M206="Unmapped","Status '"&amp;$C206&amp;"' is not in the Config map","No update in "&amp;$N206&amp;" days (limit "&amp;$O206&amp;")"))))</f>
        <v/>
      </c>
      <c r="R206" s="29" t="str">
        <f aca="false">IF(OR($P206="",$P206="Closed",$P206="On track"),"",IF($P206="Critical",3000,2000)+$N206+ROW()/100000)</f>
        <v/>
      </c>
      <c r="S206" s="29" t="str">
        <f aca="false">IF($R206="","","draft Jira update for "&amp;$A206)</f>
        <v/>
      </c>
      <c r="T206" s="29" t="str">
        <f aca="false">IF($A206="","",HYPERLINK(JiraSite&amp;"/browse/"&amp;$A206,"open"))</f>
        <v/>
      </c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7"/>
      <c r="H207" s="27"/>
      <c r="I207" s="27"/>
      <c r="J207" s="24"/>
      <c r="K207" s="24"/>
      <c r="L207" s="24"/>
      <c r="M207" s="29" t="str">
        <f aca="false">IF($A207="","",IFERROR(INDEX(MapStage,MATCH($C207,MapStatus,0)),"Unmapped"))</f>
        <v/>
      </c>
      <c r="N207" s="29" t="str">
        <f aca="false">IF($A207="","",AsOf-$H207)</f>
        <v/>
      </c>
      <c r="O207" s="29" t="str">
        <f aca="false">IF(OR($M207="",$M207="Closed",$M207="Unmapped"),"",INDEX(StageStale,MATCH($M207,StageName,0)))</f>
        <v/>
      </c>
      <c r="P207" s="29" t="str">
        <f aca="false">IF($A207="","",IF($M207="Closed","Closed",IF($J207="Y","Critical",IF(AND($I207&lt;&gt;"",$I207&lt;AsOf),"Critical",IF($M207="Unmapped","Warning",IF($N207&gt;2*$O207,"Critical",IF($N207&gt;$O207,"Warning","On track")))))))</f>
        <v/>
      </c>
      <c r="Q207" s="29" t="str">
        <f aca="false">IF(OR($P207="",$P207="Closed",$P207="On track"),"",IF($J207="Y","Flagged as an impediment",IF(AND($I207&lt;&gt;"",$I207&lt;AsOf),"Past due since "&amp;TEXT($I207,"yyyy-mm-dd"),IF($M207="Unmapped","Status '"&amp;$C207&amp;"' is not in the Config map","No update in "&amp;$N207&amp;" days (limit "&amp;$O207&amp;")"))))</f>
        <v/>
      </c>
      <c r="R207" s="29" t="str">
        <f aca="false">IF(OR($P207="",$P207="Closed",$P207="On track"),"",IF($P207="Critical",3000,2000)+$N207+ROW()/100000)</f>
        <v/>
      </c>
      <c r="S207" s="29" t="str">
        <f aca="false">IF($R207="","","draft Jira update for "&amp;$A207)</f>
        <v/>
      </c>
      <c r="T207" s="29" t="str">
        <f aca="false">IF($A207="","",HYPERLINK(JiraSite&amp;"/browse/"&amp;$A207,"open"))</f>
        <v/>
      </c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7"/>
      <c r="H208" s="27"/>
      <c r="I208" s="27"/>
      <c r="J208" s="24"/>
      <c r="K208" s="24"/>
      <c r="L208" s="24"/>
      <c r="M208" s="29" t="str">
        <f aca="false">IF($A208="","",IFERROR(INDEX(MapStage,MATCH($C208,MapStatus,0)),"Unmapped"))</f>
        <v/>
      </c>
      <c r="N208" s="29" t="str">
        <f aca="false">IF($A208="","",AsOf-$H208)</f>
        <v/>
      </c>
      <c r="O208" s="29" t="str">
        <f aca="false">IF(OR($M208="",$M208="Closed",$M208="Unmapped"),"",INDEX(StageStale,MATCH($M208,StageName,0)))</f>
        <v/>
      </c>
      <c r="P208" s="29" t="str">
        <f aca="false">IF($A208="","",IF($M208="Closed","Closed",IF($J208="Y","Critical",IF(AND($I208&lt;&gt;"",$I208&lt;AsOf),"Critical",IF($M208="Unmapped","Warning",IF($N208&gt;2*$O208,"Critical",IF($N208&gt;$O208,"Warning","On track")))))))</f>
        <v/>
      </c>
      <c r="Q208" s="29" t="str">
        <f aca="false">IF(OR($P208="",$P208="Closed",$P208="On track"),"",IF($J208="Y","Flagged as an impediment",IF(AND($I208&lt;&gt;"",$I208&lt;AsOf),"Past due since "&amp;TEXT($I208,"yyyy-mm-dd"),IF($M208="Unmapped","Status '"&amp;$C208&amp;"' is not in the Config map","No update in "&amp;$N208&amp;" days (limit "&amp;$O208&amp;")"))))</f>
        <v/>
      </c>
      <c r="R208" s="29" t="str">
        <f aca="false">IF(OR($P208="",$P208="Closed",$P208="On track"),"",IF($P208="Critical",3000,2000)+$N208+ROW()/100000)</f>
        <v/>
      </c>
      <c r="S208" s="29" t="str">
        <f aca="false">IF($R208="","","draft Jira update for "&amp;$A208)</f>
        <v/>
      </c>
      <c r="T208" s="29" t="str">
        <f aca="false">IF($A208="","",HYPERLINK(JiraSite&amp;"/browse/"&amp;$A208,"open"))</f>
        <v/>
      </c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7"/>
      <c r="H209" s="27"/>
      <c r="I209" s="27"/>
      <c r="J209" s="24"/>
      <c r="K209" s="24"/>
      <c r="L209" s="24"/>
      <c r="M209" s="29" t="str">
        <f aca="false">IF($A209="","",IFERROR(INDEX(MapStage,MATCH($C209,MapStatus,0)),"Unmapped"))</f>
        <v/>
      </c>
      <c r="N209" s="29" t="str">
        <f aca="false">IF($A209="","",AsOf-$H209)</f>
        <v/>
      </c>
      <c r="O209" s="29" t="str">
        <f aca="false">IF(OR($M209="",$M209="Closed",$M209="Unmapped"),"",INDEX(StageStale,MATCH($M209,StageName,0)))</f>
        <v/>
      </c>
      <c r="P209" s="29" t="str">
        <f aca="false">IF($A209="","",IF($M209="Closed","Closed",IF($J209="Y","Critical",IF(AND($I209&lt;&gt;"",$I209&lt;AsOf),"Critical",IF($M209="Unmapped","Warning",IF($N209&gt;2*$O209,"Critical",IF($N209&gt;$O209,"Warning","On track")))))))</f>
        <v/>
      </c>
      <c r="Q209" s="29" t="str">
        <f aca="false">IF(OR($P209="",$P209="Closed",$P209="On track"),"",IF($J209="Y","Flagged as an impediment",IF(AND($I209&lt;&gt;"",$I209&lt;AsOf),"Past due since "&amp;TEXT($I209,"yyyy-mm-dd"),IF($M209="Unmapped","Status '"&amp;$C209&amp;"' is not in the Config map","No update in "&amp;$N209&amp;" days (limit "&amp;$O209&amp;")"))))</f>
        <v/>
      </c>
      <c r="R209" s="29" t="str">
        <f aca="false">IF(OR($P209="",$P209="Closed",$P209="On track"),"",IF($P209="Critical",3000,2000)+$N209+ROW()/100000)</f>
        <v/>
      </c>
      <c r="S209" s="29" t="str">
        <f aca="false">IF($R209="","","draft Jira update for "&amp;$A209)</f>
        <v/>
      </c>
      <c r="T209" s="29" t="str">
        <f aca="false">IF($A209="","",HYPERLINK(JiraSite&amp;"/browse/"&amp;$A209,"open"))</f>
        <v/>
      </c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7"/>
      <c r="H210" s="27"/>
      <c r="I210" s="27"/>
      <c r="J210" s="24"/>
      <c r="K210" s="24"/>
      <c r="L210" s="24"/>
      <c r="M210" s="29" t="str">
        <f aca="false">IF($A210="","",IFERROR(INDEX(MapStage,MATCH($C210,MapStatus,0)),"Unmapped"))</f>
        <v/>
      </c>
      <c r="N210" s="29" t="str">
        <f aca="false">IF($A210="","",AsOf-$H210)</f>
        <v/>
      </c>
      <c r="O210" s="29" t="str">
        <f aca="false">IF(OR($M210="",$M210="Closed",$M210="Unmapped"),"",INDEX(StageStale,MATCH($M210,StageName,0)))</f>
        <v/>
      </c>
      <c r="P210" s="29" t="str">
        <f aca="false">IF($A210="","",IF($M210="Closed","Closed",IF($J210="Y","Critical",IF(AND($I210&lt;&gt;"",$I210&lt;AsOf),"Critical",IF($M210="Unmapped","Warning",IF($N210&gt;2*$O210,"Critical",IF($N210&gt;$O210,"Warning","On track")))))))</f>
        <v/>
      </c>
      <c r="Q210" s="29" t="str">
        <f aca="false">IF(OR($P210="",$P210="Closed",$P210="On track"),"",IF($J210="Y","Flagged as an impediment",IF(AND($I210&lt;&gt;"",$I210&lt;AsOf),"Past due since "&amp;TEXT($I210,"yyyy-mm-dd"),IF($M210="Unmapped","Status '"&amp;$C210&amp;"' is not in the Config map","No update in "&amp;$N210&amp;" days (limit "&amp;$O210&amp;")"))))</f>
        <v/>
      </c>
      <c r="R210" s="29" t="str">
        <f aca="false">IF(OR($P210="",$P210="Closed",$P210="On track"),"",IF($P210="Critical",3000,2000)+$N210+ROW()/100000)</f>
        <v/>
      </c>
      <c r="S210" s="29" t="str">
        <f aca="false">IF($R210="","","draft Jira update for "&amp;$A210)</f>
        <v/>
      </c>
      <c r="T210" s="29" t="str">
        <f aca="false">IF($A210="","",HYPERLINK(JiraSite&amp;"/browse/"&amp;$A210,"open"))</f>
        <v/>
      </c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7"/>
      <c r="H211" s="27"/>
      <c r="I211" s="27"/>
      <c r="J211" s="24"/>
      <c r="K211" s="24"/>
      <c r="L211" s="24"/>
      <c r="M211" s="29" t="str">
        <f aca="false">IF($A211="","",IFERROR(INDEX(MapStage,MATCH($C211,MapStatus,0)),"Unmapped"))</f>
        <v/>
      </c>
      <c r="N211" s="29" t="str">
        <f aca="false">IF($A211="","",AsOf-$H211)</f>
        <v/>
      </c>
      <c r="O211" s="29" t="str">
        <f aca="false">IF(OR($M211="",$M211="Closed",$M211="Unmapped"),"",INDEX(StageStale,MATCH($M211,StageName,0)))</f>
        <v/>
      </c>
      <c r="P211" s="29" t="str">
        <f aca="false">IF($A211="","",IF($M211="Closed","Closed",IF($J211="Y","Critical",IF(AND($I211&lt;&gt;"",$I211&lt;AsOf),"Critical",IF($M211="Unmapped","Warning",IF($N211&gt;2*$O211,"Critical",IF($N211&gt;$O211,"Warning","On track")))))))</f>
        <v/>
      </c>
      <c r="Q211" s="29" t="str">
        <f aca="false">IF(OR($P211="",$P211="Closed",$P211="On track"),"",IF($J211="Y","Flagged as an impediment",IF(AND($I211&lt;&gt;"",$I211&lt;AsOf),"Past due since "&amp;TEXT($I211,"yyyy-mm-dd"),IF($M211="Unmapped","Status '"&amp;$C211&amp;"' is not in the Config map","No update in "&amp;$N211&amp;" days (limit "&amp;$O211&amp;")"))))</f>
        <v/>
      </c>
      <c r="R211" s="29" t="str">
        <f aca="false">IF(OR($P211="",$P211="Closed",$P211="On track"),"",IF($P211="Critical",3000,2000)+$N211+ROW()/100000)</f>
        <v/>
      </c>
      <c r="S211" s="29" t="str">
        <f aca="false">IF($R211="","","draft Jira update for "&amp;$A211)</f>
        <v/>
      </c>
      <c r="T211" s="29" t="str">
        <f aca="false">IF($A211="","",HYPERLINK(JiraSite&amp;"/browse/"&amp;$A211,"open"))</f>
        <v/>
      </c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7"/>
      <c r="H212" s="27"/>
      <c r="I212" s="27"/>
      <c r="J212" s="24"/>
      <c r="K212" s="24"/>
      <c r="L212" s="24"/>
      <c r="M212" s="29" t="str">
        <f aca="false">IF($A212="","",IFERROR(INDEX(MapStage,MATCH($C212,MapStatus,0)),"Unmapped"))</f>
        <v/>
      </c>
      <c r="N212" s="29" t="str">
        <f aca="false">IF($A212="","",AsOf-$H212)</f>
        <v/>
      </c>
      <c r="O212" s="29" t="str">
        <f aca="false">IF(OR($M212="",$M212="Closed",$M212="Unmapped"),"",INDEX(StageStale,MATCH($M212,StageName,0)))</f>
        <v/>
      </c>
      <c r="P212" s="29" t="str">
        <f aca="false">IF($A212="","",IF($M212="Closed","Closed",IF($J212="Y","Critical",IF(AND($I212&lt;&gt;"",$I212&lt;AsOf),"Critical",IF($M212="Unmapped","Warning",IF($N212&gt;2*$O212,"Critical",IF($N212&gt;$O212,"Warning","On track")))))))</f>
        <v/>
      </c>
      <c r="Q212" s="29" t="str">
        <f aca="false">IF(OR($P212="",$P212="Closed",$P212="On track"),"",IF($J212="Y","Flagged as an impediment",IF(AND($I212&lt;&gt;"",$I212&lt;AsOf),"Past due since "&amp;TEXT($I212,"yyyy-mm-dd"),IF($M212="Unmapped","Status '"&amp;$C212&amp;"' is not in the Config map","No update in "&amp;$N212&amp;" days (limit "&amp;$O212&amp;")"))))</f>
        <v/>
      </c>
      <c r="R212" s="29" t="str">
        <f aca="false">IF(OR($P212="",$P212="Closed",$P212="On track"),"",IF($P212="Critical",3000,2000)+$N212+ROW()/100000)</f>
        <v/>
      </c>
      <c r="S212" s="29" t="str">
        <f aca="false">IF($R212="","","draft Jira update for "&amp;$A212)</f>
        <v/>
      </c>
      <c r="T212" s="29" t="str">
        <f aca="false">IF($A212="","",HYPERLINK(JiraSite&amp;"/browse/"&amp;$A212,"open"))</f>
        <v/>
      </c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7"/>
      <c r="H213" s="27"/>
      <c r="I213" s="27"/>
      <c r="J213" s="24"/>
      <c r="K213" s="24"/>
      <c r="L213" s="24"/>
      <c r="M213" s="29" t="str">
        <f aca="false">IF($A213="","",IFERROR(INDEX(MapStage,MATCH($C213,MapStatus,0)),"Unmapped"))</f>
        <v/>
      </c>
      <c r="N213" s="29" t="str">
        <f aca="false">IF($A213="","",AsOf-$H213)</f>
        <v/>
      </c>
      <c r="O213" s="29" t="str">
        <f aca="false">IF(OR($M213="",$M213="Closed",$M213="Unmapped"),"",INDEX(StageStale,MATCH($M213,StageName,0)))</f>
        <v/>
      </c>
      <c r="P213" s="29" t="str">
        <f aca="false">IF($A213="","",IF($M213="Closed","Closed",IF($J213="Y","Critical",IF(AND($I213&lt;&gt;"",$I213&lt;AsOf),"Critical",IF($M213="Unmapped","Warning",IF($N213&gt;2*$O213,"Critical",IF($N213&gt;$O213,"Warning","On track")))))))</f>
        <v/>
      </c>
      <c r="Q213" s="29" t="str">
        <f aca="false">IF(OR($P213="",$P213="Closed",$P213="On track"),"",IF($J213="Y","Flagged as an impediment",IF(AND($I213&lt;&gt;"",$I213&lt;AsOf),"Past due since "&amp;TEXT($I213,"yyyy-mm-dd"),IF($M213="Unmapped","Status '"&amp;$C213&amp;"' is not in the Config map","No update in "&amp;$N213&amp;" days (limit "&amp;$O213&amp;")"))))</f>
        <v/>
      </c>
      <c r="R213" s="29" t="str">
        <f aca="false">IF(OR($P213="",$P213="Closed",$P213="On track"),"",IF($P213="Critical",3000,2000)+$N213+ROW()/100000)</f>
        <v/>
      </c>
      <c r="S213" s="29" t="str">
        <f aca="false">IF($R213="","","draft Jira update for "&amp;$A213)</f>
        <v/>
      </c>
      <c r="T213" s="29" t="str">
        <f aca="false">IF($A213="","",HYPERLINK(JiraSite&amp;"/browse/"&amp;$A213,"open"))</f>
        <v/>
      </c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7"/>
      <c r="H214" s="27"/>
      <c r="I214" s="27"/>
      <c r="J214" s="24"/>
      <c r="K214" s="24"/>
      <c r="L214" s="24"/>
      <c r="M214" s="29" t="str">
        <f aca="false">IF($A214="","",IFERROR(INDEX(MapStage,MATCH($C214,MapStatus,0)),"Unmapped"))</f>
        <v/>
      </c>
      <c r="N214" s="29" t="str">
        <f aca="false">IF($A214="","",AsOf-$H214)</f>
        <v/>
      </c>
      <c r="O214" s="29" t="str">
        <f aca="false">IF(OR($M214="",$M214="Closed",$M214="Unmapped"),"",INDEX(StageStale,MATCH($M214,StageName,0)))</f>
        <v/>
      </c>
      <c r="P214" s="29" t="str">
        <f aca="false">IF($A214="","",IF($M214="Closed","Closed",IF($J214="Y","Critical",IF(AND($I214&lt;&gt;"",$I214&lt;AsOf),"Critical",IF($M214="Unmapped","Warning",IF($N214&gt;2*$O214,"Critical",IF($N214&gt;$O214,"Warning","On track")))))))</f>
        <v/>
      </c>
      <c r="Q214" s="29" t="str">
        <f aca="false">IF(OR($P214="",$P214="Closed",$P214="On track"),"",IF($J214="Y","Flagged as an impediment",IF(AND($I214&lt;&gt;"",$I214&lt;AsOf),"Past due since "&amp;TEXT($I214,"yyyy-mm-dd"),IF($M214="Unmapped","Status '"&amp;$C214&amp;"' is not in the Config map","No update in "&amp;$N214&amp;" days (limit "&amp;$O214&amp;")"))))</f>
        <v/>
      </c>
      <c r="R214" s="29" t="str">
        <f aca="false">IF(OR($P214="",$P214="Closed",$P214="On track"),"",IF($P214="Critical",3000,2000)+$N214+ROW()/100000)</f>
        <v/>
      </c>
      <c r="S214" s="29" t="str">
        <f aca="false">IF($R214="","","draft Jira update for "&amp;$A214)</f>
        <v/>
      </c>
      <c r="T214" s="29" t="str">
        <f aca="false">IF($A214="","",HYPERLINK(JiraSite&amp;"/browse/"&amp;$A214,"open"))</f>
        <v/>
      </c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7"/>
      <c r="H215" s="27"/>
      <c r="I215" s="27"/>
      <c r="J215" s="24"/>
      <c r="K215" s="24"/>
      <c r="L215" s="24"/>
      <c r="M215" s="29" t="str">
        <f aca="false">IF($A215="","",IFERROR(INDEX(MapStage,MATCH($C215,MapStatus,0)),"Unmapped"))</f>
        <v/>
      </c>
      <c r="N215" s="29" t="str">
        <f aca="false">IF($A215="","",AsOf-$H215)</f>
        <v/>
      </c>
      <c r="O215" s="29" t="str">
        <f aca="false">IF(OR($M215="",$M215="Closed",$M215="Unmapped"),"",INDEX(StageStale,MATCH($M215,StageName,0)))</f>
        <v/>
      </c>
      <c r="P215" s="29" t="str">
        <f aca="false">IF($A215="","",IF($M215="Closed","Closed",IF($J215="Y","Critical",IF(AND($I215&lt;&gt;"",$I215&lt;AsOf),"Critical",IF($M215="Unmapped","Warning",IF($N215&gt;2*$O215,"Critical",IF($N215&gt;$O215,"Warning","On track")))))))</f>
        <v/>
      </c>
      <c r="Q215" s="29" t="str">
        <f aca="false">IF(OR($P215="",$P215="Closed",$P215="On track"),"",IF($J215="Y","Flagged as an impediment",IF(AND($I215&lt;&gt;"",$I215&lt;AsOf),"Past due since "&amp;TEXT($I215,"yyyy-mm-dd"),IF($M215="Unmapped","Status '"&amp;$C215&amp;"' is not in the Config map","No update in "&amp;$N215&amp;" days (limit "&amp;$O215&amp;")"))))</f>
        <v/>
      </c>
      <c r="R215" s="29" t="str">
        <f aca="false">IF(OR($P215="",$P215="Closed",$P215="On track"),"",IF($P215="Critical",3000,2000)+$N215+ROW()/100000)</f>
        <v/>
      </c>
      <c r="S215" s="29" t="str">
        <f aca="false">IF($R215="","","draft Jira update for "&amp;$A215)</f>
        <v/>
      </c>
      <c r="T215" s="29" t="str">
        <f aca="false">IF($A215="","",HYPERLINK(JiraSite&amp;"/browse/"&amp;$A215,"open"))</f>
        <v/>
      </c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7"/>
      <c r="H216" s="27"/>
      <c r="I216" s="27"/>
      <c r="J216" s="24"/>
      <c r="K216" s="24"/>
      <c r="L216" s="24"/>
      <c r="M216" s="29" t="str">
        <f aca="false">IF($A216="","",IFERROR(INDEX(MapStage,MATCH($C216,MapStatus,0)),"Unmapped"))</f>
        <v/>
      </c>
      <c r="N216" s="29" t="str">
        <f aca="false">IF($A216="","",AsOf-$H216)</f>
        <v/>
      </c>
      <c r="O216" s="29" t="str">
        <f aca="false">IF(OR($M216="",$M216="Closed",$M216="Unmapped"),"",INDEX(StageStale,MATCH($M216,StageName,0)))</f>
        <v/>
      </c>
      <c r="P216" s="29" t="str">
        <f aca="false">IF($A216="","",IF($M216="Closed","Closed",IF($J216="Y","Critical",IF(AND($I216&lt;&gt;"",$I216&lt;AsOf),"Critical",IF($M216="Unmapped","Warning",IF($N216&gt;2*$O216,"Critical",IF($N216&gt;$O216,"Warning","On track")))))))</f>
        <v/>
      </c>
      <c r="Q216" s="29" t="str">
        <f aca="false">IF(OR($P216="",$P216="Closed",$P216="On track"),"",IF($J216="Y","Flagged as an impediment",IF(AND($I216&lt;&gt;"",$I216&lt;AsOf),"Past due since "&amp;TEXT($I216,"yyyy-mm-dd"),IF($M216="Unmapped","Status '"&amp;$C216&amp;"' is not in the Config map","No update in "&amp;$N216&amp;" days (limit "&amp;$O216&amp;")"))))</f>
        <v/>
      </c>
      <c r="R216" s="29" t="str">
        <f aca="false">IF(OR($P216="",$P216="Closed",$P216="On track"),"",IF($P216="Critical",3000,2000)+$N216+ROW()/100000)</f>
        <v/>
      </c>
      <c r="S216" s="29" t="str">
        <f aca="false">IF($R216="","","draft Jira update for "&amp;$A216)</f>
        <v/>
      </c>
      <c r="T216" s="29" t="str">
        <f aca="false">IF($A216="","",HYPERLINK(JiraSite&amp;"/browse/"&amp;$A216,"open"))</f>
        <v/>
      </c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7"/>
      <c r="H217" s="27"/>
      <c r="I217" s="27"/>
      <c r="J217" s="24"/>
      <c r="K217" s="24"/>
      <c r="L217" s="24"/>
      <c r="M217" s="29" t="str">
        <f aca="false">IF($A217="","",IFERROR(INDEX(MapStage,MATCH($C217,MapStatus,0)),"Unmapped"))</f>
        <v/>
      </c>
      <c r="N217" s="29" t="str">
        <f aca="false">IF($A217="","",AsOf-$H217)</f>
        <v/>
      </c>
      <c r="O217" s="29" t="str">
        <f aca="false">IF(OR($M217="",$M217="Closed",$M217="Unmapped"),"",INDEX(StageStale,MATCH($M217,StageName,0)))</f>
        <v/>
      </c>
      <c r="P217" s="29" t="str">
        <f aca="false">IF($A217="","",IF($M217="Closed","Closed",IF($J217="Y","Critical",IF(AND($I217&lt;&gt;"",$I217&lt;AsOf),"Critical",IF($M217="Unmapped","Warning",IF($N217&gt;2*$O217,"Critical",IF($N217&gt;$O217,"Warning","On track")))))))</f>
        <v/>
      </c>
      <c r="Q217" s="29" t="str">
        <f aca="false">IF(OR($P217="",$P217="Closed",$P217="On track"),"",IF($J217="Y","Flagged as an impediment",IF(AND($I217&lt;&gt;"",$I217&lt;AsOf),"Past due since "&amp;TEXT($I217,"yyyy-mm-dd"),IF($M217="Unmapped","Status '"&amp;$C217&amp;"' is not in the Config map","No update in "&amp;$N217&amp;" days (limit "&amp;$O217&amp;")"))))</f>
        <v/>
      </c>
      <c r="R217" s="29" t="str">
        <f aca="false">IF(OR($P217="",$P217="Closed",$P217="On track"),"",IF($P217="Critical",3000,2000)+$N217+ROW()/100000)</f>
        <v/>
      </c>
      <c r="S217" s="29" t="str">
        <f aca="false">IF($R217="","","draft Jira update for "&amp;$A217)</f>
        <v/>
      </c>
      <c r="T217" s="29" t="str">
        <f aca="false">IF($A217="","",HYPERLINK(JiraSite&amp;"/browse/"&amp;$A217,"open"))</f>
        <v/>
      </c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7"/>
      <c r="H218" s="27"/>
      <c r="I218" s="27"/>
      <c r="J218" s="24"/>
      <c r="K218" s="24"/>
      <c r="L218" s="24"/>
      <c r="M218" s="29" t="str">
        <f aca="false">IF($A218="","",IFERROR(INDEX(MapStage,MATCH($C218,MapStatus,0)),"Unmapped"))</f>
        <v/>
      </c>
      <c r="N218" s="29" t="str">
        <f aca="false">IF($A218="","",AsOf-$H218)</f>
        <v/>
      </c>
      <c r="O218" s="29" t="str">
        <f aca="false">IF(OR($M218="",$M218="Closed",$M218="Unmapped"),"",INDEX(StageStale,MATCH($M218,StageName,0)))</f>
        <v/>
      </c>
      <c r="P218" s="29" t="str">
        <f aca="false">IF($A218="","",IF($M218="Closed","Closed",IF($J218="Y","Critical",IF(AND($I218&lt;&gt;"",$I218&lt;AsOf),"Critical",IF($M218="Unmapped","Warning",IF($N218&gt;2*$O218,"Critical",IF($N218&gt;$O218,"Warning","On track")))))))</f>
        <v/>
      </c>
      <c r="Q218" s="29" t="str">
        <f aca="false">IF(OR($P218="",$P218="Closed",$P218="On track"),"",IF($J218="Y","Flagged as an impediment",IF(AND($I218&lt;&gt;"",$I218&lt;AsOf),"Past due since "&amp;TEXT($I218,"yyyy-mm-dd"),IF($M218="Unmapped","Status '"&amp;$C218&amp;"' is not in the Config map","No update in "&amp;$N218&amp;" days (limit "&amp;$O218&amp;")"))))</f>
        <v/>
      </c>
      <c r="R218" s="29" t="str">
        <f aca="false">IF(OR($P218="",$P218="Closed",$P218="On track"),"",IF($P218="Critical",3000,2000)+$N218+ROW()/100000)</f>
        <v/>
      </c>
      <c r="S218" s="29" t="str">
        <f aca="false">IF($R218="","","draft Jira update for "&amp;$A218)</f>
        <v/>
      </c>
      <c r="T218" s="29" t="str">
        <f aca="false">IF($A218="","",HYPERLINK(JiraSite&amp;"/browse/"&amp;$A218,"open"))</f>
        <v/>
      </c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7"/>
      <c r="H219" s="27"/>
      <c r="I219" s="27"/>
      <c r="J219" s="24"/>
      <c r="K219" s="24"/>
      <c r="L219" s="24"/>
      <c r="M219" s="29" t="str">
        <f aca="false">IF($A219="","",IFERROR(INDEX(MapStage,MATCH($C219,MapStatus,0)),"Unmapped"))</f>
        <v/>
      </c>
      <c r="N219" s="29" t="str">
        <f aca="false">IF($A219="","",AsOf-$H219)</f>
        <v/>
      </c>
      <c r="O219" s="29" t="str">
        <f aca="false">IF(OR($M219="",$M219="Closed",$M219="Unmapped"),"",INDEX(StageStale,MATCH($M219,StageName,0)))</f>
        <v/>
      </c>
      <c r="P219" s="29" t="str">
        <f aca="false">IF($A219="","",IF($M219="Closed","Closed",IF($J219="Y","Critical",IF(AND($I219&lt;&gt;"",$I219&lt;AsOf),"Critical",IF($M219="Unmapped","Warning",IF($N219&gt;2*$O219,"Critical",IF($N219&gt;$O219,"Warning","On track")))))))</f>
        <v/>
      </c>
      <c r="Q219" s="29" t="str">
        <f aca="false">IF(OR($P219="",$P219="Closed",$P219="On track"),"",IF($J219="Y","Flagged as an impediment",IF(AND($I219&lt;&gt;"",$I219&lt;AsOf),"Past due since "&amp;TEXT($I219,"yyyy-mm-dd"),IF($M219="Unmapped","Status '"&amp;$C219&amp;"' is not in the Config map","No update in "&amp;$N219&amp;" days (limit "&amp;$O219&amp;")"))))</f>
        <v/>
      </c>
      <c r="R219" s="29" t="str">
        <f aca="false">IF(OR($P219="",$P219="Closed",$P219="On track"),"",IF($P219="Critical",3000,2000)+$N219+ROW()/100000)</f>
        <v/>
      </c>
      <c r="S219" s="29" t="str">
        <f aca="false">IF($R219="","","draft Jira update for "&amp;$A219)</f>
        <v/>
      </c>
      <c r="T219" s="29" t="str">
        <f aca="false">IF($A219="","",HYPERLINK(JiraSite&amp;"/browse/"&amp;$A219,"open"))</f>
        <v/>
      </c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7"/>
      <c r="H220" s="27"/>
      <c r="I220" s="27"/>
      <c r="J220" s="24"/>
      <c r="K220" s="24"/>
      <c r="L220" s="24"/>
      <c r="M220" s="29" t="str">
        <f aca="false">IF($A220="","",IFERROR(INDEX(MapStage,MATCH($C220,MapStatus,0)),"Unmapped"))</f>
        <v/>
      </c>
      <c r="N220" s="29" t="str">
        <f aca="false">IF($A220="","",AsOf-$H220)</f>
        <v/>
      </c>
      <c r="O220" s="29" t="str">
        <f aca="false">IF(OR($M220="",$M220="Closed",$M220="Unmapped"),"",INDEX(StageStale,MATCH($M220,StageName,0)))</f>
        <v/>
      </c>
      <c r="P220" s="29" t="str">
        <f aca="false">IF($A220="","",IF($M220="Closed","Closed",IF($J220="Y","Critical",IF(AND($I220&lt;&gt;"",$I220&lt;AsOf),"Critical",IF($M220="Unmapped","Warning",IF($N220&gt;2*$O220,"Critical",IF($N220&gt;$O220,"Warning","On track")))))))</f>
        <v/>
      </c>
      <c r="Q220" s="29" t="str">
        <f aca="false">IF(OR($P220="",$P220="Closed",$P220="On track"),"",IF($J220="Y","Flagged as an impediment",IF(AND($I220&lt;&gt;"",$I220&lt;AsOf),"Past due since "&amp;TEXT($I220,"yyyy-mm-dd"),IF($M220="Unmapped","Status '"&amp;$C220&amp;"' is not in the Config map","No update in "&amp;$N220&amp;" days (limit "&amp;$O220&amp;")"))))</f>
        <v/>
      </c>
      <c r="R220" s="29" t="str">
        <f aca="false">IF(OR($P220="",$P220="Closed",$P220="On track"),"",IF($P220="Critical",3000,2000)+$N220+ROW()/100000)</f>
        <v/>
      </c>
      <c r="S220" s="29" t="str">
        <f aca="false">IF($R220="","","draft Jira update for "&amp;$A220)</f>
        <v/>
      </c>
      <c r="T220" s="29" t="str">
        <f aca="false">IF($A220="","",HYPERLINK(JiraSite&amp;"/browse/"&amp;$A220,"open"))</f>
        <v/>
      </c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7"/>
      <c r="H221" s="27"/>
      <c r="I221" s="27"/>
      <c r="J221" s="24"/>
      <c r="K221" s="24"/>
      <c r="L221" s="24"/>
      <c r="M221" s="29" t="str">
        <f aca="false">IF($A221="","",IFERROR(INDEX(MapStage,MATCH($C221,MapStatus,0)),"Unmapped"))</f>
        <v/>
      </c>
      <c r="N221" s="29" t="str">
        <f aca="false">IF($A221="","",AsOf-$H221)</f>
        <v/>
      </c>
      <c r="O221" s="29" t="str">
        <f aca="false">IF(OR($M221="",$M221="Closed",$M221="Unmapped"),"",INDEX(StageStale,MATCH($M221,StageName,0)))</f>
        <v/>
      </c>
      <c r="P221" s="29" t="str">
        <f aca="false">IF($A221="","",IF($M221="Closed","Closed",IF($J221="Y","Critical",IF(AND($I221&lt;&gt;"",$I221&lt;AsOf),"Critical",IF($M221="Unmapped","Warning",IF($N221&gt;2*$O221,"Critical",IF($N221&gt;$O221,"Warning","On track")))))))</f>
        <v/>
      </c>
      <c r="Q221" s="29" t="str">
        <f aca="false">IF(OR($P221="",$P221="Closed",$P221="On track"),"",IF($J221="Y","Flagged as an impediment",IF(AND($I221&lt;&gt;"",$I221&lt;AsOf),"Past due since "&amp;TEXT($I221,"yyyy-mm-dd"),IF($M221="Unmapped","Status '"&amp;$C221&amp;"' is not in the Config map","No update in "&amp;$N221&amp;" days (limit "&amp;$O221&amp;")"))))</f>
        <v/>
      </c>
      <c r="R221" s="29" t="str">
        <f aca="false">IF(OR($P221="",$P221="Closed",$P221="On track"),"",IF($P221="Critical",3000,2000)+$N221+ROW()/100000)</f>
        <v/>
      </c>
      <c r="S221" s="29" t="str">
        <f aca="false">IF($R221="","","draft Jira update for "&amp;$A221)</f>
        <v/>
      </c>
      <c r="T221" s="29" t="str">
        <f aca="false">IF($A221="","",HYPERLINK(JiraSite&amp;"/browse/"&amp;$A221,"open"))</f>
        <v/>
      </c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7"/>
      <c r="H222" s="27"/>
      <c r="I222" s="27"/>
      <c r="J222" s="24"/>
      <c r="K222" s="24"/>
      <c r="L222" s="24"/>
      <c r="M222" s="29" t="str">
        <f aca="false">IF($A222="","",IFERROR(INDEX(MapStage,MATCH($C222,MapStatus,0)),"Unmapped"))</f>
        <v/>
      </c>
      <c r="N222" s="29" t="str">
        <f aca="false">IF($A222="","",AsOf-$H222)</f>
        <v/>
      </c>
      <c r="O222" s="29" t="str">
        <f aca="false">IF(OR($M222="",$M222="Closed",$M222="Unmapped"),"",INDEX(StageStale,MATCH($M222,StageName,0)))</f>
        <v/>
      </c>
      <c r="P222" s="29" t="str">
        <f aca="false">IF($A222="","",IF($M222="Closed","Closed",IF($J222="Y","Critical",IF(AND($I222&lt;&gt;"",$I222&lt;AsOf),"Critical",IF($M222="Unmapped","Warning",IF($N222&gt;2*$O222,"Critical",IF($N222&gt;$O222,"Warning","On track")))))))</f>
        <v/>
      </c>
      <c r="Q222" s="29" t="str">
        <f aca="false">IF(OR($P222="",$P222="Closed",$P222="On track"),"",IF($J222="Y","Flagged as an impediment",IF(AND($I222&lt;&gt;"",$I222&lt;AsOf),"Past due since "&amp;TEXT($I222,"yyyy-mm-dd"),IF($M222="Unmapped","Status '"&amp;$C222&amp;"' is not in the Config map","No update in "&amp;$N222&amp;" days (limit "&amp;$O222&amp;")"))))</f>
        <v/>
      </c>
      <c r="R222" s="29" t="str">
        <f aca="false">IF(OR($P222="",$P222="Closed",$P222="On track"),"",IF($P222="Critical",3000,2000)+$N222+ROW()/100000)</f>
        <v/>
      </c>
      <c r="S222" s="29" t="str">
        <f aca="false">IF($R222="","","draft Jira update for "&amp;$A222)</f>
        <v/>
      </c>
      <c r="T222" s="29" t="str">
        <f aca="false">IF($A222="","",HYPERLINK(JiraSite&amp;"/browse/"&amp;$A222,"open"))</f>
        <v/>
      </c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7"/>
      <c r="H223" s="27"/>
      <c r="I223" s="27"/>
      <c r="J223" s="24"/>
      <c r="K223" s="24"/>
      <c r="L223" s="24"/>
      <c r="M223" s="29" t="str">
        <f aca="false">IF($A223="","",IFERROR(INDEX(MapStage,MATCH($C223,MapStatus,0)),"Unmapped"))</f>
        <v/>
      </c>
      <c r="N223" s="29" t="str">
        <f aca="false">IF($A223="","",AsOf-$H223)</f>
        <v/>
      </c>
      <c r="O223" s="29" t="str">
        <f aca="false">IF(OR($M223="",$M223="Closed",$M223="Unmapped"),"",INDEX(StageStale,MATCH($M223,StageName,0)))</f>
        <v/>
      </c>
      <c r="P223" s="29" t="str">
        <f aca="false">IF($A223="","",IF($M223="Closed","Closed",IF($J223="Y","Critical",IF(AND($I223&lt;&gt;"",$I223&lt;AsOf),"Critical",IF($M223="Unmapped","Warning",IF($N223&gt;2*$O223,"Critical",IF($N223&gt;$O223,"Warning","On track")))))))</f>
        <v/>
      </c>
      <c r="Q223" s="29" t="str">
        <f aca="false">IF(OR($P223="",$P223="Closed",$P223="On track"),"",IF($J223="Y","Flagged as an impediment",IF(AND($I223&lt;&gt;"",$I223&lt;AsOf),"Past due since "&amp;TEXT($I223,"yyyy-mm-dd"),IF($M223="Unmapped","Status '"&amp;$C223&amp;"' is not in the Config map","No update in "&amp;$N223&amp;" days (limit "&amp;$O223&amp;")"))))</f>
        <v/>
      </c>
      <c r="R223" s="29" t="str">
        <f aca="false">IF(OR($P223="",$P223="Closed",$P223="On track"),"",IF($P223="Critical",3000,2000)+$N223+ROW()/100000)</f>
        <v/>
      </c>
      <c r="S223" s="29" t="str">
        <f aca="false">IF($R223="","","draft Jira update for "&amp;$A223)</f>
        <v/>
      </c>
      <c r="T223" s="29" t="str">
        <f aca="false">IF($A223="","",HYPERLINK(JiraSite&amp;"/browse/"&amp;$A223,"open"))</f>
        <v/>
      </c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7"/>
      <c r="H224" s="27"/>
      <c r="I224" s="27"/>
      <c r="J224" s="24"/>
      <c r="K224" s="24"/>
      <c r="L224" s="24"/>
      <c r="M224" s="29" t="str">
        <f aca="false">IF($A224="","",IFERROR(INDEX(MapStage,MATCH($C224,MapStatus,0)),"Unmapped"))</f>
        <v/>
      </c>
      <c r="N224" s="29" t="str">
        <f aca="false">IF($A224="","",AsOf-$H224)</f>
        <v/>
      </c>
      <c r="O224" s="29" t="str">
        <f aca="false">IF(OR($M224="",$M224="Closed",$M224="Unmapped"),"",INDEX(StageStale,MATCH($M224,StageName,0)))</f>
        <v/>
      </c>
      <c r="P224" s="29" t="str">
        <f aca="false">IF($A224="","",IF($M224="Closed","Closed",IF($J224="Y","Critical",IF(AND($I224&lt;&gt;"",$I224&lt;AsOf),"Critical",IF($M224="Unmapped","Warning",IF($N224&gt;2*$O224,"Critical",IF($N224&gt;$O224,"Warning","On track")))))))</f>
        <v/>
      </c>
      <c r="Q224" s="29" t="str">
        <f aca="false">IF(OR($P224="",$P224="Closed",$P224="On track"),"",IF($J224="Y","Flagged as an impediment",IF(AND($I224&lt;&gt;"",$I224&lt;AsOf),"Past due since "&amp;TEXT($I224,"yyyy-mm-dd"),IF($M224="Unmapped","Status '"&amp;$C224&amp;"' is not in the Config map","No update in "&amp;$N224&amp;" days (limit "&amp;$O224&amp;")"))))</f>
        <v/>
      </c>
      <c r="R224" s="29" t="str">
        <f aca="false">IF(OR($P224="",$P224="Closed",$P224="On track"),"",IF($P224="Critical",3000,2000)+$N224+ROW()/100000)</f>
        <v/>
      </c>
      <c r="S224" s="29" t="str">
        <f aca="false">IF($R224="","","draft Jira update for "&amp;$A224)</f>
        <v/>
      </c>
      <c r="T224" s="29" t="str">
        <f aca="false">IF($A224="","",HYPERLINK(JiraSite&amp;"/browse/"&amp;$A224,"open"))</f>
        <v/>
      </c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7"/>
      <c r="H225" s="27"/>
      <c r="I225" s="27"/>
      <c r="J225" s="24"/>
      <c r="K225" s="24"/>
      <c r="L225" s="24"/>
      <c r="M225" s="29" t="str">
        <f aca="false">IF($A225="","",IFERROR(INDEX(MapStage,MATCH($C225,MapStatus,0)),"Unmapped"))</f>
        <v/>
      </c>
      <c r="N225" s="29" t="str">
        <f aca="false">IF($A225="","",AsOf-$H225)</f>
        <v/>
      </c>
      <c r="O225" s="29" t="str">
        <f aca="false">IF(OR($M225="",$M225="Closed",$M225="Unmapped"),"",INDEX(StageStale,MATCH($M225,StageName,0)))</f>
        <v/>
      </c>
      <c r="P225" s="29" t="str">
        <f aca="false">IF($A225="","",IF($M225="Closed","Closed",IF($J225="Y","Critical",IF(AND($I225&lt;&gt;"",$I225&lt;AsOf),"Critical",IF($M225="Unmapped","Warning",IF($N225&gt;2*$O225,"Critical",IF($N225&gt;$O225,"Warning","On track")))))))</f>
        <v/>
      </c>
      <c r="Q225" s="29" t="str">
        <f aca="false">IF(OR($P225="",$P225="Closed",$P225="On track"),"",IF($J225="Y","Flagged as an impediment",IF(AND($I225&lt;&gt;"",$I225&lt;AsOf),"Past due since "&amp;TEXT($I225,"yyyy-mm-dd"),IF($M225="Unmapped","Status '"&amp;$C225&amp;"' is not in the Config map","No update in "&amp;$N225&amp;" days (limit "&amp;$O225&amp;")"))))</f>
        <v/>
      </c>
      <c r="R225" s="29" t="str">
        <f aca="false">IF(OR($P225="",$P225="Closed",$P225="On track"),"",IF($P225="Critical",3000,2000)+$N225+ROW()/100000)</f>
        <v/>
      </c>
      <c r="S225" s="29" t="str">
        <f aca="false">IF($R225="","","draft Jira update for "&amp;$A225)</f>
        <v/>
      </c>
      <c r="T225" s="29" t="str">
        <f aca="false">IF($A225="","",HYPERLINK(JiraSite&amp;"/browse/"&amp;$A225,"open"))</f>
        <v/>
      </c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7"/>
      <c r="H226" s="27"/>
      <c r="I226" s="27"/>
      <c r="J226" s="24"/>
      <c r="K226" s="24"/>
      <c r="L226" s="24"/>
      <c r="M226" s="29" t="str">
        <f aca="false">IF($A226="","",IFERROR(INDEX(MapStage,MATCH($C226,MapStatus,0)),"Unmapped"))</f>
        <v/>
      </c>
      <c r="N226" s="29" t="str">
        <f aca="false">IF($A226="","",AsOf-$H226)</f>
        <v/>
      </c>
      <c r="O226" s="29" t="str">
        <f aca="false">IF(OR($M226="",$M226="Closed",$M226="Unmapped"),"",INDEX(StageStale,MATCH($M226,StageName,0)))</f>
        <v/>
      </c>
      <c r="P226" s="29" t="str">
        <f aca="false">IF($A226="","",IF($M226="Closed","Closed",IF($J226="Y","Critical",IF(AND($I226&lt;&gt;"",$I226&lt;AsOf),"Critical",IF($M226="Unmapped","Warning",IF($N226&gt;2*$O226,"Critical",IF($N226&gt;$O226,"Warning","On track")))))))</f>
        <v/>
      </c>
      <c r="Q226" s="29" t="str">
        <f aca="false">IF(OR($P226="",$P226="Closed",$P226="On track"),"",IF($J226="Y","Flagged as an impediment",IF(AND($I226&lt;&gt;"",$I226&lt;AsOf),"Past due since "&amp;TEXT($I226,"yyyy-mm-dd"),IF($M226="Unmapped","Status '"&amp;$C226&amp;"' is not in the Config map","No update in "&amp;$N226&amp;" days (limit "&amp;$O226&amp;")"))))</f>
        <v/>
      </c>
      <c r="R226" s="29" t="str">
        <f aca="false">IF(OR($P226="",$P226="Closed",$P226="On track"),"",IF($P226="Critical",3000,2000)+$N226+ROW()/100000)</f>
        <v/>
      </c>
      <c r="S226" s="29" t="str">
        <f aca="false">IF($R226="","","draft Jira update for "&amp;$A226)</f>
        <v/>
      </c>
      <c r="T226" s="29" t="str">
        <f aca="false">IF($A226="","",HYPERLINK(JiraSite&amp;"/browse/"&amp;$A226,"open"))</f>
        <v/>
      </c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7"/>
      <c r="H227" s="27"/>
      <c r="I227" s="27"/>
      <c r="J227" s="24"/>
      <c r="K227" s="24"/>
      <c r="L227" s="24"/>
      <c r="M227" s="29" t="str">
        <f aca="false">IF($A227="","",IFERROR(INDEX(MapStage,MATCH($C227,MapStatus,0)),"Unmapped"))</f>
        <v/>
      </c>
      <c r="N227" s="29" t="str">
        <f aca="false">IF($A227="","",AsOf-$H227)</f>
        <v/>
      </c>
      <c r="O227" s="29" t="str">
        <f aca="false">IF(OR($M227="",$M227="Closed",$M227="Unmapped"),"",INDEX(StageStale,MATCH($M227,StageName,0)))</f>
        <v/>
      </c>
      <c r="P227" s="29" t="str">
        <f aca="false">IF($A227="","",IF($M227="Closed","Closed",IF($J227="Y","Critical",IF(AND($I227&lt;&gt;"",$I227&lt;AsOf),"Critical",IF($M227="Unmapped","Warning",IF($N227&gt;2*$O227,"Critical",IF($N227&gt;$O227,"Warning","On track")))))))</f>
        <v/>
      </c>
      <c r="Q227" s="29" t="str">
        <f aca="false">IF(OR($P227="",$P227="Closed",$P227="On track"),"",IF($J227="Y","Flagged as an impediment",IF(AND($I227&lt;&gt;"",$I227&lt;AsOf),"Past due since "&amp;TEXT($I227,"yyyy-mm-dd"),IF($M227="Unmapped","Status '"&amp;$C227&amp;"' is not in the Config map","No update in "&amp;$N227&amp;" days (limit "&amp;$O227&amp;")"))))</f>
        <v/>
      </c>
      <c r="R227" s="29" t="str">
        <f aca="false">IF(OR($P227="",$P227="Closed",$P227="On track"),"",IF($P227="Critical",3000,2000)+$N227+ROW()/100000)</f>
        <v/>
      </c>
      <c r="S227" s="29" t="str">
        <f aca="false">IF($R227="","","draft Jira update for "&amp;$A227)</f>
        <v/>
      </c>
      <c r="T227" s="29" t="str">
        <f aca="false">IF($A227="","",HYPERLINK(JiraSite&amp;"/browse/"&amp;$A227,"open"))</f>
        <v/>
      </c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7"/>
      <c r="H228" s="27"/>
      <c r="I228" s="27"/>
      <c r="J228" s="24"/>
      <c r="K228" s="24"/>
      <c r="L228" s="24"/>
      <c r="M228" s="29" t="str">
        <f aca="false">IF($A228="","",IFERROR(INDEX(MapStage,MATCH($C228,MapStatus,0)),"Unmapped"))</f>
        <v/>
      </c>
      <c r="N228" s="29" t="str">
        <f aca="false">IF($A228="","",AsOf-$H228)</f>
        <v/>
      </c>
      <c r="O228" s="29" t="str">
        <f aca="false">IF(OR($M228="",$M228="Closed",$M228="Unmapped"),"",INDEX(StageStale,MATCH($M228,StageName,0)))</f>
        <v/>
      </c>
      <c r="P228" s="29" t="str">
        <f aca="false">IF($A228="","",IF($M228="Closed","Closed",IF($J228="Y","Critical",IF(AND($I228&lt;&gt;"",$I228&lt;AsOf),"Critical",IF($M228="Unmapped","Warning",IF($N228&gt;2*$O228,"Critical",IF($N228&gt;$O228,"Warning","On track")))))))</f>
        <v/>
      </c>
      <c r="Q228" s="29" t="str">
        <f aca="false">IF(OR($P228="",$P228="Closed",$P228="On track"),"",IF($J228="Y","Flagged as an impediment",IF(AND($I228&lt;&gt;"",$I228&lt;AsOf),"Past due since "&amp;TEXT($I228,"yyyy-mm-dd"),IF($M228="Unmapped","Status '"&amp;$C228&amp;"' is not in the Config map","No update in "&amp;$N228&amp;" days (limit "&amp;$O228&amp;")"))))</f>
        <v/>
      </c>
      <c r="R228" s="29" t="str">
        <f aca="false">IF(OR($P228="",$P228="Closed",$P228="On track"),"",IF($P228="Critical",3000,2000)+$N228+ROW()/100000)</f>
        <v/>
      </c>
      <c r="S228" s="29" t="str">
        <f aca="false">IF($R228="","","draft Jira update for "&amp;$A228)</f>
        <v/>
      </c>
      <c r="T228" s="29" t="str">
        <f aca="false">IF($A228="","",HYPERLINK(JiraSite&amp;"/browse/"&amp;$A228,"open"))</f>
        <v/>
      </c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7"/>
      <c r="H229" s="27"/>
      <c r="I229" s="27"/>
      <c r="J229" s="24"/>
      <c r="K229" s="24"/>
      <c r="L229" s="24"/>
      <c r="M229" s="29" t="str">
        <f aca="false">IF($A229="","",IFERROR(INDEX(MapStage,MATCH($C229,MapStatus,0)),"Unmapped"))</f>
        <v/>
      </c>
      <c r="N229" s="29" t="str">
        <f aca="false">IF($A229="","",AsOf-$H229)</f>
        <v/>
      </c>
      <c r="O229" s="29" t="str">
        <f aca="false">IF(OR($M229="",$M229="Closed",$M229="Unmapped"),"",INDEX(StageStale,MATCH($M229,StageName,0)))</f>
        <v/>
      </c>
      <c r="P229" s="29" t="str">
        <f aca="false">IF($A229="","",IF($M229="Closed","Closed",IF($J229="Y","Critical",IF(AND($I229&lt;&gt;"",$I229&lt;AsOf),"Critical",IF($M229="Unmapped","Warning",IF($N229&gt;2*$O229,"Critical",IF($N229&gt;$O229,"Warning","On track")))))))</f>
        <v/>
      </c>
      <c r="Q229" s="29" t="str">
        <f aca="false">IF(OR($P229="",$P229="Closed",$P229="On track"),"",IF($J229="Y","Flagged as an impediment",IF(AND($I229&lt;&gt;"",$I229&lt;AsOf),"Past due since "&amp;TEXT($I229,"yyyy-mm-dd"),IF($M229="Unmapped","Status '"&amp;$C229&amp;"' is not in the Config map","No update in "&amp;$N229&amp;" days (limit "&amp;$O229&amp;")"))))</f>
        <v/>
      </c>
      <c r="R229" s="29" t="str">
        <f aca="false">IF(OR($P229="",$P229="Closed",$P229="On track"),"",IF($P229="Critical",3000,2000)+$N229+ROW()/100000)</f>
        <v/>
      </c>
      <c r="S229" s="29" t="str">
        <f aca="false">IF($R229="","","draft Jira update for "&amp;$A229)</f>
        <v/>
      </c>
      <c r="T229" s="29" t="str">
        <f aca="false">IF($A229="","",HYPERLINK(JiraSite&amp;"/browse/"&amp;$A229,"open"))</f>
        <v/>
      </c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7"/>
      <c r="H230" s="27"/>
      <c r="I230" s="27"/>
      <c r="J230" s="24"/>
      <c r="K230" s="24"/>
      <c r="L230" s="24"/>
      <c r="M230" s="29" t="str">
        <f aca="false">IF($A230="","",IFERROR(INDEX(MapStage,MATCH($C230,MapStatus,0)),"Unmapped"))</f>
        <v/>
      </c>
      <c r="N230" s="29" t="str">
        <f aca="false">IF($A230="","",AsOf-$H230)</f>
        <v/>
      </c>
      <c r="O230" s="29" t="str">
        <f aca="false">IF(OR($M230="",$M230="Closed",$M230="Unmapped"),"",INDEX(StageStale,MATCH($M230,StageName,0)))</f>
        <v/>
      </c>
      <c r="P230" s="29" t="str">
        <f aca="false">IF($A230="","",IF($M230="Closed","Closed",IF($J230="Y","Critical",IF(AND($I230&lt;&gt;"",$I230&lt;AsOf),"Critical",IF($M230="Unmapped","Warning",IF($N230&gt;2*$O230,"Critical",IF($N230&gt;$O230,"Warning","On track")))))))</f>
        <v/>
      </c>
      <c r="Q230" s="29" t="str">
        <f aca="false">IF(OR($P230="",$P230="Closed",$P230="On track"),"",IF($J230="Y","Flagged as an impediment",IF(AND($I230&lt;&gt;"",$I230&lt;AsOf),"Past due since "&amp;TEXT($I230,"yyyy-mm-dd"),IF($M230="Unmapped","Status '"&amp;$C230&amp;"' is not in the Config map","No update in "&amp;$N230&amp;" days (limit "&amp;$O230&amp;")"))))</f>
        <v/>
      </c>
      <c r="R230" s="29" t="str">
        <f aca="false">IF(OR($P230="",$P230="Closed",$P230="On track"),"",IF($P230="Critical",3000,2000)+$N230+ROW()/100000)</f>
        <v/>
      </c>
      <c r="S230" s="29" t="str">
        <f aca="false">IF($R230="","","draft Jira update for "&amp;$A230)</f>
        <v/>
      </c>
      <c r="T230" s="29" t="str">
        <f aca="false">IF($A230="","",HYPERLINK(JiraSite&amp;"/browse/"&amp;$A230,"open"))</f>
        <v/>
      </c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7"/>
      <c r="H231" s="27"/>
      <c r="I231" s="27"/>
      <c r="J231" s="24"/>
      <c r="K231" s="24"/>
      <c r="L231" s="24"/>
      <c r="M231" s="29" t="str">
        <f aca="false">IF($A231="","",IFERROR(INDEX(MapStage,MATCH($C231,MapStatus,0)),"Unmapped"))</f>
        <v/>
      </c>
      <c r="N231" s="29" t="str">
        <f aca="false">IF($A231="","",AsOf-$H231)</f>
        <v/>
      </c>
      <c r="O231" s="29" t="str">
        <f aca="false">IF(OR($M231="",$M231="Closed",$M231="Unmapped"),"",INDEX(StageStale,MATCH($M231,StageName,0)))</f>
        <v/>
      </c>
      <c r="P231" s="29" t="str">
        <f aca="false">IF($A231="","",IF($M231="Closed","Closed",IF($J231="Y","Critical",IF(AND($I231&lt;&gt;"",$I231&lt;AsOf),"Critical",IF($M231="Unmapped","Warning",IF($N231&gt;2*$O231,"Critical",IF($N231&gt;$O231,"Warning","On track")))))))</f>
        <v/>
      </c>
      <c r="Q231" s="29" t="str">
        <f aca="false">IF(OR($P231="",$P231="Closed",$P231="On track"),"",IF($J231="Y","Flagged as an impediment",IF(AND($I231&lt;&gt;"",$I231&lt;AsOf),"Past due since "&amp;TEXT($I231,"yyyy-mm-dd"),IF($M231="Unmapped","Status '"&amp;$C231&amp;"' is not in the Config map","No update in "&amp;$N231&amp;" days (limit "&amp;$O231&amp;")"))))</f>
        <v/>
      </c>
      <c r="R231" s="29" t="str">
        <f aca="false">IF(OR($P231="",$P231="Closed",$P231="On track"),"",IF($P231="Critical",3000,2000)+$N231+ROW()/100000)</f>
        <v/>
      </c>
      <c r="S231" s="29" t="str">
        <f aca="false">IF($R231="","","draft Jira update for "&amp;$A231)</f>
        <v/>
      </c>
      <c r="T231" s="29" t="str">
        <f aca="false">IF($A231="","",HYPERLINK(JiraSite&amp;"/browse/"&amp;$A231,"open"))</f>
        <v/>
      </c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7"/>
      <c r="H232" s="27"/>
      <c r="I232" s="27"/>
      <c r="J232" s="24"/>
      <c r="K232" s="24"/>
      <c r="L232" s="24"/>
      <c r="M232" s="29" t="str">
        <f aca="false">IF($A232="","",IFERROR(INDEX(MapStage,MATCH($C232,MapStatus,0)),"Unmapped"))</f>
        <v/>
      </c>
      <c r="N232" s="29" t="str">
        <f aca="false">IF($A232="","",AsOf-$H232)</f>
        <v/>
      </c>
      <c r="O232" s="29" t="str">
        <f aca="false">IF(OR($M232="",$M232="Closed",$M232="Unmapped"),"",INDEX(StageStale,MATCH($M232,StageName,0)))</f>
        <v/>
      </c>
      <c r="P232" s="29" t="str">
        <f aca="false">IF($A232="","",IF($M232="Closed","Closed",IF($J232="Y","Critical",IF(AND($I232&lt;&gt;"",$I232&lt;AsOf),"Critical",IF($M232="Unmapped","Warning",IF($N232&gt;2*$O232,"Critical",IF($N232&gt;$O232,"Warning","On track")))))))</f>
        <v/>
      </c>
      <c r="Q232" s="29" t="str">
        <f aca="false">IF(OR($P232="",$P232="Closed",$P232="On track"),"",IF($J232="Y","Flagged as an impediment",IF(AND($I232&lt;&gt;"",$I232&lt;AsOf),"Past due since "&amp;TEXT($I232,"yyyy-mm-dd"),IF($M232="Unmapped","Status '"&amp;$C232&amp;"' is not in the Config map","No update in "&amp;$N232&amp;" days (limit "&amp;$O232&amp;")"))))</f>
        <v/>
      </c>
      <c r="R232" s="29" t="str">
        <f aca="false">IF(OR($P232="",$P232="Closed",$P232="On track"),"",IF($P232="Critical",3000,2000)+$N232+ROW()/100000)</f>
        <v/>
      </c>
      <c r="S232" s="29" t="str">
        <f aca="false">IF($R232="","","draft Jira update for "&amp;$A232)</f>
        <v/>
      </c>
      <c r="T232" s="29" t="str">
        <f aca="false">IF($A232="","",HYPERLINK(JiraSite&amp;"/browse/"&amp;$A232,"open"))</f>
        <v/>
      </c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7"/>
      <c r="H233" s="27"/>
      <c r="I233" s="27"/>
      <c r="J233" s="24"/>
      <c r="K233" s="24"/>
      <c r="L233" s="24"/>
      <c r="M233" s="29" t="str">
        <f aca="false">IF($A233="","",IFERROR(INDEX(MapStage,MATCH($C233,MapStatus,0)),"Unmapped"))</f>
        <v/>
      </c>
      <c r="N233" s="29" t="str">
        <f aca="false">IF($A233="","",AsOf-$H233)</f>
        <v/>
      </c>
      <c r="O233" s="29" t="str">
        <f aca="false">IF(OR($M233="",$M233="Closed",$M233="Unmapped"),"",INDEX(StageStale,MATCH($M233,StageName,0)))</f>
        <v/>
      </c>
      <c r="P233" s="29" t="str">
        <f aca="false">IF($A233="","",IF($M233="Closed","Closed",IF($J233="Y","Critical",IF(AND($I233&lt;&gt;"",$I233&lt;AsOf),"Critical",IF($M233="Unmapped","Warning",IF($N233&gt;2*$O233,"Critical",IF($N233&gt;$O233,"Warning","On track")))))))</f>
        <v/>
      </c>
      <c r="Q233" s="29" t="str">
        <f aca="false">IF(OR($P233="",$P233="Closed",$P233="On track"),"",IF($J233="Y","Flagged as an impediment",IF(AND($I233&lt;&gt;"",$I233&lt;AsOf),"Past due since "&amp;TEXT($I233,"yyyy-mm-dd"),IF($M233="Unmapped","Status '"&amp;$C233&amp;"' is not in the Config map","No update in "&amp;$N233&amp;" days (limit "&amp;$O233&amp;")"))))</f>
        <v/>
      </c>
      <c r="R233" s="29" t="str">
        <f aca="false">IF(OR($P233="",$P233="Closed",$P233="On track"),"",IF($P233="Critical",3000,2000)+$N233+ROW()/100000)</f>
        <v/>
      </c>
      <c r="S233" s="29" t="str">
        <f aca="false">IF($R233="","","draft Jira update for "&amp;$A233)</f>
        <v/>
      </c>
      <c r="T233" s="29" t="str">
        <f aca="false">IF($A233="","",HYPERLINK(JiraSite&amp;"/browse/"&amp;$A233,"open"))</f>
        <v/>
      </c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7"/>
      <c r="H234" s="27"/>
      <c r="I234" s="27"/>
      <c r="J234" s="24"/>
      <c r="K234" s="24"/>
      <c r="L234" s="24"/>
      <c r="M234" s="29" t="str">
        <f aca="false">IF($A234="","",IFERROR(INDEX(MapStage,MATCH($C234,MapStatus,0)),"Unmapped"))</f>
        <v/>
      </c>
      <c r="N234" s="29" t="str">
        <f aca="false">IF($A234="","",AsOf-$H234)</f>
        <v/>
      </c>
      <c r="O234" s="29" t="str">
        <f aca="false">IF(OR($M234="",$M234="Closed",$M234="Unmapped"),"",INDEX(StageStale,MATCH($M234,StageName,0)))</f>
        <v/>
      </c>
      <c r="P234" s="29" t="str">
        <f aca="false">IF($A234="","",IF($M234="Closed","Closed",IF($J234="Y","Critical",IF(AND($I234&lt;&gt;"",$I234&lt;AsOf),"Critical",IF($M234="Unmapped","Warning",IF($N234&gt;2*$O234,"Critical",IF($N234&gt;$O234,"Warning","On track")))))))</f>
        <v/>
      </c>
      <c r="Q234" s="29" t="str">
        <f aca="false">IF(OR($P234="",$P234="Closed",$P234="On track"),"",IF($J234="Y","Flagged as an impediment",IF(AND($I234&lt;&gt;"",$I234&lt;AsOf),"Past due since "&amp;TEXT($I234,"yyyy-mm-dd"),IF($M234="Unmapped","Status '"&amp;$C234&amp;"' is not in the Config map","No update in "&amp;$N234&amp;" days (limit "&amp;$O234&amp;")"))))</f>
        <v/>
      </c>
      <c r="R234" s="29" t="str">
        <f aca="false">IF(OR($P234="",$P234="Closed",$P234="On track"),"",IF($P234="Critical",3000,2000)+$N234+ROW()/100000)</f>
        <v/>
      </c>
      <c r="S234" s="29" t="str">
        <f aca="false">IF($R234="","","draft Jira update for "&amp;$A234)</f>
        <v/>
      </c>
      <c r="T234" s="29" t="str">
        <f aca="false">IF($A234="","",HYPERLINK(JiraSite&amp;"/browse/"&amp;$A234,"open"))</f>
        <v/>
      </c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7"/>
      <c r="H235" s="27"/>
      <c r="I235" s="27"/>
      <c r="J235" s="24"/>
      <c r="K235" s="24"/>
      <c r="L235" s="24"/>
      <c r="M235" s="29" t="str">
        <f aca="false">IF($A235="","",IFERROR(INDEX(MapStage,MATCH($C235,MapStatus,0)),"Unmapped"))</f>
        <v/>
      </c>
      <c r="N235" s="29" t="str">
        <f aca="false">IF($A235="","",AsOf-$H235)</f>
        <v/>
      </c>
      <c r="O235" s="29" t="str">
        <f aca="false">IF(OR($M235="",$M235="Closed",$M235="Unmapped"),"",INDEX(StageStale,MATCH($M235,StageName,0)))</f>
        <v/>
      </c>
      <c r="P235" s="29" t="str">
        <f aca="false">IF($A235="","",IF($M235="Closed","Closed",IF($J235="Y","Critical",IF(AND($I235&lt;&gt;"",$I235&lt;AsOf),"Critical",IF($M235="Unmapped","Warning",IF($N235&gt;2*$O235,"Critical",IF($N235&gt;$O235,"Warning","On track")))))))</f>
        <v/>
      </c>
      <c r="Q235" s="29" t="str">
        <f aca="false">IF(OR($P235="",$P235="Closed",$P235="On track"),"",IF($J235="Y","Flagged as an impediment",IF(AND($I235&lt;&gt;"",$I235&lt;AsOf),"Past due since "&amp;TEXT($I235,"yyyy-mm-dd"),IF($M235="Unmapped","Status '"&amp;$C235&amp;"' is not in the Config map","No update in "&amp;$N235&amp;" days (limit "&amp;$O235&amp;")"))))</f>
        <v/>
      </c>
      <c r="R235" s="29" t="str">
        <f aca="false">IF(OR($P235="",$P235="Closed",$P235="On track"),"",IF($P235="Critical",3000,2000)+$N235+ROW()/100000)</f>
        <v/>
      </c>
      <c r="S235" s="29" t="str">
        <f aca="false">IF($R235="","","draft Jira update for "&amp;$A235)</f>
        <v/>
      </c>
      <c r="T235" s="29" t="str">
        <f aca="false">IF($A235="","",HYPERLINK(JiraSite&amp;"/browse/"&amp;$A235,"open"))</f>
        <v/>
      </c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7"/>
      <c r="H236" s="27"/>
      <c r="I236" s="27"/>
      <c r="J236" s="24"/>
      <c r="K236" s="24"/>
      <c r="L236" s="24"/>
      <c r="M236" s="29" t="str">
        <f aca="false">IF($A236="","",IFERROR(INDEX(MapStage,MATCH($C236,MapStatus,0)),"Unmapped"))</f>
        <v/>
      </c>
      <c r="N236" s="29" t="str">
        <f aca="false">IF($A236="","",AsOf-$H236)</f>
        <v/>
      </c>
      <c r="O236" s="29" t="str">
        <f aca="false">IF(OR($M236="",$M236="Closed",$M236="Unmapped"),"",INDEX(StageStale,MATCH($M236,StageName,0)))</f>
        <v/>
      </c>
      <c r="P236" s="29" t="str">
        <f aca="false">IF($A236="","",IF($M236="Closed","Closed",IF($J236="Y","Critical",IF(AND($I236&lt;&gt;"",$I236&lt;AsOf),"Critical",IF($M236="Unmapped","Warning",IF($N236&gt;2*$O236,"Critical",IF($N236&gt;$O236,"Warning","On track")))))))</f>
        <v/>
      </c>
      <c r="Q236" s="29" t="str">
        <f aca="false">IF(OR($P236="",$P236="Closed",$P236="On track"),"",IF($J236="Y","Flagged as an impediment",IF(AND($I236&lt;&gt;"",$I236&lt;AsOf),"Past due since "&amp;TEXT($I236,"yyyy-mm-dd"),IF($M236="Unmapped","Status '"&amp;$C236&amp;"' is not in the Config map","No update in "&amp;$N236&amp;" days (limit "&amp;$O236&amp;")"))))</f>
        <v/>
      </c>
      <c r="R236" s="29" t="str">
        <f aca="false">IF(OR($P236="",$P236="Closed",$P236="On track"),"",IF($P236="Critical",3000,2000)+$N236+ROW()/100000)</f>
        <v/>
      </c>
      <c r="S236" s="29" t="str">
        <f aca="false">IF($R236="","","draft Jira update for "&amp;$A236)</f>
        <v/>
      </c>
      <c r="T236" s="29" t="str">
        <f aca="false">IF($A236="","",HYPERLINK(JiraSite&amp;"/browse/"&amp;$A236,"open"))</f>
        <v/>
      </c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7"/>
      <c r="H237" s="27"/>
      <c r="I237" s="27"/>
      <c r="J237" s="24"/>
      <c r="K237" s="24"/>
      <c r="L237" s="24"/>
      <c r="M237" s="29" t="str">
        <f aca="false">IF($A237="","",IFERROR(INDEX(MapStage,MATCH($C237,MapStatus,0)),"Unmapped"))</f>
        <v/>
      </c>
      <c r="N237" s="29" t="str">
        <f aca="false">IF($A237="","",AsOf-$H237)</f>
        <v/>
      </c>
      <c r="O237" s="29" t="str">
        <f aca="false">IF(OR($M237="",$M237="Closed",$M237="Unmapped"),"",INDEX(StageStale,MATCH($M237,StageName,0)))</f>
        <v/>
      </c>
      <c r="P237" s="29" t="str">
        <f aca="false">IF($A237="","",IF($M237="Closed","Closed",IF($J237="Y","Critical",IF(AND($I237&lt;&gt;"",$I237&lt;AsOf),"Critical",IF($M237="Unmapped","Warning",IF($N237&gt;2*$O237,"Critical",IF($N237&gt;$O237,"Warning","On track")))))))</f>
        <v/>
      </c>
      <c r="Q237" s="29" t="str">
        <f aca="false">IF(OR($P237="",$P237="Closed",$P237="On track"),"",IF($J237="Y","Flagged as an impediment",IF(AND($I237&lt;&gt;"",$I237&lt;AsOf),"Past due since "&amp;TEXT($I237,"yyyy-mm-dd"),IF($M237="Unmapped","Status '"&amp;$C237&amp;"' is not in the Config map","No update in "&amp;$N237&amp;" days (limit "&amp;$O237&amp;")"))))</f>
        <v/>
      </c>
      <c r="R237" s="29" t="str">
        <f aca="false">IF(OR($P237="",$P237="Closed",$P237="On track"),"",IF($P237="Critical",3000,2000)+$N237+ROW()/100000)</f>
        <v/>
      </c>
      <c r="S237" s="29" t="str">
        <f aca="false">IF($R237="","","draft Jira update for "&amp;$A237)</f>
        <v/>
      </c>
      <c r="T237" s="29" t="str">
        <f aca="false">IF($A237="","",HYPERLINK(JiraSite&amp;"/browse/"&amp;$A237,"open"))</f>
        <v/>
      </c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7"/>
      <c r="H238" s="27"/>
      <c r="I238" s="27"/>
      <c r="J238" s="24"/>
      <c r="K238" s="24"/>
      <c r="L238" s="24"/>
      <c r="M238" s="29" t="str">
        <f aca="false">IF($A238="","",IFERROR(INDEX(MapStage,MATCH($C238,MapStatus,0)),"Unmapped"))</f>
        <v/>
      </c>
      <c r="N238" s="29" t="str">
        <f aca="false">IF($A238="","",AsOf-$H238)</f>
        <v/>
      </c>
      <c r="O238" s="29" t="str">
        <f aca="false">IF(OR($M238="",$M238="Closed",$M238="Unmapped"),"",INDEX(StageStale,MATCH($M238,StageName,0)))</f>
        <v/>
      </c>
      <c r="P238" s="29" t="str">
        <f aca="false">IF($A238="","",IF($M238="Closed","Closed",IF($J238="Y","Critical",IF(AND($I238&lt;&gt;"",$I238&lt;AsOf),"Critical",IF($M238="Unmapped","Warning",IF($N238&gt;2*$O238,"Critical",IF($N238&gt;$O238,"Warning","On track")))))))</f>
        <v/>
      </c>
      <c r="Q238" s="29" t="str">
        <f aca="false">IF(OR($P238="",$P238="Closed",$P238="On track"),"",IF($J238="Y","Flagged as an impediment",IF(AND($I238&lt;&gt;"",$I238&lt;AsOf),"Past due since "&amp;TEXT($I238,"yyyy-mm-dd"),IF($M238="Unmapped","Status '"&amp;$C238&amp;"' is not in the Config map","No update in "&amp;$N238&amp;" days (limit "&amp;$O238&amp;")"))))</f>
        <v/>
      </c>
      <c r="R238" s="29" t="str">
        <f aca="false">IF(OR($P238="",$P238="Closed",$P238="On track"),"",IF($P238="Critical",3000,2000)+$N238+ROW()/100000)</f>
        <v/>
      </c>
      <c r="S238" s="29" t="str">
        <f aca="false">IF($R238="","","draft Jira update for "&amp;$A238)</f>
        <v/>
      </c>
      <c r="T238" s="29" t="str">
        <f aca="false">IF($A238="","",HYPERLINK(JiraSite&amp;"/browse/"&amp;$A238,"open"))</f>
        <v/>
      </c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7"/>
      <c r="H239" s="27"/>
      <c r="I239" s="27"/>
      <c r="J239" s="24"/>
      <c r="K239" s="24"/>
      <c r="L239" s="24"/>
      <c r="M239" s="29" t="str">
        <f aca="false">IF($A239="","",IFERROR(INDEX(MapStage,MATCH($C239,MapStatus,0)),"Unmapped"))</f>
        <v/>
      </c>
      <c r="N239" s="29" t="str">
        <f aca="false">IF($A239="","",AsOf-$H239)</f>
        <v/>
      </c>
      <c r="O239" s="29" t="str">
        <f aca="false">IF(OR($M239="",$M239="Closed",$M239="Unmapped"),"",INDEX(StageStale,MATCH($M239,StageName,0)))</f>
        <v/>
      </c>
      <c r="P239" s="29" t="str">
        <f aca="false">IF($A239="","",IF($M239="Closed","Closed",IF($J239="Y","Critical",IF(AND($I239&lt;&gt;"",$I239&lt;AsOf),"Critical",IF($M239="Unmapped","Warning",IF($N239&gt;2*$O239,"Critical",IF($N239&gt;$O239,"Warning","On track")))))))</f>
        <v/>
      </c>
      <c r="Q239" s="29" t="str">
        <f aca="false">IF(OR($P239="",$P239="Closed",$P239="On track"),"",IF($J239="Y","Flagged as an impediment",IF(AND($I239&lt;&gt;"",$I239&lt;AsOf),"Past due since "&amp;TEXT($I239,"yyyy-mm-dd"),IF($M239="Unmapped","Status '"&amp;$C239&amp;"' is not in the Config map","No update in "&amp;$N239&amp;" days (limit "&amp;$O239&amp;")"))))</f>
        <v/>
      </c>
      <c r="R239" s="29" t="str">
        <f aca="false">IF(OR($P239="",$P239="Closed",$P239="On track"),"",IF($P239="Critical",3000,2000)+$N239+ROW()/100000)</f>
        <v/>
      </c>
      <c r="S239" s="29" t="str">
        <f aca="false">IF($R239="","","draft Jira update for "&amp;$A239)</f>
        <v/>
      </c>
      <c r="T239" s="29" t="str">
        <f aca="false">IF($A239="","",HYPERLINK(JiraSite&amp;"/browse/"&amp;$A239,"open"))</f>
        <v/>
      </c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7"/>
      <c r="H240" s="27"/>
      <c r="I240" s="27"/>
      <c r="J240" s="24"/>
      <c r="K240" s="24"/>
      <c r="L240" s="24"/>
      <c r="M240" s="29" t="str">
        <f aca="false">IF($A240="","",IFERROR(INDEX(MapStage,MATCH($C240,MapStatus,0)),"Unmapped"))</f>
        <v/>
      </c>
      <c r="N240" s="29" t="str">
        <f aca="false">IF($A240="","",AsOf-$H240)</f>
        <v/>
      </c>
      <c r="O240" s="29" t="str">
        <f aca="false">IF(OR($M240="",$M240="Closed",$M240="Unmapped"),"",INDEX(StageStale,MATCH($M240,StageName,0)))</f>
        <v/>
      </c>
      <c r="P240" s="29" t="str">
        <f aca="false">IF($A240="","",IF($M240="Closed","Closed",IF($J240="Y","Critical",IF(AND($I240&lt;&gt;"",$I240&lt;AsOf),"Critical",IF($M240="Unmapped","Warning",IF($N240&gt;2*$O240,"Critical",IF($N240&gt;$O240,"Warning","On track")))))))</f>
        <v/>
      </c>
      <c r="Q240" s="29" t="str">
        <f aca="false">IF(OR($P240="",$P240="Closed",$P240="On track"),"",IF($J240="Y","Flagged as an impediment",IF(AND($I240&lt;&gt;"",$I240&lt;AsOf),"Past due since "&amp;TEXT($I240,"yyyy-mm-dd"),IF($M240="Unmapped","Status '"&amp;$C240&amp;"' is not in the Config map","No update in "&amp;$N240&amp;" days (limit "&amp;$O240&amp;")"))))</f>
        <v/>
      </c>
      <c r="R240" s="29" t="str">
        <f aca="false">IF(OR($P240="",$P240="Closed",$P240="On track"),"",IF($P240="Critical",3000,2000)+$N240+ROW()/100000)</f>
        <v/>
      </c>
      <c r="S240" s="29" t="str">
        <f aca="false">IF($R240="","","draft Jira update for "&amp;$A240)</f>
        <v/>
      </c>
      <c r="T240" s="29" t="str">
        <f aca="false">IF($A240="","",HYPERLINK(JiraSite&amp;"/browse/"&amp;$A240,"open"))</f>
        <v/>
      </c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7"/>
      <c r="H241" s="27"/>
      <c r="I241" s="27"/>
      <c r="J241" s="24"/>
      <c r="K241" s="24"/>
      <c r="L241" s="24"/>
      <c r="M241" s="29" t="str">
        <f aca="false">IF($A241="","",IFERROR(INDEX(MapStage,MATCH($C241,MapStatus,0)),"Unmapped"))</f>
        <v/>
      </c>
      <c r="N241" s="29" t="str">
        <f aca="false">IF($A241="","",AsOf-$H241)</f>
        <v/>
      </c>
      <c r="O241" s="29" t="str">
        <f aca="false">IF(OR($M241="",$M241="Closed",$M241="Unmapped"),"",INDEX(StageStale,MATCH($M241,StageName,0)))</f>
        <v/>
      </c>
      <c r="P241" s="29" t="str">
        <f aca="false">IF($A241="","",IF($M241="Closed","Closed",IF($J241="Y","Critical",IF(AND($I241&lt;&gt;"",$I241&lt;AsOf),"Critical",IF($M241="Unmapped","Warning",IF($N241&gt;2*$O241,"Critical",IF($N241&gt;$O241,"Warning","On track")))))))</f>
        <v/>
      </c>
      <c r="Q241" s="29" t="str">
        <f aca="false">IF(OR($P241="",$P241="Closed",$P241="On track"),"",IF($J241="Y","Flagged as an impediment",IF(AND($I241&lt;&gt;"",$I241&lt;AsOf),"Past due since "&amp;TEXT($I241,"yyyy-mm-dd"),IF($M241="Unmapped","Status '"&amp;$C241&amp;"' is not in the Config map","No update in "&amp;$N241&amp;" days (limit "&amp;$O241&amp;")"))))</f>
        <v/>
      </c>
      <c r="R241" s="29" t="str">
        <f aca="false">IF(OR($P241="",$P241="Closed",$P241="On track"),"",IF($P241="Critical",3000,2000)+$N241+ROW()/100000)</f>
        <v/>
      </c>
      <c r="S241" s="29" t="str">
        <f aca="false">IF($R241="","","draft Jira update for "&amp;$A241)</f>
        <v/>
      </c>
      <c r="T241" s="29" t="str">
        <f aca="false">IF($A241="","",HYPERLINK(JiraSite&amp;"/browse/"&amp;$A241,"open"))</f>
        <v/>
      </c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7"/>
      <c r="H242" s="27"/>
      <c r="I242" s="27"/>
      <c r="J242" s="24"/>
      <c r="K242" s="24"/>
      <c r="L242" s="24"/>
      <c r="M242" s="29" t="str">
        <f aca="false">IF($A242="","",IFERROR(INDEX(MapStage,MATCH($C242,MapStatus,0)),"Unmapped"))</f>
        <v/>
      </c>
      <c r="N242" s="29" t="str">
        <f aca="false">IF($A242="","",AsOf-$H242)</f>
        <v/>
      </c>
      <c r="O242" s="29" t="str">
        <f aca="false">IF(OR($M242="",$M242="Closed",$M242="Unmapped"),"",INDEX(StageStale,MATCH($M242,StageName,0)))</f>
        <v/>
      </c>
      <c r="P242" s="29" t="str">
        <f aca="false">IF($A242="","",IF($M242="Closed","Closed",IF($J242="Y","Critical",IF(AND($I242&lt;&gt;"",$I242&lt;AsOf),"Critical",IF($M242="Unmapped","Warning",IF($N242&gt;2*$O242,"Critical",IF($N242&gt;$O242,"Warning","On track")))))))</f>
        <v/>
      </c>
      <c r="Q242" s="29" t="str">
        <f aca="false">IF(OR($P242="",$P242="Closed",$P242="On track"),"",IF($J242="Y","Flagged as an impediment",IF(AND($I242&lt;&gt;"",$I242&lt;AsOf),"Past due since "&amp;TEXT($I242,"yyyy-mm-dd"),IF($M242="Unmapped","Status '"&amp;$C242&amp;"' is not in the Config map","No update in "&amp;$N242&amp;" days (limit "&amp;$O242&amp;")"))))</f>
        <v/>
      </c>
      <c r="R242" s="29" t="str">
        <f aca="false">IF(OR($P242="",$P242="Closed",$P242="On track"),"",IF($P242="Critical",3000,2000)+$N242+ROW()/100000)</f>
        <v/>
      </c>
      <c r="S242" s="29" t="str">
        <f aca="false">IF($R242="","","draft Jira update for "&amp;$A242)</f>
        <v/>
      </c>
      <c r="T242" s="29" t="str">
        <f aca="false">IF($A242="","",HYPERLINK(JiraSite&amp;"/browse/"&amp;$A242,"open"))</f>
        <v/>
      </c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7"/>
      <c r="H243" s="27"/>
      <c r="I243" s="27"/>
      <c r="J243" s="24"/>
      <c r="K243" s="24"/>
      <c r="L243" s="24"/>
      <c r="M243" s="29" t="str">
        <f aca="false">IF($A243="","",IFERROR(INDEX(MapStage,MATCH($C243,MapStatus,0)),"Unmapped"))</f>
        <v/>
      </c>
      <c r="N243" s="29" t="str">
        <f aca="false">IF($A243="","",AsOf-$H243)</f>
        <v/>
      </c>
      <c r="O243" s="29" t="str">
        <f aca="false">IF(OR($M243="",$M243="Closed",$M243="Unmapped"),"",INDEX(StageStale,MATCH($M243,StageName,0)))</f>
        <v/>
      </c>
      <c r="P243" s="29" t="str">
        <f aca="false">IF($A243="","",IF($M243="Closed","Closed",IF($J243="Y","Critical",IF(AND($I243&lt;&gt;"",$I243&lt;AsOf),"Critical",IF($M243="Unmapped","Warning",IF($N243&gt;2*$O243,"Critical",IF($N243&gt;$O243,"Warning","On track")))))))</f>
        <v/>
      </c>
      <c r="Q243" s="29" t="str">
        <f aca="false">IF(OR($P243="",$P243="Closed",$P243="On track"),"",IF($J243="Y","Flagged as an impediment",IF(AND($I243&lt;&gt;"",$I243&lt;AsOf),"Past due since "&amp;TEXT($I243,"yyyy-mm-dd"),IF($M243="Unmapped","Status '"&amp;$C243&amp;"' is not in the Config map","No update in "&amp;$N243&amp;" days (limit "&amp;$O243&amp;")"))))</f>
        <v/>
      </c>
      <c r="R243" s="29" t="str">
        <f aca="false">IF(OR($P243="",$P243="Closed",$P243="On track"),"",IF($P243="Critical",3000,2000)+$N243+ROW()/100000)</f>
        <v/>
      </c>
      <c r="S243" s="29" t="str">
        <f aca="false">IF($R243="","","draft Jira update for "&amp;$A243)</f>
        <v/>
      </c>
      <c r="T243" s="29" t="str">
        <f aca="false">IF($A243="","",HYPERLINK(JiraSite&amp;"/browse/"&amp;$A243,"open"))</f>
        <v/>
      </c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7"/>
      <c r="H244" s="27"/>
      <c r="I244" s="27"/>
      <c r="J244" s="24"/>
      <c r="K244" s="24"/>
      <c r="L244" s="24"/>
      <c r="M244" s="29" t="str">
        <f aca="false">IF($A244="","",IFERROR(INDEX(MapStage,MATCH($C244,MapStatus,0)),"Unmapped"))</f>
        <v/>
      </c>
      <c r="N244" s="29" t="str">
        <f aca="false">IF($A244="","",AsOf-$H244)</f>
        <v/>
      </c>
      <c r="O244" s="29" t="str">
        <f aca="false">IF(OR($M244="",$M244="Closed",$M244="Unmapped"),"",INDEX(StageStale,MATCH($M244,StageName,0)))</f>
        <v/>
      </c>
      <c r="P244" s="29" t="str">
        <f aca="false">IF($A244="","",IF($M244="Closed","Closed",IF($J244="Y","Critical",IF(AND($I244&lt;&gt;"",$I244&lt;AsOf),"Critical",IF($M244="Unmapped","Warning",IF($N244&gt;2*$O244,"Critical",IF($N244&gt;$O244,"Warning","On track")))))))</f>
        <v/>
      </c>
      <c r="Q244" s="29" t="str">
        <f aca="false">IF(OR($P244="",$P244="Closed",$P244="On track"),"",IF($J244="Y","Flagged as an impediment",IF(AND($I244&lt;&gt;"",$I244&lt;AsOf),"Past due since "&amp;TEXT($I244,"yyyy-mm-dd"),IF($M244="Unmapped","Status '"&amp;$C244&amp;"' is not in the Config map","No update in "&amp;$N244&amp;" days (limit "&amp;$O244&amp;")"))))</f>
        <v/>
      </c>
      <c r="R244" s="29" t="str">
        <f aca="false">IF(OR($P244="",$P244="Closed",$P244="On track"),"",IF($P244="Critical",3000,2000)+$N244+ROW()/100000)</f>
        <v/>
      </c>
      <c r="S244" s="29" t="str">
        <f aca="false">IF($R244="","","draft Jira update for "&amp;$A244)</f>
        <v/>
      </c>
      <c r="T244" s="29" t="str">
        <f aca="false">IF($A244="","",HYPERLINK(JiraSite&amp;"/browse/"&amp;$A244,"open"))</f>
        <v/>
      </c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7"/>
      <c r="H245" s="27"/>
      <c r="I245" s="27"/>
      <c r="J245" s="24"/>
      <c r="K245" s="24"/>
      <c r="L245" s="24"/>
      <c r="M245" s="29" t="str">
        <f aca="false">IF($A245="","",IFERROR(INDEX(MapStage,MATCH($C245,MapStatus,0)),"Unmapped"))</f>
        <v/>
      </c>
      <c r="N245" s="29" t="str">
        <f aca="false">IF($A245="","",AsOf-$H245)</f>
        <v/>
      </c>
      <c r="O245" s="29" t="str">
        <f aca="false">IF(OR($M245="",$M245="Closed",$M245="Unmapped"),"",INDEX(StageStale,MATCH($M245,StageName,0)))</f>
        <v/>
      </c>
      <c r="P245" s="29" t="str">
        <f aca="false">IF($A245="","",IF($M245="Closed","Closed",IF($J245="Y","Critical",IF(AND($I245&lt;&gt;"",$I245&lt;AsOf),"Critical",IF($M245="Unmapped","Warning",IF($N245&gt;2*$O245,"Critical",IF($N245&gt;$O245,"Warning","On track")))))))</f>
        <v/>
      </c>
      <c r="Q245" s="29" t="str">
        <f aca="false">IF(OR($P245="",$P245="Closed",$P245="On track"),"",IF($J245="Y","Flagged as an impediment",IF(AND($I245&lt;&gt;"",$I245&lt;AsOf),"Past due since "&amp;TEXT($I245,"yyyy-mm-dd"),IF($M245="Unmapped","Status '"&amp;$C245&amp;"' is not in the Config map","No update in "&amp;$N245&amp;" days (limit "&amp;$O245&amp;")"))))</f>
        <v/>
      </c>
      <c r="R245" s="29" t="str">
        <f aca="false">IF(OR($P245="",$P245="Closed",$P245="On track"),"",IF($P245="Critical",3000,2000)+$N245+ROW()/100000)</f>
        <v/>
      </c>
      <c r="S245" s="29" t="str">
        <f aca="false">IF($R245="","","draft Jira update for "&amp;$A245)</f>
        <v/>
      </c>
      <c r="T245" s="29" t="str">
        <f aca="false">IF($A245="","",HYPERLINK(JiraSite&amp;"/browse/"&amp;$A245,"open"))</f>
        <v/>
      </c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7"/>
      <c r="H246" s="27"/>
      <c r="I246" s="27"/>
      <c r="J246" s="24"/>
      <c r="K246" s="24"/>
      <c r="L246" s="24"/>
      <c r="M246" s="29" t="str">
        <f aca="false">IF($A246="","",IFERROR(INDEX(MapStage,MATCH($C246,MapStatus,0)),"Unmapped"))</f>
        <v/>
      </c>
      <c r="N246" s="29" t="str">
        <f aca="false">IF($A246="","",AsOf-$H246)</f>
        <v/>
      </c>
      <c r="O246" s="29" t="str">
        <f aca="false">IF(OR($M246="",$M246="Closed",$M246="Unmapped"),"",INDEX(StageStale,MATCH($M246,StageName,0)))</f>
        <v/>
      </c>
      <c r="P246" s="29" t="str">
        <f aca="false">IF($A246="","",IF($M246="Closed","Closed",IF($J246="Y","Critical",IF(AND($I246&lt;&gt;"",$I246&lt;AsOf),"Critical",IF($M246="Unmapped","Warning",IF($N246&gt;2*$O246,"Critical",IF($N246&gt;$O246,"Warning","On track")))))))</f>
        <v/>
      </c>
      <c r="Q246" s="29" t="str">
        <f aca="false">IF(OR($P246="",$P246="Closed",$P246="On track"),"",IF($J246="Y","Flagged as an impediment",IF(AND($I246&lt;&gt;"",$I246&lt;AsOf),"Past due since "&amp;TEXT($I246,"yyyy-mm-dd"),IF($M246="Unmapped","Status '"&amp;$C246&amp;"' is not in the Config map","No update in "&amp;$N246&amp;" days (limit "&amp;$O246&amp;")"))))</f>
        <v/>
      </c>
      <c r="R246" s="29" t="str">
        <f aca="false">IF(OR($P246="",$P246="Closed",$P246="On track"),"",IF($P246="Critical",3000,2000)+$N246+ROW()/100000)</f>
        <v/>
      </c>
      <c r="S246" s="29" t="str">
        <f aca="false">IF($R246="","","draft Jira update for "&amp;$A246)</f>
        <v/>
      </c>
      <c r="T246" s="29" t="str">
        <f aca="false">IF($A246="","",HYPERLINK(JiraSite&amp;"/browse/"&amp;$A246,"open"))</f>
        <v/>
      </c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7"/>
      <c r="H247" s="27"/>
      <c r="I247" s="27"/>
      <c r="J247" s="24"/>
      <c r="K247" s="24"/>
      <c r="L247" s="24"/>
      <c r="M247" s="29" t="str">
        <f aca="false">IF($A247="","",IFERROR(INDEX(MapStage,MATCH($C247,MapStatus,0)),"Unmapped"))</f>
        <v/>
      </c>
      <c r="N247" s="29" t="str">
        <f aca="false">IF($A247="","",AsOf-$H247)</f>
        <v/>
      </c>
      <c r="O247" s="29" t="str">
        <f aca="false">IF(OR($M247="",$M247="Closed",$M247="Unmapped"),"",INDEX(StageStale,MATCH($M247,StageName,0)))</f>
        <v/>
      </c>
      <c r="P247" s="29" t="str">
        <f aca="false">IF($A247="","",IF($M247="Closed","Closed",IF($J247="Y","Critical",IF(AND($I247&lt;&gt;"",$I247&lt;AsOf),"Critical",IF($M247="Unmapped","Warning",IF($N247&gt;2*$O247,"Critical",IF($N247&gt;$O247,"Warning","On track")))))))</f>
        <v/>
      </c>
      <c r="Q247" s="29" t="str">
        <f aca="false">IF(OR($P247="",$P247="Closed",$P247="On track"),"",IF($J247="Y","Flagged as an impediment",IF(AND($I247&lt;&gt;"",$I247&lt;AsOf),"Past due since "&amp;TEXT($I247,"yyyy-mm-dd"),IF($M247="Unmapped","Status '"&amp;$C247&amp;"' is not in the Config map","No update in "&amp;$N247&amp;" days (limit "&amp;$O247&amp;")"))))</f>
        <v/>
      </c>
      <c r="R247" s="29" t="str">
        <f aca="false">IF(OR($P247="",$P247="Closed",$P247="On track"),"",IF($P247="Critical",3000,2000)+$N247+ROW()/100000)</f>
        <v/>
      </c>
      <c r="S247" s="29" t="str">
        <f aca="false">IF($R247="","","draft Jira update for "&amp;$A247)</f>
        <v/>
      </c>
      <c r="T247" s="29" t="str">
        <f aca="false">IF($A247="","",HYPERLINK(JiraSite&amp;"/browse/"&amp;$A247,"open"))</f>
        <v/>
      </c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7"/>
      <c r="H248" s="27"/>
      <c r="I248" s="27"/>
      <c r="J248" s="24"/>
      <c r="K248" s="24"/>
      <c r="L248" s="24"/>
      <c r="M248" s="29" t="str">
        <f aca="false">IF($A248="","",IFERROR(INDEX(MapStage,MATCH($C248,MapStatus,0)),"Unmapped"))</f>
        <v/>
      </c>
      <c r="N248" s="29" t="str">
        <f aca="false">IF($A248="","",AsOf-$H248)</f>
        <v/>
      </c>
      <c r="O248" s="29" t="str">
        <f aca="false">IF(OR($M248="",$M248="Closed",$M248="Unmapped"),"",INDEX(StageStale,MATCH($M248,StageName,0)))</f>
        <v/>
      </c>
      <c r="P248" s="29" t="str">
        <f aca="false">IF($A248="","",IF($M248="Closed","Closed",IF($J248="Y","Critical",IF(AND($I248&lt;&gt;"",$I248&lt;AsOf),"Critical",IF($M248="Unmapped","Warning",IF($N248&gt;2*$O248,"Critical",IF($N248&gt;$O248,"Warning","On track")))))))</f>
        <v/>
      </c>
      <c r="Q248" s="29" t="str">
        <f aca="false">IF(OR($P248="",$P248="Closed",$P248="On track"),"",IF($J248="Y","Flagged as an impediment",IF(AND($I248&lt;&gt;"",$I248&lt;AsOf),"Past due since "&amp;TEXT($I248,"yyyy-mm-dd"),IF($M248="Unmapped","Status '"&amp;$C248&amp;"' is not in the Config map","No update in "&amp;$N248&amp;" days (limit "&amp;$O248&amp;")"))))</f>
        <v/>
      </c>
      <c r="R248" s="29" t="str">
        <f aca="false">IF(OR($P248="",$P248="Closed",$P248="On track"),"",IF($P248="Critical",3000,2000)+$N248+ROW()/100000)</f>
        <v/>
      </c>
      <c r="S248" s="29" t="str">
        <f aca="false">IF($R248="","","draft Jira update for "&amp;$A248)</f>
        <v/>
      </c>
      <c r="T248" s="29" t="str">
        <f aca="false">IF($A248="","",HYPERLINK(JiraSite&amp;"/browse/"&amp;$A248,"open"))</f>
        <v/>
      </c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7"/>
      <c r="H249" s="27"/>
      <c r="I249" s="27"/>
      <c r="J249" s="24"/>
      <c r="K249" s="24"/>
      <c r="L249" s="24"/>
      <c r="M249" s="29" t="str">
        <f aca="false">IF($A249="","",IFERROR(INDEX(MapStage,MATCH($C249,MapStatus,0)),"Unmapped"))</f>
        <v/>
      </c>
      <c r="N249" s="29" t="str">
        <f aca="false">IF($A249="","",AsOf-$H249)</f>
        <v/>
      </c>
      <c r="O249" s="29" t="str">
        <f aca="false">IF(OR($M249="",$M249="Closed",$M249="Unmapped"),"",INDEX(StageStale,MATCH($M249,StageName,0)))</f>
        <v/>
      </c>
      <c r="P249" s="29" t="str">
        <f aca="false">IF($A249="","",IF($M249="Closed","Closed",IF($J249="Y","Critical",IF(AND($I249&lt;&gt;"",$I249&lt;AsOf),"Critical",IF($M249="Unmapped","Warning",IF($N249&gt;2*$O249,"Critical",IF($N249&gt;$O249,"Warning","On track")))))))</f>
        <v/>
      </c>
      <c r="Q249" s="29" t="str">
        <f aca="false">IF(OR($P249="",$P249="Closed",$P249="On track"),"",IF($J249="Y","Flagged as an impediment",IF(AND($I249&lt;&gt;"",$I249&lt;AsOf),"Past due since "&amp;TEXT($I249,"yyyy-mm-dd"),IF($M249="Unmapped","Status '"&amp;$C249&amp;"' is not in the Config map","No update in "&amp;$N249&amp;" days (limit "&amp;$O249&amp;")"))))</f>
        <v/>
      </c>
      <c r="R249" s="29" t="str">
        <f aca="false">IF(OR($P249="",$P249="Closed",$P249="On track"),"",IF($P249="Critical",3000,2000)+$N249+ROW()/100000)</f>
        <v/>
      </c>
      <c r="S249" s="29" t="str">
        <f aca="false">IF($R249="","","draft Jira update for "&amp;$A249)</f>
        <v/>
      </c>
      <c r="T249" s="29" t="str">
        <f aca="false">IF($A249="","",HYPERLINK(JiraSite&amp;"/browse/"&amp;$A249,"open"))</f>
        <v/>
      </c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7"/>
      <c r="H250" s="27"/>
      <c r="I250" s="27"/>
      <c r="J250" s="24"/>
      <c r="K250" s="24"/>
      <c r="L250" s="24"/>
      <c r="M250" s="29" t="str">
        <f aca="false">IF($A250="","",IFERROR(INDEX(MapStage,MATCH($C250,MapStatus,0)),"Unmapped"))</f>
        <v/>
      </c>
      <c r="N250" s="29" t="str">
        <f aca="false">IF($A250="","",AsOf-$H250)</f>
        <v/>
      </c>
      <c r="O250" s="29" t="str">
        <f aca="false">IF(OR($M250="",$M250="Closed",$M250="Unmapped"),"",INDEX(StageStale,MATCH($M250,StageName,0)))</f>
        <v/>
      </c>
      <c r="P250" s="29" t="str">
        <f aca="false">IF($A250="","",IF($M250="Closed","Closed",IF($J250="Y","Critical",IF(AND($I250&lt;&gt;"",$I250&lt;AsOf),"Critical",IF($M250="Unmapped","Warning",IF($N250&gt;2*$O250,"Critical",IF($N250&gt;$O250,"Warning","On track")))))))</f>
        <v/>
      </c>
      <c r="Q250" s="29" t="str">
        <f aca="false">IF(OR($P250="",$P250="Closed",$P250="On track"),"",IF($J250="Y","Flagged as an impediment",IF(AND($I250&lt;&gt;"",$I250&lt;AsOf),"Past due since "&amp;TEXT($I250,"yyyy-mm-dd"),IF($M250="Unmapped","Status '"&amp;$C250&amp;"' is not in the Config map","No update in "&amp;$N250&amp;" days (limit "&amp;$O250&amp;")"))))</f>
        <v/>
      </c>
      <c r="R250" s="29" t="str">
        <f aca="false">IF(OR($P250="",$P250="Closed",$P250="On track"),"",IF($P250="Critical",3000,2000)+$N250+ROW()/100000)</f>
        <v/>
      </c>
      <c r="S250" s="29" t="str">
        <f aca="false">IF($R250="","","draft Jira update for "&amp;$A250)</f>
        <v/>
      </c>
      <c r="T250" s="29" t="str">
        <f aca="false">IF($A250="","",HYPERLINK(JiraSite&amp;"/browse/"&amp;$A250,"open"))</f>
        <v/>
      </c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7"/>
      <c r="H251" s="27"/>
      <c r="I251" s="27"/>
      <c r="J251" s="24"/>
      <c r="K251" s="24"/>
      <c r="L251" s="24"/>
      <c r="M251" s="29" t="str">
        <f aca="false">IF($A251="","",IFERROR(INDEX(MapStage,MATCH($C251,MapStatus,0)),"Unmapped"))</f>
        <v/>
      </c>
      <c r="N251" s="29" t="str">
        <f aca="false">IF($A251="","",AsOf-$H251)</f>
        <v/>
      </c>
      <c r="O251" s="29" t="str">
        <f aca="false">IF(OR($M251="",$M251="Closed",$M251="Unmapped"),"",INDEX(StageStale,MATCH($M251,StageName,0)))</f>
        <v/>
      </c>
      <c r="P251" s="29" t="str">
        <f aca="false">IF($A251="","",IF($M251="Closed","Closed",IF($J251="Y","Critical",IF(AND($I251&lt;&gt;"",$I251&lt;AsOf),"Critical",IF($M251="Unmapped","Warning",IF($N251&gt;2*$O251,"Critical",IF($N251&gt;$O251,"Warning","On track")))))))</f>
        <v/>
      </c>
      <c r="Q251" s="29" t="str">
        <f aca="false">IF(OR($P251="",$P251="Closed",$P251="On track"),"",IF($J251="Y","Flagged as an impediment",IF(AND($I251&lt;&gt;"",$I251&lt;AsOf),"Past due since "&amp;TEXT($I251,"yyyy-mm-dd"),IF($M251="Unmapped","Status '"&amp;$C251&amp;"' is not in the Config map","No update in "&amp;$N251&amp;" days (limit "&amp;$O251&amp;")"))))</f>
        <v/>
      </c>
      <c r="R251" s="29" t="str">
        <f aca="false">IF(OR($P251="",$P251="Closed",$P251="On track"),"",IF($P251="Critical",3000,2000)+$N251+ROW()/100000)</f>
        <v/>
      </c>
      <c r="S251" s="29" t="str">
        <f aca="false">IF($R251="","","draft Jira update for "&amp;$A251)</f>
        <v/>
      </c>
      <c r="T251" s="29" t="str">
        <f aca="false">IF($A251="","",HYPERLINK(JiraSite&amp;"/browse/"&amp;$A251,"open"))</f>
        <v/>
      </c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7"/>
      <c r="H252" s="27"/>
      <c r="I252" s="27"/>
      <c r="J252" s="24"/>
      <c r="K252" s="24"/>
      <c r="L252" s="24"/>
      <c r="M252" s="29" t="str">
        <f aca="false">IF($A252="","",IFERROR(INDEX(MapStage,MATCH($C252,MapStatus,0)),"Unmapped"))</f>
        <v/>
      </c>
      <c r="N252" s="29" t="str">
        <f aca="false">IF($A252="","",AsOf-$H252)</f>
        <v/>
      </c>
      <c r="O252" s="29" t="str">
        <f aca="false">IF(OR($M252="",$M252="Closed",$M252="Unmapped"),"",INDEX(StageStale,MATCH($M252,StageName,0)))</f>
        <v/>
      </c>
      <c r="P252" s="29" t="str">
        <f aca="false">IF($A252="","",IF($M252="Closed","Closed",IF($J252="Y","Critical",IF(AND($I252&lt;&gt;"",$I252&lt;AsOf),"Critical",IF($M252="Unmapped","Warning",IF($N252&gt;2*$O252,"Critical",IF($N252&gt;$O252,"Warning","On track")))))))</f>
        <v/>
      </c>
      <c r="Q252" s="29" t="str">
        <f aca="false">IF(OR($P252="",$P252="Closed",$P252="On track"),"",IF($J252="Y","Flagged as an impediment",IF(AND($I252&lt;&gt;"",$I252&lt;AsOf),"Past due since "&amp;TEXT($I252,"yyyy-mm-dd"),IF($M252="Unmapped","Status '"&amp;$C252&amp;"' is not in the Config map","No update in "&amp;$N252&amp;" days (limit "&amp;$O252&amp;")"))))</f>
        <v/>
      </c>
      <c r="R252" s="29" t="str">
        <f aca="false">IF(OR($P252="",$P252="Closed",$P252="On track"),"",IF($P252="Critical",3000,2000)+$N252+ROW()/100000)</f>
        <v/>
      </c>
      <c r="S252" s="29" t="str">
        <f aca="false">IF($R252="","","draft Jira update for "&amp;$A252)</f>
        <v/>
      </c>
      <c r="T252" s="29" t="str">
        <f aca="false">IF($A252="","",HYPERLINK(JiraSite&amp;"/browse/"&amp;$A252,"open"))</f>
        <v/>
      </c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7"/>
      <c r="H253" s="27"/>
      <c r="I253" s="27"/>
      <c r="J253" s="24"/>
      <c r="K253" s="24"/>
      <c r="L253" s="24"/>
      <c r="M253" s="29" t="str">
        <f aca="false">IF($A253="","",IFERROR(INDEX(MapStage,MATCH($C253,MapStatus,0)),"Unmapped"))</f>
        <v/>
      </c>
      <c r="N253" s="29" t="str">
        <f aca="false">IF($A253="","",AsOf-$H253)</f>
        <v/>
      </c>
      <c r="O253" s="29" t="str">
        <f aca="false">IF(OR($M253="",$M253="Closed",$M253="Unmapped"),"",INDEX(StageStale,MATCH($M253,StageName,0)))</f>
        <v/>
      </c>
      <c r="P253" s="29" t="str">
        <f aca="false">IF($A253="","",IF($M253="Closed","Closed",IF($J253="Y","Critical",IF(AND($I253&lt;&gt;"",$I253&lt;AsOf),"Critical",IF($M253="Unmapped","Warning",IF($N253&gt;2*$O253,"Critical",IF($N253&gt;$O253,"Warning","On track")))))))</f>
        <v/>
      </c>
      <c r="Q253" s="29" t="str">
        <f aca="false">IF(OR($P253="",$P253="Closed",$P253="On track"),"",IF($J253="Y","Flagged as an impediment",IF(AND($I253&lt;&gt;"",$I253&lt;AsOf),"Past due since "&amp;TEXT($I253,"yyyy-mm-dd"),IF($M253="Unmapped","Status '"&amp;$C253&amp;"' is not in the Config map","No update in "&amp;$N253&amp;" days (limit "&amp;$O253&amp;")"))))</f>
        <v/>
      </c>
      <c r="R253" s="29" t="str">
        <f aca="false">IF(OR($P253="",$P253="Closed",$P253="On track"),"",IF($P253="Critical",3000,2000)+$N253+ROW()/100000)</f>
        <v/>
      </c>
      <c r="S253" s="29" t="str">
        <f aca="false">IF($R253="","","draft Jira update for "&amp;$A253)</f>
        <v/>
      </c>
      <c r="T253" s="29" t="str">
        <f aca="false">IF($A253="","",HYPERLINK(JiraSite&amp;"/browse/"&amp;$A253,"open"))</f>
        <v/>
      </c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7"/>
      <c r="H254" s="27"/>
      <c r="I254" s="27"/>
      <c r="J254" s="24"/>
      <c r="K254" s="24"/>
      <c r="L254" s="24"/>
      <c r="M254" s="29" t="str">
        <f aca="false">IF($A254="","",IFERROR(INDEX(MapStage,MATCH($C254,MapStatus,0)),"Unmapped"))</f>
        <v/>
      </c>
      <c r="N254" s="29" t="str">
        <f aca="false">IF($A254="","",AsOf-$H254)</f>
        <v/>
      </c>
      <c r="O254" s="29" t="str">
        <f aca="false">IF(OR($M254="",$M254="Closed",$M254="Unmapped"),"",INDEX(StageStale,MATCH($M254,StageName,0)))</f>
        <v/>
      </c>
      <c r="P254" s="29" t="str">
        <f aca="false">IF($A254="","",IF($M254="Closed","Closed",IF($J254="Y","Critical",IF(AND($I254&lt;&gt;"",$I254&lt;AsOf),"Critical",IF($M254="Unmapped","Warning",IF($N254&gt;2*$O254,"Critical",IF($N254&gt;$O254,"Warning","On track")))))))</f>
        <v/>
      </c>
      <c r="Q254" s="29" t="str">
        <f aca="false">IF(OR($P254="",$P254="Closed",$P254="On track"),"",IF($J254="Y","Flagged as an impediment",IF(AND($I254&lt;&gt;"",$I254&lt;AsOf),"Past due since "&amp;TEXT($I254,"yyyy-mm-dd"),IF($M254="Unmapped","Status '"&amp;$C254&amp;"' is not in the Config map","No update in "&amp;$N254&amp;" days (limit "&amp;$O254&amp;")"))))</f>
        <v/>
      </c>
      <c r="R254" s="29" t="str">
        <f aca="false">IF(OR($P254="",$P254="Closed",$P254="On track"),"",IF($P254="Critical",3000,2000)+$N254+ROW()/100000)</f>
        <v/>
      </c>
      <c r="S254" s="29" t="str">
        <f aca="false">IF($R254="","","draft Jira update for "&amp;$A254)</f>
        <v/>
      </c>
      <c r="T254" s="29" t="str">
        <f aca="false">IF($A254="","",HYPERLINK(JiraSite&amp;"/browse/"&amp;$A254,"open"))</f>
        <v/>
      </c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7"/>
      <c r="H255" s="27"/>
      <c r="I255" s="27"/>
      <c r="J255" s="24"/>
      <c r="K255" s="24"/>
      <c r="L255" s="24"/>
      <c r="M255" s="29" t="str">
        <f aca="false">IF($A255="","",IFERROR(INDEX(MapStage,MATCH($C255,MapStatus,0)),"Unmapped"))</f>
        <v/>
      </c>
      <c r="N255" s="29" t="str">
        <f aca="false">IF($A255="","",AsOf-$H255)</f>
        <v/>
      </c>
      <c r="O255" s="29" t="str">
        <f aca="false">IF(OR($M255="",$M255="Closed",$M255="Unmapped"),"",INDEX(StageStale,MATCH($M255,StageName,0)))</f>
        <v/>
      </c>
      <c r="P255" s="29" t="str">
        <f aca="false">IF($A255="","",IF($M255="Closed","Closed",IF($J255="Y","Critical",IF(AND($I255&lt;&gt;"",$I255&lt;AsOf),"Critical",IF($M255="Unmapped","Warning",IF($N255&gt;2*$O255,"Critical",IF($N255&gt;$O255,"Warning","On track")))))))</f>
        <v/>
      </c>
      <c r="Q255" s="29" t="str">
        <f aca="false">IF(OR($P255="",$P255="Closed",$P255="On track"),"",IF($J255="Y","Flagged as an impediment",IF(AND($I255&lt;&gt;"",$I255&lt;AsOf),"Past due since "&amp;TEXT($I255,"yyyy-mm-dd"),IF($M255="Unmapped","Status '"&amp;$C255&amp;"' is not in the Config map","No update in "&amp;$N255&amp;" days (limit "&amp;$O255&amp;")"))))</f>
        <v/>
      </c>
      <c r="R255" s="29" t="str">
        <f aca="false">IF(OR($P255="",$P255="Closed",$P255="On track"),"",IF($P255="Critical",3000,2000)+$N255+ROW()/100000)</f>
        <v/>
      </c>
      <c r="S255" s="29" t="str">
        <f aca="false">IF($R255="","","draft Jira update for "&amp;$A255)</f>
        <v/>
      </c>
      <c r="T255" s="29" t="str">
        <f aca="false">IF($A255="","",HYPERLINK(JiraSite&amp;"/browse/"&amp;$A255,"open"))</f>
        <v/>
      </c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7"/>
      <c r="H256" s="27"/>
      <c r="I256" s="27"/>
      <c r="J256" s="24"/>
      <c r="K256" s="24"/>
      <c r="L256" s="24"/>
      <c r="M256" s="29" t="str">
        <f aca="false">IF($A256="","",IFERROR(INDEX(MapStage,MATCH($C256,MapStatus,0)),"Unmapped"))</f>
        <v/>
      </c>
      <c r="N256" s="29" t="str">
        <f aca="false">IF($A256="","",AsOf-$H256)</f>
        <v/>
      </c>
      <c r="O256" s="29" t="str">
        <f aca="false">IF(OR($M256="",$M256="Closed",$M256="Unmapped"),"",INDEX(StageStale,MATCH($M256,StageName,0)))</f>
        <v/>
      </c>
      <c r="P256" s="29" t="str">
        <f aca="false">IF($A256="","",IF($M256="Closed","Closed",IF($J256="Y","Critical",IF(AND($I256&lt;&gt;"",$I256&lt;AsOf),"Critical",IF($M256="Unmapped","Warning",IF($N256&gt;2*$O256,"Critical",IF($N256&gt;$O256,"Warning","On track")))))))</f>
        <v/>
      </c>
      <c r="Q256" s="29" t="str">
        <f aca="false">IF(OR($P256="",$P256="Closed",$P256="On track"),"",IF($J256="Y","Flagged as an impediment",IF(AND($I256&lt;&gt;"",$I256&lt;AsOf),"Past due since "&amp;TEXT($I256,"yyyy-mm-dd"),IF($M256="Unmapped","Status '"&amp;$C256&amp;"' is not in the Config map","No update in "&amp;$N256&amp;" days (limit "&amp;$O256&amp;")"))))</f>
        <v/>
      </c>
      <c r="R256" s="29" t="str">
        <f aca="false">IF(OR($P256="",$P256="Closed",$P256="On track"),"",IF($P256="Critical",3000,2000)+$N256+ROW()/100000)</f>
        <v/>
      </c>
      <c r="S256" s="29" t="str">
        <f aca="false">IF($R256="","","draft Jira update for "&amp;$A256)</f>
        <v/>
      </c>
      <c r="T256" s="29" t="str">
        <f aca="false">IF($A256="","",HYPERLINK(JiraSite&amp;"/browse/"&amp;$A256,"open"))</f>
        <v/>
      </c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7"/>
      <c r="H257" s="27"/>
      <c r="I257" s="27"/>
      <c r="J257" s="24"/>
      <c r="K257" s="24"/>
      <c r="L257" s="24"/>
      <c r="M257" s="29" t="str">
        <f aca="false">IF($A257="","",IFERROR(INDEX(MapStage,MATCH($C257,MapStatus,0)),"Unmapped"))</f>
        <v/>
      </c>
      <c r="N257" s="29" t="str">
        <f aca="false">IF($A257="","",AsOf-$H257)</f>
        <v/>
      </c>
      <c r="O257" s="29" t="str">
        <f aca="false">IF(OR($M257="",$M257="Closed",$M257="Unmapped"),"",INDEX(StageStale,MATCH($M257,StageName,0)))</f>
        <v/>
      </c>
      <c r="P257" s="29" t="str">
        <f aca="false">IF($A257="","",IF($M257="Closed","Closed",IF($J257="Y","Critical",IF(AND($I257&lt;&gt;"",$I257&lt;AsOf),"Critical",IF($M257="Unmapped","Warning",IF($N257&gt;2*$O257,"Critical",IF($N257&gt;$O257,"Warning","On track")))))))</f>
        <v/>
      </c>
      <c r="Q257" s="29" t="str">
        <f aca="false">IF(OR($P257="",$P257="Closed",$P257="On track"),"",IF($J257="Y","Flagged as an impediment",IF(AND($I257&lt;&gt;"",$I257&lt;AsOf),"Past due since "&amp;TEXT($I257,"yyyy-mm-dd"),IF($M257="Unmapped","Status '"&amp;$C257&amp;"' is not in the Config map","No update in "&amp;$N257&amp;" days (limit "&amp;$O257&amp;")"))))</f>
        <v/>
      </c>
      <c r="R257" s="29" t="str">
        <f aca="false">IF(OR($P257="",$P257="Closed",$P257="On track"),"",IF($P257="Critical",3000,2000)+$N257+ROW()/100000)</f>
        <v/>
      </c>
      <c r="S257" s="29" t="str">
        <f aca="false">IF($R257="","","draft Jira update for "&amp;$A257)</f>
        <v/>
      </c>
      <c r="T257" s="29" t="str">
        <f aca="false">IF($A257="","",HYPERLINK(JiraSite&amp;"/browse/"&amp;$A257,"open"))</f>
        <v/>
      </c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7"/>
      <c r="H258" s="27"/>
      <c r="I258" s="27"/>
      <c r="J258" s="24"/>
      <c r="K258" s="24"/>
      <c r="L258" s="24"/>
      <c r="M258" s="29" t="str">
        <f aca="false">IF($A258="","",IFERROR(INDEX(MapStage,MATCH($C258,MapStatus,0)),"Unmapped"))</f>
        <v/>
      </c>
      <c r="N258" s="29" t="str">
        <f aca="false">IF($A258="","",AsOf-$H258)</f>
        <v/>
      </c>
      <c r="O258" s="29" t="str">
        <f aca="false">IF(OR($M258="",$M258="Closed",$M258="Unmapped"),"",INDEX(StageStale,MATCH($M258,StageName,0)))</f>
        <v/>
      </c>
      <c r="P258" s="29" t="str">
        <f aca="false">IF($A258="","",IF($M258="Closed","Closed",IF($J258="Y","Critical",IF(AND($I258&lt;&gt;"",$I258&lt;AsOf),"Critical",IF($M258="Unmapped","Warning",IF($N258&gt;2*$O258,"Critical",IF($N258&gt;$O258,"Warning","On track")))))))</f>
        <v/>
      </c>
      <c r="Q258" s="29" t="str">
        <f aca="false">IF(OR($P258="",$P258="Closed",$P258="On track"),"",IF($J258="Y","Flagged as an impediment",IF(AND($I258&lt;&gt;"",$I258&lt;AsOf),"Past due since "&amp;TEXT($I258,"yyyy-mm-dd"),IF($M258="Unmapped","Status '"&amp;$C258&amp;"' is not in the Config map","No update in "&amp;$N258&amp;" days (limit "&amp;$O258&amp;")"))))</f>
        <v/>
      </c>
      <c r="R258" s="29" t="str">
        <f aca="false">IF(OR($P258="",$P258="Closed",$P258="On track"),"",IF($P258="Critical",3000,2000)+$N258+ROW()/100000)</f>
        <v/>
      </c>
      <c r="S258" s="29" t="str">
        <f aca="false">IF($R258="","","draft Jira update for "&amp;$A258)</f>
        <v/>
      </c>
      <c r="T258" s="29" t="str">
        <f aca="false">IF($A258="","",HYPERLINK(JiraSite&amp;"/browse/"&amp;$A258,"open"))</f>
        <v/>
      </c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7"/>
      <c r="H259" s="27"/>
      <c r="I259" s="27"/>
      <c r="J259" s="24"/>
      <c r="K259" s="24"/>
      <c r="L259" s="24"/>
      <c r="M259" s="29" t="str">
        <f aca="false">IF($A259="","",IFERROR(INDEX(MapStage,MATCH($C259,MapStatus,0)),"Unmapped"))</f>
        <v/>
      </c>
      <c r="N259" s="29" t="str">
        <f aca="false">IF($A259="","",AsOf-$H259)</f>
        <v/>
      </c>
      <c r="O259" s="29" t="str">
        <f aca="false">IF(OR($M259="",$M259="Closed",$M259="Unmapped"),"",INDEX(StageStale,MATCH($M259,StageName,0)))</f>
        <v/>
      </c>
      <c r="P259" s="29" t="str">
        <f aca="false">IF($A259="","",IF($M259="Closed","Closed",IF($J259="Y","Critical",IF(AND($I259&lt;&gt;"",$I259&lt;AsOf),"Critical",IF($M259="Unmapped","Warning",IF($N259&gt;2*$O259,"Critical",IF($N259&gt;$O259,"Warning","On track")))))))</f>
        <v/>
      </c>
      <c r="Q259" s="29" t="str">
        <f aca="false">IF(OR($P259="",$P259="Closed",$P259="On track"),"",IF($J259="Y","Flagged as an impediment",IF(AND($I259&lt;&gt;"",$I259&lt;AsOf),"Past due since "&amp;TEXT($I259,"yyyy-mm-dd"),IF($M259="Unmapped","Status '"&amp;$C259&amp;"' is not in the Config map","No update in "&amp;$N259&amp;" days (limit "&amp;$O259&amp;")"))))</f>
        <v/>
      </c>
      <c r="R259" s="29" t="str">
        <f aca="false">IF(OR($P259="",$P259="Closed",$P259="On track"),"",IF($P259="Critical",3000,2000)+$N259+ROW()/100000)</f>
        <v/>
      </c>
      <c r="S259" s="29" t="str">
        <f aca="false">IF($R259="","","draft Jira update for "&amp;$A259)</f>
        <v/>
      </c>
      <c r="T259" s="29" t="str">
        <f aca="false">IF($A259="","",HYPERLINK(JiraSite&amp;"/browse/"&amp;$A259,"open"))</f>
        <v/>
      </c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7"/>
      <c r="H260" s="27"/>
      <c r="I260" s="27"/>
      <c r="J260" s="24"/>
      <c r="K260" s="24"/>
      <c r="L260" s="24"/>
      <c r="M260" s="29" t="str">
        <f aca="false">IF($A260="","",IFERROR(INDEX(MapStage,MATCH($C260,MapStatus,0)),"Unmapped"))</f>
        <v/>
      </c>
      <c r="N260" s="29" t="str">
        <f aca="false">IF($A260="","",AsOf-$H260)</f>
        <v/>
      </c>
      <c r="O260" s="29" t="str">
        <f aca="false">IF(OR($M260="",$M260="Closed",$M260="Unmapped"),"",INDEX(StageStale,MATCH($M260,StageName,0)))</f>
        <v/>
      </c>
      <c r="P260" s="29" t="str">
        <f aca="false">IF($A260="","",IF($M260="Closed","Closed",IF($J260="Y","Critical",IF(AND($I260&lt;&gt;"",$I260&lt;AsOf),"Critical",IF($M260="Unmapped","Warning",IF($N260&gt;2*$O260,"Critical",IF($N260&gt;$O260,"Warning","On track")))))))</f>
        <v/>
      </c>
      <c r="Q260" s="29" t="str">
        <f aca="false">IF(OR($P260="",$P260="Closed",$P260="On track"),"",IF($J260="Y","Flagged as an impediment",IF(AND($I260&lt;&gt;"",$I260&lt;AsOf),"Past due since "&amp;TEXT($I260,"yyyy-mm-dd"),IF($M260="Unmapped","Status '"&amp;$C260&amp;"' is not in the Config map","No update in "&amp;$N260&amp;" days (limit "&amp;$O260&amp;")"))))</f>
        <v/>
      </c>
      <c r="R260" s="29" t="str">
        <f aca="false">IF(OR($P260="",$P260="Closed",$P260="On track"),"",IF($P260="Critical",3000,2000)+$N260+ROW()/100000)</f>
        <v/>
      </c>
      <c r="S260" s="29" t="str">
        <f aca="false">IF($R260="","","draft Jira update for "&amp;$A260)</f>
        <v/>
      </c>
      <c r="T260" s="29" t="str">
        <f aca="false">IF($A260="","",HYPERLINK(JiraSite&amp;"/browse/"&amp;$A260,"open"))</f>
        <v/>
      </c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7"/>
      <c r="H261" s="27"/>
      <c r="I261" s="27"/>
      <c r="J261" s="24"/>
      <c r="K261" s="24"/>
      <c r="L261" s="24"/>
      <c r="M261" s="29" t="str">
        <f aca="false">IF($A261="","",IFERROR(INDEX(MapStage,MATCH($C261,MapStatus,0)),"Unmapped"))</f>
        <v/>
      </c>
      <c r="N261" s="29" t="str">
        <f aca="false">IF($A261="","",AsOf-$H261)</f>
        <v/>
      </c>
      <c r="O261" s="29" t="str">
        <f aca="false">IF(OR($M261="",$M261="Closed",$M261="Unmapped"),"",INDEX(StageStale,MATCH($M261,StageName,0)))</f>
        <v/>
      </c>
      <c r="P261" s="29" t="str">
        <f aca="false">IF($A261="","",IF($M261="Closed","Closed",IF($J261="Y","Critical",IF(AND($I261&lt;&gt;"",$I261&lt;AsOf),"Critical",IF($M261="Unmapped","Warning",IF($N261&gt;2*$O261,"Critical",IF($N261&gt;$O261,"Warning","On track")))))))</f>
        <v/>
      </c>
      <c r="Q261" s="29" t="str">
        <f aca="false">IF(OR($P261="",$P261="Closed",$P261="On track"),"",IF($J261="Y","Flagged as an impediment",IF(AND($I261&lt;&gt;"",$I261&lt;AsOf),"Past due since "&amp;TEXT($I261,"yyyy-mm-dd"),IF($M261="Unmapped","Status '"&amp;$C261&amp;"' is not in the Config map","No update in "&amp;$N261&amp;" days (limit "&amp;$O261&amp;")"))))</f>
        <v/>
      </c>
      <c r="R261" s="29" t="str">
        <f aca="false">IF(OR($P261="",$P261="Closed",$P261="On track"),"",IF($P261="Critical",3000,2000)+$N261+ROW()/100000)</f>
        <v/>
      </c>
      <c r="S261" s="29" t="str">
        <f aca="false">IF($R261="","","draft Jira update for "&amp;$A261)</f>
        <v/>
      </c>
      <c r="T261" s="29" t="str">
        <f aca="false">IF($A261="","",HYPERLINK(JiraSite&amp;"/browse/"&amp;$A261,"open"))</f>
        <v/>
      </c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7"/>
      <c r="H262" s="27"/>
      <c r="I262" s="27"/>
      <c r="J262" s="24"/>
      <c r="K262" s="24"/>
      <c r="L262" s="24"/>
      <c r="M262" s="29" t="str">
        <f aca="false">IF($A262="","",IFERROR(INDEX(MapStage,MATCH($C262,MapStatus,0)),"Unmapped"))</f>
        <v/>
      </c>
      <c r="N262" s="29" t="str">
        <f aca="false">IF($A262="","",AsOf-$H262)</f>
        <v/>
      </c>
      <c r="O262" s="29" t="str">
        <f aca="false">IF(OR($M262="",$M262="Closed",$M262="Unmapped"),"",INDEX(StageStale,MATCH($M262,StageName,0)))</f>
        <v/>
      </c>
      <c r="P262" s="29" t="str">
        <f aca="false">IF($A262="","",IF($M262="Closed","Closed",IF($J262="Y","Critical",IF(AND($I262&lt;&gt;"",$I262&lt;AsOf),"Critical",IF($M262="Unmapped","Warning",IF($N262&gt;2*$O262,"Critical",IF($N262&gt;$O262,"Warning","On track")))))))</f>
        <v/>
      </c>
      <c r="Q262" s="29" t="str">
        <f aca="false">IF(OR($P262="",$P262="Closed",$P262="On track"),"",IF($J262="Y","Flagged as an impediment",IF(AND($I262&lt;&gt;"",$I262&lt;AsOf),"Past due since "&amp;TEXT($I262,"yyyy-mm-dd"),IF($M262="Unmapped","Status '"&amp;$C262&amp;"' is not in the Config map","No update in "&amp;$N262&amp;" days (limit "&amp;$O262&amp;")"))))</f>
        <v/>
      </c>
      <c r="R262" s="29" t="str">
        <f aca="false">IF(OR($P262="",$P262="Closed",$P262="On track"),"",IF($P262="Critical",3000,2000)+$N262+ROW()/100000)</f>
        <v/>
      </c>
      <c r="S262" s="29" t="str">
        <f aca="false">IF($R262="","","draft Jira update for "&amp;$A262)</f>
        <v/>
      </c>
      <c r="T262" s="29" t="str">
        <f aca="false">IF($A262="","",HYPERLINK(JiraSite&amp;"/browse/"&amp;$A262,"open"))</f>
        <v/>
      </c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7"/>
      <c r="H263" s="27"/>
      <c r="I263" s="27"/>
      <c r="J263" s="24"/>
      <c r="K263" s="24"/>
      <c r="L263" s="24"/>
      <c r="M263" s="29" t="str">
        <f aca="false">IF($A263="","",IFERROR(INDEX(MapStage,MATCH($C263,MapStatus,0)),"Unmapped"))</f>
        <v/>
      </c>
      <c r="N263" s="29" t="str">
        <f aca="false">IF($A263="","",AsOf-$H263)</f>
        <v/>
      </c>
      <c r="O263" s="29" t="str">
        <f aca="false">IF(OR($M263="",$M263="Closed",$M263="Unmapped"),"",INDEX(StageStale,MATCH($M263,StageName,0)))</f>
        <v/>
      </c>
      <c r="P263" s="29" t="str">
        <f aca="false">IF($A263="","",IF($M263="Closed","Closed",IF($J263="Y","Critical",IF(AND($I263&lt;&gt;"",$I263&lt;AsOf),"Critical",IF($M263="Unmapped","Warning",IF($N263&gt;2*$O263,"Critical",IF($N263&gt;$O263,"Warning","On track")))))))</f>
        <v/>
      </c>
      <c r="Q263" s="29" t="str">
        <f aca="false">IF(OR($P263="",$P263="Closed",$P263="On track"),"",IF($J263="Y","Flagged as an impediment",IF(AND($I263&lt;&gt;"",$I263&lt;AsOf),"Past due since "&amp;TEXT($I263,"yyyy-mm-dd"),IF($M263="Unmapped","Status '"&amp;$C263&amp;"' is not in the Config map","No update in "&amp;$N263&amp;" days (limit "&amp;$O263&amp;")"))))</f>
        <v/>
      </c>
      <c r="R263" s="29" t="str">
        <f aca="false">IF(OR($P263="",$P263="Closed",$P263="On track"),"",IF($P263="Critical",3000,2000)+$N263+ROW()/100000)</f>
        <v/>
      </c>
      <c r="S263" s="29" t="str">
        <f aca="false">IF($R263="","","draft Jira update for "&amp;$A263)</f>
        <v/>
      </c>
      <c r="T263" s="29" t="str">
        <f aca="false">IF($A263="","",HYPERLINK(JiraSite&amp;"/browse/"&amp;$A263,"open"))</f>
        <v/>
      </c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7"/>
      <c r="H264" s="27"/>
      <c r="I264" s="27"/>
      <c r="J264" s="24"/>
      <c r="K264" s="24"/>
      <c r="L264" s="24"/>
      <c r="M264" s="29" t="str">
        <f aca="false">IF($A264="","",IFERROR(INDEX(MapStage,MATCH($C264,MapStatus,0)),"Unmapped"))</f>
        <v/>
      </c>
      <c r="N264" s="29" t="str">
        <f aca="false">IF($A264="","",AsOf-$H264)</f>
        <v/>
      </c>
      <c r="O264" s="29" t="str">
        <f aca="false">IF(OR($M264="",$M264="Closed",$M264="Unmapped"),"",INDEX(StageStale,MATCH($M264,StageName,0)))</f>
        <v/>
      </c>
      <c r="P264" s="29" t="str">
        <f aca="false">IF($A264="","",IF($M264="Closed","Closed",IF($J264="Y","Critical",IF(AND($I264&lt;&gt;"",$I264&lt;AsOf),"Critical",IF($M264="Unmapped","Warning",IF($N264&gt;2*$O264,"Critical",IF($N264&gt;$O264,"Warning","On track")))))))</f>
        <v/>
      </c>
      <c r="Q264" s="29" t="str">
        <f aca="false">IF(OR($P264="",$P264="Closed",$P264="On track"),"",IF($J264="Y","Flagged as an impediment",IF(AND($I264&lt;&gt;"",$I264&lt;AsOf),"Past due since "&amp;TEXT($I264,"yyyy-mm-dd"),IF($M264="Unmapped","Status '"&amp;$C264&amp;"' is not in the Config map","No update in "&amp;$N264&amp;" days (limit "&amp;$O264&amp;")"))))</f>
        <v/>
      </c>
      <c r="R264" s="29" t="str">
        <f aca="false">IF(OR($P264="",$P264="Closed",$P264="On track"),"",IF($P264="Critical",3000,2000)+$N264+ROW()/100000)</f>
        <v/>
      </c>
      <c r="S264" s="29" t="str">
        <f aca="false">IF($R264="","","draft Jira update for "&amp;$A264)</f>
        <v/>
      </c>
      <c r="T264" s="29" t="str">
        <f aca="false">IF($A264="","",HYPERLINK(JiraSite&amp;"/browse/"&amp;$A264,"open"))</f>
        <v/>
      </c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7"/>
      <c r="H265" s="27"/>
      <c r="I265" s="27"/>
      <c r="J265" s="24"/>
      <c r="K265" s="24"/>
      <c r="L265" s="24"/>
      <c r="M265" s="29" t="str">
        <f aca="false">IF($A265="","",IFERROR(INDEX(MapStage,MATCH($C265,MapStatus,0)),"Unmapped"))</f>
        <v/>
      </c>
      <c r="N265" s="29" t="str">
        <f aca="false">IF($A265="","",AsOf-$H265)</f>
        <v/>
      </c>
      <c r="O265" s="29" t="str">
        <f aca="false">IF(OR($M265="",$M265="Closed",$M265="Unmapped"),"",INDEX(StageStale,MATCH($M265,StageName,0)))</f>
        <v/>
      </c>
      <c r="P265" s="29" t="str">
        <f aca="false">IF($A265="","",IF($M265="Closed","Closed",IF($J265="Y","Critical",IF(AND($I265&lt;&gt;"",$I265&lt;AsOf),"Critical",IF($M265="Unmapped","Warning",IF($N265&gt;2*$O265,"Critical",IF($N265&gt;$O265,"Warning","On track")))))))</f>
        <v/>
      </c>
      <c r="Q265" s="29" t="str">
        <f aca="false">IF(OR($P265="",$P265="Closed",$P265="On track"),"",IF($J265="Y","Flagged as an impediment",IF(AND($I265&lt;&gt;"",$I265&lt;AsOf),"Past due since "&amp;TEXT($I265,"yyyy-mm-dd"),IF($M265="Unmapped","Status '"&amp;$C265&amp;"' is not in the Config map","No update in "&amp;$N265&amp;" days (limit "&amp;$O265&amp;")"))))</f>
        <v/>
      </c>
      <c r="R265" s="29" t="str">
        <f aca="false">IF(OR($P265="",$P265="Closed",$P265="On track"),"",IF($P265="Critical",3000,2000)+$N265+ROW()/100000)</f>
        <v/>
      </c>
      <c r="S265" s="29" t="str">
        <f aca="false">IF($R265="","","draft Jira update for "&amp;$A265)</f>
        <v/>
      </c>
      <c r="T265" s="29" t="str">
        <f aca="false">IF($A265="","",HYPERLINK(JiraSite&amp;"/browse/"&amp;$A265,"open"))</f>
        <v/>
      </c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7"/>
      <c r="H266" s="27"/>
      <c r="I266" s="27"/>
      <c r="J266" s="24"/>
      <c r="K266" s="24"/>
      <c r="L266" s="24"/>
      <c r="M266" s="29" t="str">
        <f aca="false">IF($A266="","",IFERROR(INDEX(MapStage,MATCH($C266,MapStatus,0)),"Unmapped"))</f>
        <v/>
      </c>
      <c r="N266" s="29" t="str">
        <f aca="false">IF($A266="","",AsOf-$H266)</f>
        <v/>
      </c>
      <c r="O266" s="29" t="str">
        <f aca="false">IF(OR($M266="",$M266="Closed",$M266="Unmapped"),"",INDEX(StageStale,MATCH($M266,StageName,0)))</f>
        <v/>
      </c>
      <c r="P266" s="29" t="str">
        <f aca="false">IF($A266="","",IF($M266="Closed","Closed",IF($J266="Y","Critical",IF(AND($I266&lt;&gt;"",$I266&lt;AsOf),"Critical",IF($M266="Unmapped","Warning",IF($N266&gt;2*$O266,"Critical",IF($N266&gt;$O266,"Warning","On track")))))))</f>
        <v/>
      </c>
      <c r="Q266" s="29" t="str">
        <f aca="false">IF(OR($P266="",$P266="Closed",$P266="On track"),"",IF($J266="Y","Flagged as an impediment",IF(AND($I266&lt;&gt;"",$I266&lt;AsOf),"Past due since "&amp;TEXT($I266,"yyyy-mm-dd"),IF($M266="Unmapped","Status '"&amp;$C266&amp;"' is not in the Config map","No update in "&amp;$N266&amp;" days (limit "&amp;$O266&amp;")"))))</f>
        <v/>
      </c>
      <c r="R266" s="29" t="str">
        <f aca="false">IF(OR($P266="",$P266="Closed",$P266="On track"),"",IF($P266="Critical",3000,2000)+$N266+ROW()/100000)</f>
        <v/>
      </c>
      <c r="S266" s="29" t="str">
        <f aca="false">IF($R266="","","draft Jira update for "&amp;$A266)</f>
        <v/>
      </c>
      <c r="T266" s="29" t="str">
        <f aca="false">IF($A266="","",HYPERLINK(JiraSite&amp;"/browse/"&amp;$A266,"open"))</f>
        <v/>
      </c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7"/>
      <c r="H267" s="27"/>
      <c r="I267" s="27"/>
      <c r="J267" s="24"/>
      <c r="K267" s="24"/>
      <c r="L267" s="24"/>
      <c r="M267" s="29" t="str">
        <f aca="false">IF($A267="","",IFERROR(INDEX(MapStage,MATCH($C267,MapStatus,0)),"Unmapped"))</f>
        <v/>
      </c>
      <c r="N267" s="29" t="str">
        <f aca="false">IF($A267="","",AsOf-$H267)</f>
        <v/>
      </c>
      <c r="O267" s="29" t="str">
        <f aca="false">IF(OR($M267="",$M267="Closed",$M267="Unmapped"),"",INDEX(StageStale,MATCH($M267,StageName,0)))</f>
        <v/>
      </c>
      <c r="P267" s="29" t="str">
        <f aca="false">IF($A267="","",IF($M267="Closed","Closed",IF($J267="Y","Critical",IF(AND($I267&lt;&gt;"",$I267&lt;AsOf),"Critical",IF($M267="Unmapped","Warning",IF($N267&gt;2*$O267,"Critical",IF($N267&gt;$O267,"Warning","On track")))))))</f>
        <v/>
      </c>
      <c r="Q267" s="29" t="str">
        <f aca="false">IF(OR($P267="",$P267="Closed",$P267="On track"),"",IF($J267="Y","Flagged as an impediment",IF(AND($I267&lt;&gt;"",$I267&lt;AsOf),"Past due since "&amp;TEXT($I267,"yyyy-mm-dd"),IF($M267="Unmapped","Status '"&amp;$C267&amp;"' is not in the Config map","No update in "&amp;$N267&amp;" days (limit "&amp;$O267&amp;")"))))</f>
        <v/>
      </c>
      <c r="R267" s="29" t="str">
        <f aca="false">IF(OR($P267="",$P267="Closed",$P267="On track"),"",IF($P267="Critical",3000,2000)+$N267+ROW()/100000)</f>
        <v/>
      </c>
      <c r="S267" s="29" t="str">
        <f aca="false">IF($R267="","","draft Jira update for "&amp;$A267)</f>
        <v/>
      </c>
      <c r="T267" s="29" t="str">
        <f aca="false">IF($A267="","",HYPERLINK(JiraSite&amp;"/browse/"&amp;$A267,"open"))</f>
        <v/>
      </c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7"/>
      <c r="H268" s="27"/>
      <c r="I268" s="27"/>
      <c r="J268" s="24"/>
      <c r="K268" s="24"/>
      <c r="L268" s="24"/>
      <c r="M268" s="29" t="str">
        <f aca="false">IF($A268="","",IFERROR(INDEX(MapStage,MATCH($C268,MapStatus,0)),"Unmapped"))</f>
        <v/>
      </c>
      <c r="N268" s="29" t="str">
        <f aca="false">IF($A268="","",AsOf-$H268)</f>
        <v/>
      </c>
      <c r="O268" s="29" t="str">
        <f aca="false">IF(OR($M268="",$M268="Closed",$M268="Unmapped"),"",INDEX(StageStale,MATCH($M268,StageName,0)))</f>
        <v/>
      </c>
      <c r="P268" s="29" t="str">
        <f aca="false">IF($A268="","",IF($M268="Closed","Closed",IF($J268="Y","Critical",IF(AND($I268&lt;&gt;"",$I268&lt;AsOf),"Critical",IF($M268="Unmapped","Warning",IF($N268&gt;2*$O268,"Critical",IF($N268&gt;$O268,"Warning","On track")))))))</f>
        <v/>
      </c>
      <c r="Q268" s="29" t="str">
        <f aca="false">IF(OR($P268="",$P268="Closed",$P268="On track"),"",IF($J268="Y","Flagged as an impediment",IF(AND($I268&lt;&gt;"",$I268&lt;AsOf),"Past due since "&amp;TEXT($I268,"yyyy-mm-dd"),IF($M268="Unmapped","Status '"&amp;$C268&amp;"' is not in the Config map","No update in "&amp;$N268&amp;" days (limit "&amp;$O268&amp;")"))))</f>
        <v/>
      </c>
      <c r="R268" s="29" t="str">
        <f aca="false">IF(OR($P268="",$P268="Closed",$P268="On track"),"",IF($P268="Critical",3000,2000)+$N268+ROW()/100000)</f>
        <v/>
      </c>
      <c r="S268" s="29" t="str">
        <f aca="false">IF($R268="","","draft Jira update for "&amp;$A268)</f>
        <v/>
      </c>
      <c r="T268" s="29" t="str">
        <f aca="false">IF($A268="","",HYPERLINK(JiraSite&amp;"/browse/"&amp;$A268,"open"))</f>
        <v/>
      </c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7"/>
      <c r="H269" s="27"/>
      <c r="I269" s="27"/>
      <c r="J269" s="24"/>
      <c r="K269" s="24"/>
      <c r="L269" s="24"/>
      <c r="M269" s="29" t="str">
        <f aca="false">IF($A269="","",IFERROR(INDEX(MapStage,MATCH($C269,MapStatus,0)),"Unmapped"))</f>
        <v/>
      </c>
      <c r="N269" s="29" t="str">
        <f aca="false">IF($A269="","",AsOf-$H269)</f>
        <v/>
      </c>
      <c r="O269" s="29" t="str">
        <f aca="false">IF(OR($M269="",$M269="Closed",$M269="Unmapped"),"",INDEX(StageStale,MATCH($M269,StageName,0)))</f>
        <v/>
      </c>
      <c r="P269" s="29" t="str">
        <f aca="false">IF($A269="","",IF($M269="Closed","Closed",IF($J269="Y","Critical",IF(AND($I269&lt;&gt;"",$I269&lt;AsOf),"Critical",IF($M269="Unmapped","Warning",IF($N269&gt;2*$O269,"Critical",IF($N269&gt;$O269,"Warning","On track")))))))</f>
        <v/>
      </c>
      <c r="Q269" s="29" t="str">
        <f aca="false">IF(OR($P269="",$P269="Closed",$P269="On track"),"",IF($J269="Y","Flagged as an impediment",IF(AND($I269&lt;&gt;"",$I269&lt;AsOf),"Past due since "&amp;TEXT($I269,"yyyy-mm-dd"),IF($M269="Unmapped","Status '"&amp;$C269&amp;"' is not in the Config map","No update in "&amp;$N269&amp;" days (limit "&amp;$O269&amp;")"))))</f>
        <v/>
      </c>
      <c r="R269" s="29" t="str">
        <f aca="false">IF(OR($P269="",$P269="Closed",$P269="On track"),"",IF($P269="Critical",3000,2000)+$N269+ROW()/100000)</f>
        <v/>
      </c>
      <c r="S269" s="29" t="str">
        <f aca="false">IF($R269="","","draft Jira update for "&amp;$A269)</f>
        <v/>
      </c>
      <c r="T269" s="29" t="str">
        <f aca="false">IF($A269="","",HYPERLINK(JiraSite&amp;"/browse/"&amp;$A269,"open"))</f>
        <v/>
      </c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7"/>
      <c r="H270" s="27"/>
      <c r="I270" s="27"/>
      <c r="J270" s="24"/>
      <c r="K270" s="24"/>
      <c r="L270" s="24"/>
      <c r="M270" s="29" t="str">
        <f aca="false">IF($A270="","",IFERROR(INDEX(MapStage,MATCH($C270,MapStatus,0)),"Unmapped"))</f>
        <v/>
      </c>
      <c r="N270" s="29" t="str">
        <f aca="false">IF($A270="","",AsOf-$H270)</f>
        <v/>
      </c>
      <c r="O270" s="29" t="str">
        <f aca="false">IF(OR($M270="",$M270="Closed",$M270="Unmapped"),"",INDEX(StageStale,MATCH($M270,StageName,0)))</f>
        <v/>
      </c>
      <c r="P270" s="29" t="str">
        <f aca="false">IF($A270="","",IF($M270="Closed","Closed",IF($J270="Y","Critical",IF(AND($I270&lt;&gt;"",$I270&lt;AsOf),"Critical",IF($M270="Unmapped","Warning",IF($N270&gt;2*$O270,"Critical",IF($N270&gt;$O270,"Warning","On track")))))))</f>
        <v/>
      </c>
      <c r="Q270" s="29" t="str">
        <f aca="false">IF(OR($P270="",$P270="Closed",$P270="On track"),"",IF($J270="Y","Flagged as an impediment",IF(AND($I270&lt;&gt;"",$I270&lt;AsOf),"Past due since "&amp;TEXT($I270,"yyyy-mm-dd"),IF($M270="Unmapped","Status '"&amp;$C270&amp;"' is not in the Config map","No update in "&amp;$N270&amp;" days (limit "&amp;$O270&amp;")"))))</f>
        <v/>
      </c>
      <c r="R270" s="29" t="str">
        <f aca="false">IF(OR($P270="",$P270="Closed",$P270="On track"),"",IF($P270="Critical",3000,2000)+$N270+ROW()/100000)</f>
        <v/>
      </c>
      <c r="S270" s="29" t="str">
        <f aca="false">IF($R270="","","draft Jira update for "&amp;$A270)</f>
        <v/>
      </c>
      <c r="T270" s="29" t="str">
        <f aca="false">IF($A270="","",HYPERLINK(JiraSite&amp;"/browse/"&amp;$A270,"open"))</f>
        <v/>
      </c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7"/>
      <c r="H271" s="27"/>
      <c r="I271" s="27"/>
      <c r="J271" s="24"/>
      <c r="K271" s="24"/>
      <c r="L271" s="24"/>
      <c r="M271" s="29" t="str">
        <f aca="false">IF($A271="","",IFERROR(INDEX(MapStage,MATCH($C271,MapStatus,0)),"Unmapped"))</f>
        <v/>
      </c>
      <c r="N271" s="29" t="str">
        <f aca="false">IF($A271="","",AsOf-$H271)</f>
        <v/>
      </c>
      <c r="O271" s="29" t="str">
        <f aca="false">IF(OR($M271="",$M271="Closed",$M271="Unmapped"),"",INDEX(StageStale,MATCH($M271,StageName,0)))</f>
        <v/>
      </c>
      <c r="P271" s="29" t="str">
        <f aca="false">IF($A271="","",IF($M271="Closed","Closed",IF($J271="Y","Critical",IF(AND($I271&lt;&gt;"",$I271&lt;AsOf),"Critical",IF($M271="Unmapped","Warning",IF($N271&gt;2*$O271,"Critical",IF($N271&gt;$O271,"Warning","On track")))))))</f>
        <v/>
      </c>
      <c r="Q271" s="29" t="str">
        <f aca="false">IF(OR($P271="",$P271="Closed",$P271="On track"),"",IF($J271="Y","Flagged as an impediment",IF(AND($I271&lt;&gt;"",$I271&lt;AsOf),"Past due since "&amp;TEXT($I271,"yyyy-mm-dd"),IF($M271="Unmapped","Status '"&amp;$C271&amp;"' is not in the Config map","No update in "&amp;$N271&amp;" days (limit "&amp;$O271&amp;")"))))</f>
        <v/>
      </c>
      <c r="R271" s="29" t="str">
        <f aca="false">IF(OR($P271="",$P271="Closed",$P271="On track"),"",IF($P271="Critical",3000,2000)+$N271+ROW()/100000)</f>
        <v/>
      </c>
      <c r="S271" s="29" t="str">
        <f aca="false">IF($R271="","","draft Jira update for "&amp;$A271)</f>
        <v/>
      </c>
      <c r="T271" s="29" t="str">
        <f aca="false">IF($A271="","",HYPERLINK(JiraSite&amp;"/browse/"&amp;$A271,"open"))</f>
        <v/>
      </c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7"/>
      <c r="H272" s="27"/>
      <c r="I272" s="27"/>
      <c r="J272" s="24"/>
      <c r="K272" s="24"/>
      <c r="L272" s="24"/>
      <c r="M272" s="29" t="str">
        <f aca="false">IF($A272="","",IFERROR(INDEX(MapStage,MATCH($C272,MapStatus,0)),"Unmapped"))</f>
        <v/>
      </c>
      <c r="N272" s="29" t="str">
        <f aca="false">IF($A272="","",AsOf-$H272)</f>
        <v/>
      </c>
      <c r="O272" s="29" t="str">
        <f aca="false">IF(OR($M272="",$M272="Closed",$M272="Unmapped"),"",INDEX(StageStale,MATCH($M272,StageName,0)))</f>
        <v/>
      </c>
      <c r="P272" s="29" t="str">
        <f aca="false">IF($A272="","",IF($M272="Closed","Closed",IF($J272="Y","Critical",IF(AND($I272&lt;&gt;"",$I272&lt;AsOf),"Critical",IF($M272="Unmapped","Warning",IF($N272&gt;2*$O272,"Critical",IF($N272&gt;$O272,"Warning","On track")))))))</f>
        <v/>
      </c>
      <c r="Q272" s="29" t="str">
        <f aca="false">IF(OR($P272="",$P272="Closed",$P272="On track"),"",IF($J272="Y","Flagged as an impediment",IF(AND($I272&lt;&gt;"",$I272&lt;AsOf),"Past due since "&amp;TEXT($I272,"yyyy-mm-dd"),IF($M272="Unmapped","Status '"&amp;$C272&amp;"' is not in the Config map","No update in "&amp;$N272&amp;" days (limit "&amp;$O272&amp;")"))))</f>
        <v/>
      </c>
      <c r="R272" s="29" t="str">
        <f aca="false">IF(OR($P272="",$P272="Closed",$P272="On track"),"",IF($P272="Critical",3000,2000)+$N272+ROW()/100000)</f>
        <v/>
      </c>
      <c r="S272" s="29" t="str">
        <f aca="false">IF($R272="","","draft Jira update for "&amp;$A272)</f>
        <v/>
      </c>
      <c r="T272" s="29" t="str">
        <f aca="false">IF($A272="","",HYPERLINK(JiraSite&amp;"/browse/"&amp;$A272,"open"))</f>
        <v/>
      </c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7"/>
      <c r="H273" s="27"/>
      <c r="I273" s="27"/>
      <c r="J273" s="24"/>
      <c r="K273" s="24"/>
      <c r="L273" s="24"/>
      <c r="M273" s="29" t="str">
        <f aca="false">IF($A273="","",IFERROR(INDEX(MapStage,MATCH($C273,MapStatus,0)),"Unmapped"))</f>
        <v/>
      </c>
      <c r="N273" s="29" t="str">
        <f aca="false">IF($A273="","",AsOf-$H273)</f>
        <v/>
      </c>
      <c r="O273" s="29" t="str">
        <f aca="false">IF(OR($M273="",$M273="Closed",$M273="Unmapped"),"",INDEX(StageStale,MATCH($M273,StageName,0)))</f>
        <v/>
      </c>
      <c r="P273" s="29" t="str">
        <f aca="false">IF($A273="","",IF($M273="Closed","Closed",IF($J273="Y","Critical",IF(AND($I273&lt;&gt;"",$I273&lt;AsOf),"Critical",IF($M273="Unmapped","Warning",IF($N273&gt;2*$O273,"Critical",IF($N273&gt;$O273,"Warning","On track")))))))</f>
        <v/>
      </c>
      <c r="Q273" s="29" t="str">
        <f aca="false">IF(OR($P273="",$P273="Closed",$P273="On track"),"",IF($J273="Y","Flagged as an impediment",IF(AND($I273&lt;&gt;"",$I273&lt;AsOf),"Past due since "&amp;TEXT($I273,"yyyy-mm-dd"),IF($M273="Unmapped","Status '"&amp;$C273&amp;"' is not in the Config map","No update in "&amp;$N273&amp;" days (limit "&amp;$O273&amp;")"))))</f>
        <v/>
      </c>
      <c r="R273" s="29" t="str">
        <f aca="false">IF(OR($P273="",$P273="Closed",$P273="On track"),"",IF($P273="Critical",3000,2000)+$N273+ROW()/100000)</f>
        <v/>
      </c>
      <c r="S273" s="29" t="str">
        <f aca="false">IF($R273="","","draft Jira update for "&amp;$A273)</f>
        <v/>
      </c>
      <c r="T273" s="29" t="str">
        <f aca="false">IF($A273="","",HYPERLINK(JiraSite&amp;"/browse/"&amp;$A273,"open"))</f>
        <v/>
      </c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7"/>
      <c r="H274" s="27"/>
      <c r="I274" s="27"/>
      <c r="J274" s="24"/>
      <c r="K274" s="24"/>
      <c r="L274" s="24"/>
      <c r="M274" s="29" t="str">
        <f aca="false">IF($A274="","",IFERROR(INDEX(MapStage,MATCH($C274,MapStatus,0)),"Unmapped"))</f>
        <v/>
      </c>
      <c r="N274" s="29" t="str">
        <f aca="false">IF($A274="","",AsOf-$H274)</f>
        <v/>
      </c>
      <c r="O274" s="29" t="str">
        <f aca="false">IF(OR($M274="",$M274="Closed",$M274="Unmapped"),"",INDEX(StageStale,MATCH($M274,StageName,0)))</f>
        <v/>
      </c>
      <c r="P274" s="29" t="str">
        <f aca="false">IF($A274="","",IF($M274="Closed","Closed",IF($J274="Y","Critical",IF(AND($I274&lt;&gt;"",$I274&lt;AsOf),"Critical",IF($M274="Unmapped","Warning",IF($N274&gt;2*$O274,"Critical",IF($N274&gt;$O274,"Warning","On track")))))))</f>
        <v/>
      </c>
      <c r="Q274" s="29" t="str">
        <f aca="false">IF(OR($P274="",$P274="Closed",$P274="On track"),"",IF($J274="Y","Flagged as an impediment",IF(AND($I274&lt;&gt;"",$I274&lt;AsOf),"Past due since "&amp;TEXT($I274,"yyyy-mm-dd"),IF($M274="Unmapped","Status '"&amp;$C274&amp;"' is not in the Config map","No update in "&amp;$N274&amp;" days (limit "&amp;$O274&amp;")"))))</f>
        <v/>
      </c>
      <c r="R274" s="29" t="str">
        <f aca="false">IF(OR($P274="",$P274="Closed",$P274="On track"),"",IF($P274="Critical",3000,2000)+$N274+ROW()/100000)</f>
        <v/>
      </c>
      <c r="S274" s="29" t="str">
        <f aca="false">IF($R274="","","draft Jira update for "&amp;$A274)</f>
        <v/>
      </c>
      <c r="T274" s="29" t="str">
        <f aca="false">IF($A274="","",HYPERLINK(JiraSite&amp;"/browse/"&amp;$A274,"open"))</f>
        <v/>
      </c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7"/>
      <c r="H275" s="27"/>
      <c r="I275" s="27"/>
      <c r="J275" s="24"/>
      <c r="K275" s="24"/>
      <c r="L275" s="24"/>
      <c r="M275" s="29" t="str">
        <f aca="false">IF($A275="","",IFERROR(INDEX(MapStage,MATCH($C275,MapStatus,0)),"Unmapped"))</f>
        <v/>
      </c>
      <c r="N275" s="29" t="str">
        <f aca="false">IF($A275="","",AsOf-$H275)</f>
        <v/>
      </c>
      <c r="O275" s="29" t="str">
        <f aca="false">IF(OR($M275="",$M275="Closed",$M275="Unmapped"),"",INDEX(StageStale,MATCH($M275,StageName,0)))</f>
        <v/>
      </c>
      <c r="P275" s="29" t="str">
        <f aca="false">IF($A275="","",IF($M275="Closed","Closed",IF($J275="Y","Critical",IF(AND($I275&lt;&gt;"",$I275&lt;AsOf),"Critical",IF($M275="Unmapped","Warning",IF($N275&gt;2*$O275,"Critical",IF($N275&gt;$O275,"Warning","On track")))))))</f>
        <v/>
      </c>
      <c r="Q275" s="29" t="str">
        <f aca="false">IF(OR($P275="",$P275="Closed",$P275="On track"),"",IF($J275="Y","Flagged as an impediment",IF(AND($I275&lt;&gt;"",$I275&lt;AsOf),"Past due since "&amp;TEXT($I275,"yyyy-mm-dd"),IF($M275="Unmapped","Status '"&amp;$C275&amp;"' is not in the Config map","No update in "&amp;$N275&amp;" days (limit "&amp;$O275&amp;")"))))</f>
        <v/>
      </c>
      <c r="R275" s="29" t="str">
        <f aca="false">IF(OR($P275="",$P275="Closed",$P275="On track"),"",IF($P275="Critical",3000,2000)+$N275+ROW()/100000)</f>
        <v/>
      </c>
      <c r="S275" s="29" t="str">
        <f aca="false">IF($R275="","","draft Jira update for "&amp;$A275)</f>
        <v/>
      </c>
      <c r="T275" s="29" t="str">
        <f aca="false">IF($A275="","",HYPERLINK(JiraSite&amp;"/browse/"&amp;$A275,"open"))</f>
        <v/>
      </c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7"/>
      <c r="H276" s="27"/>
      <c r="I276" s="27"/>
      <c r="J276" s="24"/>
      <c r="K276" s="24"/>
      <c r="L276" s="24"/>
      <c r="M276" s="29" t="str">
        <f aca="false">IF($A276="","",IFERROR(INDEX(MapStage,MATCH($C276,MapStatus,0)),"Unmapped"))</f>
        <v/>
      </c>
      <c r="N276" s="29" t="str">
        <f aca="false">IF($A276="","",AsOf-$H276)</f>
        <v/>
      </c>
      <c r="O276" s="29" t="str">
        <f aca="false">IF(OR($M276="",$M276="Closed",$M276="Unmapped"),"",INDEX(StageStale,MATCH($M276,StageName,0)))</f>
        <v/>
      </c>
      <c r="P276" s="29" t="str">
        <f aca="false">IF($A276="","",IF($M276="Closed","Closed",IF($J276="Y","Critical",IF(AND($I276&lt;&gt;"",$I276&lt;AsOf),"Critical",IF($M276="Unmapped","Warning",IF($N276&gt;2*$O276,"Critical",IF($N276&gt;$O276,"Warning","On track")))))))</f>
        <v/>
      </c>
      <c r="Q276" s="29" t="str">
        <f aca="false">IF(OR($P276="",$P276="Closed",$P276="On track"),"",IF($J276="Y","Flagged as an impediment",IF(AND($I276&lt;&gt;"",$I276&lt;AsOf),"Past due since "&amp;TEXT($I276,"yyyy-mm-dd"),IF($M276="Unmapped","Status '"&amp;$C276&amp;"' is not in the Config map","No update in "&amp;$N276&amp;" days (limit "&amp;$O276&amp;")"))))</f>
        <v/>
      </c>
      <c r="R276" s="29" t="str">
        <f aca="false">IF(OR($P276="",$P276="Closed",$P276="On track"),"",IF($P276="Critical",3000,2000)+$N276+ROW()/100000)</f>
        <v/>
      </c>
      <c r="S276" s="29" t="str">
        <f aca="false">IF($R276="","","draft Jira update for "&amp;$A276)</f>
        <v/>
      </c>
      <c r="T276" s="29" t="str">
        <f aca="false">IF($A276="","",HYPERLINK(JiraSite&amp;"/browse/"&amp;$A276,"open"))</f>
        <v/>
      </c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7"/>
      <c r="H277" s="27"/>
      <c r="I277" s="27"/>
      <c r="J277" s="24"/>
      <c r="K277" s="24"/>
      <c r="L277" s="24"/>
      <c r="M277" s="29" t="str">
        <f aca="false">IF($A277="","",IFERROR(INDEX(MapStage,MATCH($C277,MapStatus,0)),"Unmapped"))</f>
        <v/>
      </c>
      <c r="N277" s="29" t="str">
        <f aca="false">IF($A277="","",AsOf-$H277)</f>
        <v/>
      </c>
      <c r="O277" s="29" t="str">
        <f aca="false">IF(OR($M277="",$M277="Closed",$M277="Unmapped"),"",INDEX(StageStale,MATCH($M277,StageName,0)))</f>
        <v/>
      </c>
      <c r="P277" s="29" t="str">
        <f aca="false">IF($A277="","",IF($M277="Closed","Closed",IF($J277="Y","Critical",IF(AND($I277&lt;&gt;"",$I277&lt;AsOf),"Critical",IF($M277="Unmapped","Warning",IF($N277&gt;2*$O277,"Critical",IF($N277&gt;$O277,"Warning","On track")))))))</f>
        <v/>
      </c>
      <c r="Q277" s="29" t="str">
        <f aca="false">IF(OR($P277="",$P277="Closed",$P277="On track"),"",IF($J277="Y","Flagged as an impediment",IF(AND($I277&lt;&gt;"",$I277&lt;AsOf),"Past due since "&amp;TEXT($I277,"yyyy-mm-dd"),IF($M277="Unmapped","Status '"&amp;$C277&amp;"' is not in the Config map","No update in "&amp;$N277&amp;" days (limit "&amp;$O277&amp;")"))))</f>
        <v/>
      </c>
      <c r="R277" s="29" t="str">
        <f aca="false">IF(OR($P277="",$P277="Closed",$P277="On track"),"",IF($P277="Critical",3000,2000)+$N277+ROW()/100000)</f>
        <v/>
      </c>
      <c r="S277" s="29" t="str">
        <f aca="false">IF($R277="","","draft Jira update for "&amp;$A277)</f>
        <v/>
      </c>
      <c r="T277" s="29" t="str">
        <f aca="false">IF($A277="","",HYPERLINK(JiraSite&amp;"/browse/"&amp;$A277,"open"))</f>
        <v/>
      </c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7"/>
      <c r="H278" s="27"/>
      <c r="I278" s="27"/>
      <c r="J278" s="24"/>
      <c r="K278" s="24"/>
      <c r="L278" s="24"/>
      <c r="M278" s="29" t="str">
        <f aca="false">IF($A278="","",IFERROR(INDEX(MapStage,MATCH($C278,MapStatus,0)),"Unmapped"))</f>
        <v/>
      </c>
      <c r="N278" s="29" t="str">
        <f aca="false">IF($A278="","",AsOf-$H278)</f>
        <v/>
      </c>
      <c r="O278" s="29" t="str">
        <f aca="false">IF(OR($M278="",$M278="Closed",$M278="Unmapped"),"",INDEX(StageStale,MATCH($M278,StageName,0)))</f>
        <v/>
      </c>
      <c r="P278" s="29" t="str">
        <f aca="false">IF($A278="","",IF($M278="Closed","Closed",IF($J278="Y","Critical",IF(AND($I278&lt;&gt;"",$I278&lt;AsOf),"Critical",IF($M278="Unmapped","Warning",IF($N278&gt;2*$O278,"Critical",IF($N278&gt;$O278,"Warning","On track")))))))</f>
        <v/>
      </c>
      <c r="Q278" s="29" t="str">
        <f aca="false">IF(OR($P278="",$P278="Closed",$P278="On track"),"",IF($J278="Y","Flagged as an impediment",IF(AND($I278&lt;&gt;"",$I278&lt;AsOf),"Past due since "&amp;TEXT($I278,"yyyy-mm-dd"),IF($M278="Unmapped","Status '"&amp;$C278&amp;"' is not in the Config map","No update in "&amp;$N278&amp;" days (limit "&amp;$O278&amp;")"))))</f>
        <v/>
      </c>
      <c r="R278" s="29" t="str">
        <f aca="false">IF(OR($P278="",$P278="Closed",$P278="On track"),"",IF($P278="Critical",3000,2000)+$N278+ROW()/100000)</f>
        <v/>
      </c>
      <c r="S278" s="29" t="str">
        <f aca="false">IF($R278="","","draft Jira update for "&amp;$A278)</f>
        <v/>
      </c>
      <c r="T278" s="29" t="str">
        <f aca="false">IF($A278="","",HYPERLINK(JiraSite&amp;"/browse/"&amp;$A278,"open"))</f>
        <v/>
      </c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7"/>
      <c r="H279" s="27"/>
      <c r="I279" s="27"/>
      <c r="J279" s="24"/>
      <c r="K279" s="24"/>
      <c r="L279" s="24"/>
      <c r="M279" s="29" t="str">
        <f aca="false">IF($A279="","",IFERROR(INDEX(MapStage,MATCH($C279,MapStatus,0)),"Unmapped"))</f>
        <v/>
      </c>
      <c r="N279" s="29" t="str">
        <f aca="false">IF($A279="","",AsOf-$H279)</f>
        <v/>
      </c>
      <c r="O279" s="29" t="str">
        <f aca="false">IF(OR($M279="",$M279="Closed",$M279="Unmapped"),"",INDEX(StageStale,MATCH($M279,StageName,0)))</f>
        <v/>
      </c>
      <c r="P279" s="29" t="str">
        <f aca="false">IF($A279="","",IF($M279="Closed","Closed",IF($J279="Y","Critical",IF(AND($I279&lt;&gt;"",$I279&lt;AsOf),"Critical",IF($M279="Unmapped","Warning",IF($N279&gt;2*$O279,"Critical",IF($N279&gt;$O279,"Warning","On track")))))))</f>
        <v/>
      </c>
      <c r="Q279" s="29" t="str">
        <f aca="false">IF(OR($P279="",$P279="Closed",$P279="On track"),"",IF($J279="Y","Flagged as an impediment",IF(AND($I279&lt;&gt;"",$I279&lt;AsOf),"Past due since "&amp;TEXT($I279,"yyyy-mm-dd"),IF($M279="Unmapped","Status '"&amp;$C279&amp;"' is not in the Config map","No update in "&amp;$N279&amp;" days (limit "&amp;$O279&amp;")"))))</f>
        <v/>
      </c>
      <c r="R279" s="29" t="str">
        <f aca="false">IF(OR($P279="",$P279="Closed",$P279="On track"),"",IF($P279="Critical",3000,2000)+$N279+ROW()/100000)</f>
        <v/>
      </c>
      <c r="S279" s="29" t="str">
        <f aca="false">IF($R279="","","draft Jira update for "&amp;$A279)</f>
        <v/>
      </c>
      <c r="T279" s="29" t="str">
        <f aca="false">IF($A279="","",HYPERLINK(JiraSite&amp;"/browse/"&amp;$A279,"open"))</f>
        <v/>
      </c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7"/>
      <c r="H280" s="27"/>
      <c r="I280" s="27"/>
      <c r="J280" s="24"/>
      <c r="K280" s="24"/>
      <c r="L280" s="24"/>
      <c r="M280" s="29" t="str">
        <f aca="false">IF($A280="","",IFERROR(INDEX(MapStage,MATCH($C280,MapStatus,0)),"Unmapped"))</f>
        <v/>
      </c>
      <c r="N280" s="29" t="str">
        <f aca="false">IF($A280="","",AsOf-$H280)</f>
        <v/>
      </c>
      <c r="O280" s="29" t="str">
        <f aca="false">IF(OR($M280="",$M280="Closed",$M280="Unmapped"),"",INDEX(StageStale,MATCH($M280,StageName,0)))</f>
        <v/>
      </c>
      <c r="P280" s="29" t="str">
        <f aca="false">IF($A280="","",IF($M280="Closed","Closed",IF($J280="Y","Critical",IF(AND($I280&lt;&gt;"",$I280&lt;AsOf),"Critical",IF($M280="Unmapped","Warning",IF($N280&gt;2*$O280,"Critical",IF($N280&gt;$O280,"Warning","On track")))))))</f>
        <v/>
      </c>
      <c r="Q280" s="29" t="str">
        <f aca="false">IF(OR($P280="",$P280="Closed",$P280="On track"),"",IF($J280="Y","Flagged as an impediment",IF(AND($I280&lt;&gt;"",$I280&lt;AsOf),"Past due since "&amp;TEXT($I280,"yyyy-mm-dd"),IF($M280="Unmapped","Status '"&amp;$C280&amp;"' is not in the Config map","No update in "&amp;$N280&amp;" days (limit "&amp;$O280&amp;")"))))</f>
        <v/>
      </c>
      <c r="R280" s="29" t="str">
        <f aca="false">IF(OR($P280="",$P280="Closed",$P280="On track"),"",IF($P280="Critical",3000,2000)+$N280+ROW()/100000)</f>
        <v/>
      </c>
      <c r="S280" s="29" t="str">
        <f aca="false">IF($R280="","","draft Jira update for "&amp;$A280)</f>
        <v/>
      </c>
      <c r="T280" s="29" t="str">
        <f aca="false">IF($A280="","",HYPERLINK(JiraSite&amp;"/browse/"&amp;$A280,"open"))</f>
        <v/>
      </c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7"/>
      <c r="H281" s="27"/>
      <c r="I281" s="27"/>
      <c r="J281" s="24"/>
      <c r="K281" s="24"/>
      <c r="L281" s="24"/>
      <c r="M281" s="29" t="str">
        <f aca="false">IF($A281="","",IFERROR(INDEX(MapStage,MATCH($C281,MapStatus,0)),"Unmapped"))</f>
        <v/>
      </c>
      <c r="N281" s="29" t="str">
        <f aca="false">IF($A281="","",AsOf-$H281)</f>
        <v/>
      </c>
      <c r="O281" s="29" t="str">
        <f aca="false">IF(OR($M281="",$M281="Closed",$M281="Unmapped"),"",INDEX(StageStale,MATCH($M281,StageName,0)))</f>
        <v/>
      </c>
      <c r="P281" s="29" t="str">
        <f aca="false">IF($A281="","",IF($M281="Closed","Closed",IF($J281="Y","Critical",IF(AND($I281&lt;&gt;"",$I281&lt;AsOf),"Critical",IF($M281="Unmapped","Warning",IF($N281&gt;2*$O281,"Critical",IF($N281&gt;$O281,"Warning","On track")))))))</f>
        <v/>
      </c>
      <c r="Q281" s="29" t="str">
        <f aca="false">IF(OR($P281="",$P281="Closed",$P281="On track"),"",IF($J281="Y","Flagged as an impediment",IF(AND($I281&lt;&gt;"",$I281&lt;AsOf),"Past due since "&amp;TEXT($I281,"yyyy-mm-dd"),IF($M281="Unmapped","Status '"&amp;$C281&amp;"' is not in the Config map","No update in "&amp;$N281&amp;" days (limit "&amp;$O281&amp;")"))))</f>
        <v/>
      </c>
      <c r="R281" s="29" t="str">
        <f aca="false">IF(OR($P281="",$P281="Closed",$P281="On track"),"",IF($P281="Critical",3000,2000)+$N281+ROW()/100000)</f>
        <v/>
      </c>
      <c r="S281" s="29" t="str">
        <f aca="false">IF($R281="","","draft Jira update for "&amp;$A281)</f>
        <v/>
      </c>
      <c r="T281" s="29" t="str">
        <f aca="false">IF($A281="","",HYPERLINK(JiraSite&amp;"/browse/"&amp;$A281,"open"))</f>
        <v/>
      </c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7"/>
      <c r="H282" s="27"/>
      <c r="I282" s="27"/>
      <c r="J282" s="24"/>
      <c r="K282" s="24"/>
      <c r="L282" s="24"/>
      <c r="M282" s="29" t="str">
        <f aca="false">IF($A282="","",IFERROR(INDEX(MapStage,MATCH($C282,MapStatus,0)),"Unmapped"))</f>
        <v/>
      </c>
      <c r="N282" s="29" t="str">
        <f aca="false">IF($A282="","",AsOf-$H282)</f>
        <v/>
      </c>
      <c r="O282" s="29" t="str">
        <f aca="false">IF(OR($M282="",$M282="Closed",$M282="Unmapped"),"",INDEX(StageStale,MATCH($M282,StageName,0)))</f>
        <v/>
      </c>
      <c r="P282" s="29" t="str">
        <f aca="false">IF($A282="","",IF($M282="Closed","Closed",IF($J282="Y","Critical",IF(AND($I282&lt;&gt;"",$I282&lt;AsOf),"Critical",IF($M282="Unmapped","Warning",IF($N282&gt;2*$O282,"Critical",IF($N282&gt;$O282,"Warning","On track")))))))</f>
        <v/>
      </c>
      <c r="Q282" s="29" t="str">
        <f aca="false">IF(OR($P282="",$P282="Closed",$P282="On track"),"",IF($J282="Y","Flagged as an impediment",IF(AND($I282&lt;&gt;"",$I282&lt;AsOf),"Past due since "&amp;TEXT($I282,"yyyy-mm-dd"),IF($M282="Unmapped","Status '"&amp;$C282&amp;"' is not in the Config map","No update in "&amp;$N282&amp;" days (limit "&amp;$O282&amp;")"))))</f>
        <v/>
      </c>
      <c r="R282" s="29" t="str">
        <f aca="false">IF(OR($P282="",$P282="Closed",$P282="On track"),"",IF($P282="Critical",3000,2000)+$N282+ROW()/100000)</f>
        <v/>
      </c>
      <c r="S282" s="29" t="str">
        <f aca="false">IF($R282="","","draft Jira update for "&amp;$A282)</f>
        <v/>
      </c>
      <c r="T282" s="29" t="str">
        <f aca="false">IF($A282="","",HYPERLINK(JiraSite&amp;"/browse/"&amp;$A282,"open"))</f>
        <v/>
      </c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7"/>
      <c r="H283" s="27"/>
      <c r="I283" s="27"/>
      <c r="J283" s="24"/>
      <c r="K283" s="24"/>
      <c r="L283" s="24"/>
      <c r="M283" s="29" t="str">
        <f aca="false">IF($A283="","",IFERROR(INDEX(MapStage,MATCH($C283,MapStatus,0)),"Unmapped"))</f>
        <v/>
      </c>
      <c r="N283" s="29" t="str">
        <f aca="false">IF($A283="","",AsOf-$H283)</f>
        <v/>
      </c>
      <c r="O283" s="29" t="str">
        <f aca="false">IF(OR($M283="",$M283="Closed",$M283="Unmapped"),"",INDEX(StageStale,MATCH($M283,StageName,0)))</f>
        <v/>
      </c>
      <c r="P283" s="29" t="str">
        <f aca="false">IF($A283="","",IF($M283="Closed","Closed",IF($J283="Y","Critical",IF(AND($I283&lt;&gt;"",$I283&lt;AsOf),"Critical",IF($M283="Unmapped","Warning",IF($N283&gt;2*$O283,"Critical",IF($N283&gt;$O283,"Warning","On track")))))))</f>
        <v/>
      </c>
      <c r="Q283" s="29" t="str">
        <f aca="false">IF(OR($P283="",$P283="Closed",$P283="On track"),"",IF($J283="Y","Flagged as an impediment",IF(AND($I283&lt;&gt;"",$I283&lt;AsOf),"Past due since "&amp;TEXT($I283,"yyyy-mm-dd"),IF($M283="Unmapped","Status '"&amp;$C283&amp;"' is not in the Config map","No update in "&amp;$N283&amp;" days (limit "&amp;$O283&amp;")"))))</f>
        <v/>
      </c>
      <c r="R283" s="29" t="str">
        <f aca="false">IF(OR($P283="",$P283="Closed",$P283="On track"),"",IF($P283="Critical",3000,2000)+$N283+ROW()/100000)</f>
        <v/>
      </c>
      <c r="S283" s="29" t="str">
        <f aca="false">IF($R283="","","draft Jira update for "&amp;$A283)</f>
        <v/>
      </c>
      <c r="T283" s="29" t="str">
        <f aca="false">IF($A283="","",HYPERLINK(JiraSite&amp;"/browse/"&amp;$A283,"open"))</f>
        <v/>
      </c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7"/>
      <c r="H284" s="27"/>
      <c r="I284" s="27"/>
      <c r="J284" s="24"/>
      <c r="K284" s="24"/>
      <c r="L284" s="24"/>
      <c r="M284" s="29" t="str">
        <f aca="false">IF($A284="","",IFERROR(INDEX(MapStage,MATCH($C284,MapStatus,0)),"Unmapped"))</f>
        <v/>
      </c>
      <c r="N284" s="29" t="str">
        <f aca="false">IF($A284="","",AsOf-$H284)</f>
        <v/>
      </c>
      <c r="O284" s="29" t="str">
        <f aca="false">IF(OR($M284="",$M284="Closed",$M284="Unmapped"),"",INDEX(StageStale,MATCH($M284,StageName,0)))</f>
        <v/>
      </c>
      <c r="P284" s="29" t="str">
        <f aca="false">IF($A284="","",IF($M284="Closed","Closed",IF($J284="Y","Critical",IF(AND($I284&lt;&gt;"",$I284&lt;AsOf),"Critical",IF($M284="Unmapped","Warning",IF($N284&gt;2*$O284,"Critical",IF($N284&gt;$O284,"Warning","On track")))))))</f>
        <v/>
      </c>
      <c r="Q284" s="29" t="str">
        <f aca="false">IF(OR($P284="",$P284="Closed",$P284="On track"),"",IF($J284="Y","Flagged as an impediment",IF(AND($I284&lt;&gt;"",$I284&lt;AsOf),"Past due since "&amp;TEXT($I284,"yyyy-mm-dd"),IF($M284="Unmapped","Status '"&amp;$C284&amp;"' is not in the Config map","No update in "&amp;$N284&amp;" days (limit "&amp;$O284&amp;")"))))</f>
        <v/>
      </c>
      <c r="R284" s="29" t="str">
        <f aca="false">IF(OR($P284="",$P284="Closed",$P284="On track"),"",IF($P284="Critical",3000,2000)+$N284+ROW()/100000)</f>
        <v/>
      </c>
      <c r="S284" s="29" t="str">
        <f aca="false">IF($R284="","","draft Jira update for "&amp;$A284)</f>
        <v/>
      </c>
      <c r="T284" s="29" t="str">
        <f aca="false">IF($A284="","",HYPERLINK(JiraSite&amp;"/browse/"&amp;$A284,"open"))</f>
        <v/>
      </c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7"/>
      <c r="H285" s="27"/>
      <c r="I285" s="27"/>
      <c r="J285" s="24"/>
      <c r="K285" s="24"/>
      <c r="L285" s="24"/>
      <c r="M285" s="29" t="str">
        <f aca="false">IF($A285="","",IFERROR(INDEX(MapStage,MATCH($C285,MapStatus,0)),"Unmapped"))</f>
        <v/>
      </c>
      <c r="N285" s="29" t="str">
        <f aca="false">IF($A285="","",AsOf-$H285)</f>
        <v/>
      </c>
      <c r="O285" s="29" t="str">
        <f aca="false">IF(OR($M285="",$M285="Closed",$M285="Unmapped"),"",INDEX(StageStale,MATCH($M285,StageName,0)))</f>
        <v/>
      </c>
      <c r="P285" s="29" t="str">
        <f aca="false">IF($A285="","",IF($M285="Closed","Closed",IF($J285="Y","Critical",IF(AND($I285&lt;&gt;"",$I285&lt;AsOf),"Critical",IF($M285="Unmapped","Warning",IF($N285&gt;2*$O285,"Critical",IF($N285&gt;$O285,"Warning","On track")))))))</f>
        <v/>
      </c>
      <c r="Q285" s="29" t="str">
        <f aca="false">IF(OR($P285="",$P285="Closed",$P285="On track"),"",IF($J285="Y","Flagged as an impediment",IF(AND($I285&lt;&gt;"",$I285&lt;AsOf),"Past due since "&amp;TEXT($I285,"yyyy-mm-dd"),IF($M285="Unmapped","Status '"&amp;$C285&amp;"' is not in the Config map","No update in "&amp;$N285&amp;" days (limit "&amp;$O285&amp;")"))))</f>
        <v/>
      </c>
      <c r="R285" s="29" t="str">
        <f aca="false">IF(OR($P285="",$P285="Closed",$P285="On track"),"",IF($P285="Critical",3000,2000)+$N285+ROW()/100000)</f>
        <v/>
      </c>
      <c r="S285" s="29" t="str">
        <f aca="false">IF($R285="","","draft Jira update for "&amp;$A285)</f>
        <v/>
      </c>
      <c r="T285" s="29" t="str">
        <f aca="false">IF($A285="","",HYPERLINK(JiraSite&amp;"/browse/"&amp;$A285,"open"))</f>
        <v/>
      </c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7"/>
      <c r="H286" s="27"/>
      <c r="I286" s="27"/>
      <c r="J286" s="24"/>
      <c r="K286" s="24"/>
      <c r="L286" s="24"/>
      <c r="M286" s="29" t="str">
        <f aca="false">IF($A286="","",IFERROR(INDEX(MapStage,MATCH($C286,MapStatus,0)),"Unmapped"))</f>
        <v/>
      </c>
      <c r="N286" s="29" t="str">
        <f aca="false">IF($A286="","",AsOf-$H286)</f>
        <v/>
      </c>
      <c r="O286" s="29" t="str">
        <f aca="false">IF(OR($M286="",$M286="Closed",$M286="Unmapped"),"",INDEX(StageStale,MATCH($M286,StageName,0)))</f>
        <v/>
      </c>
      <c r="P286" s="29" t="str">
        <f aca="false">IF($A286="","",IF($M286="Closed","Closed",IF($J286="Y","Critical",IF(AND($I286&lt;&gt;"",$I286&lt;AsOf),"Critical",IF($M286="Unmapped","Warning",IF($N286&gt;2*$O286,"Critical",IF($N286&gt;$O286,"Warning","On track")))))))</f>
        <v/>
      </c>
      <c r="Q286" s="29" t="str">
        <f aca="false">IF(OR($P286="",$P286="Closed",$P286="On track"),"",IF($J286="Y","Flagged as an impediment",IF(AND($I286&lt;&gt;"",$I286&lt;AsOf),"Past due since "&amp;TEXT($I286,"yyyy-mm-dd"),IF($M286="Unmapped","Status '"&amp;$C286&amp;"' is not in the Config map","No update in "&amp;$N286&amp;" days (limit "&amp;$O286&amp;")"))))</f>
        <v/>
      </c>
      <c r="R286" s="29" t="str">
        <f aca="false">IF(OR($P286="",$P286="Closed",$P286="On track"),"",IF($P286="Critical",3000,2000)+$N286+ROW()/100000)</f>
        <v/>
      </c>
      <c r="S286" s="29" t="str">
        <f aca="false">IF($R286="","","draft Jira update for "&amp;$A286)</f>
        <v/>
      </c>
      <c r="T286" s="29" t="str">
        <f aca="false">IF($A286="","",HYPERLINK(JiraSite&amp;"/browse/"&amp;$A286,"open"))</f>
        <v/>
      </c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7"/>
      <c r="H287" s="27"/>
      <c r="I287" s="27"/>
      <c r="J287" s="24"/>
      <c r="K287" s="24"/>
      <c r="L287" s="24"/>
      <c r="M287" s="29" t="str">
        <f aca="false">IF($A287="","",IFERROR(INDEX(MapStage,MATCH($C287,MapStatus,0)),"Unmapped"))</f>
        <v/>
      </c>
      <c r="N287" s="29" t="str">
        <f aca="false">IF($A287="","",AsOf-$H287)</f>
        <v/>
      </c>
      <c r="O287" s="29" t="str">
        <f aca="false">IF(OR($M287="",$M287="Closed",$M287="Unmapped"),"",INDEX(StageStale,MATCH($M287,StageName,0)))</f>
        <v/>
      </c>
      <c r="P287" s="29" t="str">
        <f aca="false">IF($A287="","",IF($M287="Closed","Closed",IF($J287="Y","Critical",IF(AND($I287&lt;&gt;"",$I287&lt;AsOf),"Critical",IF($M287="Unmapped","Warning",IF($N287&gt;2*$O287,"Critical",IF($N287&gt;$O287,"Warning","On track")))))))</f>
        <v/>
      </c>
      <c r="Q287" s="29" t="str">
        <f aca="false">IF(OR($P287="",$P287="Closed",$P287="On track"),"",IF($J287="Y","Flagged as an impediment",IF(AND($I287&lt;&gt;"",$I287&lt;AsOf),"Past due since "&amp;TEXT($I287,"yyyy-mm-dd"),IF($M287="Unmapped","Status '"&amp;$C287&amp;"' is not in the Config map","No update in "&amp;$N287&amp;" days (limit "&amp;$O287&amp;")"))))</f>
        <v/>
      </c>
      <c r="R287" s="29" t="str">
        <f aca="false">IF(OR($P287="",$P287="Closed",$P287="On track"),"",IF($P287="Critical",3000,2000)+$N287+ROW()/100000)</f>
        <v/>
      </c>
      <c r="S287" s="29" t="str">
        <f aca="false">IF($R287="","","draft Jira update for "&amp;$A287)</f>
        <v/>
      </c>
      <c r="T287" s="29" t="str">
        <f aca="false">IF($A287="","",HYPERLINK(JiraSite&amp;"/browse/"&amp;$A287,"open"))</f>
        <v/>
      </c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7"/>
      <c r="H288" s="27"/>
      <c r="I288" s="27"/>
      <c r="J288" s="24"/>
      <c r="K288" s="24"/>
      <c r="L288" s="24"/>
      <c r="M288" s="29" t="str">
        <f aca="false">IF($A288="","",IFERROR(INDEX(MapStage,MATCH($C288,MapStatus,0)),"Unmapped"))</f>
        <v/>
      </c>
      <c r="N288" s="29" t="str">
        <f aca="false">IF($A288="","",AsOf-$H288)</f>
        <v/>
      </c>
      <c r="O288" s="29" t="str">
        <f aca="false">IF(OR($M288="",$M288="Closed",$M288="Unmapped"),"",INDEX(StageStale,MATCH($M288,StageName,0)))</f>
        <v/>
      </c>
      <c r="P288" s="29" t="str">
        <f aca="false">IF($A288="","",IF($M288="Closed","Closed",IF($J288="Y","Critical",IF(AND($I288&lt;&gt;"",$I288&lt;AsOf),"Critical",IF($M288="Unmapped","Warning",IF($N288&gt;2*$O288,"Critical",IF($N288&gt;$O288,"Warning","On track")))))))</f>
        <v/>
      </c>
      <c r="Q288" s="29" t="str">
        <f aca="false">IF(OR($P288="",$P288="Closed",$P288="On track"),"",IF($J288="Y","Flagged as an impediment",IF(AND($I288&lt;&gt;"",$I288&lt;AsOf),"Past due since "&amp;TEXT($I288,"yyyy-mm-dd"),IF($M288="Unmapped","Status '"&amp;$C288&amp;"' is not in the Config map","No update in "&amp;$N288&amp;" days (limit "&amp;$O288&amp;")"))))</f>
        <v/>
      </c>
      <c r="R288" s="29" t="str">
        <f aca="false">IF(OR($P288="",$P288="Closed",$P288="On track"),"",IF($P288="Critical",3000,2000)+$N288+ROW()/100000)</f>
        <v/>
      </c>
      <c r="S288" s="29" t="str">
        <f aca="false">IF($R288="","","draft Jira update for "&amp;$A288)</f>
        <v/>
      </c>
      <c r="T288" s="29" t="str">
        <f aca="false">IF($A288="","",HYPERLINK(JiraSite&amp;"/browse/"&amp;$A288,"open"))</f>
        <v/>
      </c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7"/>
      <c r="H289" s="27"/>
      <c r="I289" s="27"/>
      <c r="J289" s="24"/>
      <c r="K289" s="24"/>
      <c r="L289" s="24"/>
      <c r="M289" s="29" t="str">
        <f aca="false">IF($A289="","",IFERROR(INDEX(MapStage,MATCH($C289,MapStatus,0)),"Unmapped"))</f>
        <v/>
      </c>
      <c r="N289" s="29" t="str">
        <f aca="false">IF($A289="","",AsOf-$H289)</f>
        <v/>
      </c>
      <c r="O289" s="29" t="str">
        <f aca="false">IF(OR($M289="",$M289="Closed",$M289="Unmapped"),"",INDEX(StageStale,MATCH($M289,StageName,0)))</f>
        <v/>
      </c>
      <c r="P289" s="29" t="str">
        <f aca="false">IF($A289="","",IF($M289="Closed","Closed",IF($J289="Y","Critical",IF(AND($I289&lt;&gt;"",$I289&lt;AsOf),"Critical",IF($M289="Unmapped","Warning",IF($N289&gt;2*$O289,"Critical",IF($N289&gt;$O289,"Warning","On track")))))))</f>
        <v/>
      </c>
      <c r="Q289" s="29" t="str">
        <f aca="false">IF(OR($P289="",$P289="Closed",$P289="On track"),"",IF($J289="Y","Flagged as an impediment",IF(AND($I289&lt;&gt;"",$I289&lt;AsOf),"Past due since "&amp;TEXT($I289,"yyyy-mm-dd"),IF($M289="Unmapped","Status '"&amp;$C289&amp;"' is not in the Config map","No update in "&amp;$N289&amp;" days (limit "&amp;$O289&amp;")"))))</f>
        <v/>
      </c>
      <c r="R289" s="29" t="str">
        <f aca="false">IF(OR($P289="",$P289="Closed",$P289="On track"),"",IF($P289="Critical",3000,2000)+$N289+ROW()/100000)</f>
        <v/>
      </c>
      <c r="S289" s="29" t="str">
        <f aca="false">IF($R289="","","draft Jira update for "&amp;$A289)</f>
        <v/>
      </c>
      <c r="T289" s="29" t="str">
        <f aca="false">IF($A289="","",HYPERLINK(JiraSite&amp;"/browse/"&amp;$A289,"open"))</f>
        <v/>
      </c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7"/>
      <c r="H290" s="27"/>
      <c r="I290" s="27"/>
      <c r="J290" s="24"/>
      <c r="K290" s="24"/>
      <c r="L290" s="24"/>
      <c r="M290" s="29" t="str">
        <f aca="false">IF($A290="","",IFERROR(INDEX(MapStage,MATCH($C290,MapStatus,0)),"Unmapped"))</f>
        <v/>
      </c>
      <c r="N290" s="29" t="str">
        <f aca="false">IF($A290="","",AsOf-$H290)</f>
        <v/>
      </c>
      <c r="O290" s="29" t="str">
        <f aca="false">IF(OR($M290="",$M290="Closed",$M290="Unmapped"),"",INDEX(StageStale,MATCH($M290,StageName,0)))</f>
        <v/>
      </c>
      <c r="P290" s="29" t="str">
        <f aca="false">IF($A290="","",IF($M290="Closed","Closed",IF($J290="Y","Critical",IF(AND($I290&lt;&gt;"",$I290&lt;AsOf),"Critical",IF($M290="Unmapped","Warning",IF($N290&gt;2*$O290,"Critical",IF($N290&gt;$O290,"Warning","On track")))))))</f>
        <v/>
      </c>
      <c r="Q290" s="29" t="str">
        <f aca="false">IF(OR($P290="",$P290="Closed",$P290="On track"),"",IF($J290="Y","Flagged as an impediment",IF(AND($I290&lt;&gt;"",$I290&lt;AsOf),"Past due since "&amp;TEXT($I290,"yyyy-mm-dd"),IF($M290="Unmapped","Status '"&amp;$C290&amp;"' is not in the Config map","No update in "&amp;$N290&amp;" days (limit "&amp;$O290&amp;")"))))</f>
        <v/>
      </c>
      <c r="R290" s="29" t="str">
        <f aca="false">IF(OR($P290="",$P290="Closed",$P290="On track"),"",IF($P290="Critical",3000,2000)+$N290+ROW()/100000)</f>
        <v/>
      </c>
      <c r="S290" s="29" t="str">
        <f aca="false">IF($R290="","","draft Jira update for "&amp;$A290)</f>
        <v/>
      </c>
      <c r="T290" s="29" t="str">
        <f aca="false">IF($A290="","",HYPERLINK(JiraSite&amp;"/browse/"&amp;$A290,"open"))</f>
        <v/>
      </c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7"/>
      <c r="H291" s="27"/>
      <c r="I291" s="27"/>
      <c r="J291" s="24"/>
      <c r="K291" s="24"/>
      <c r="L291" s="24"/>
      <c r="M291" s="29" t="str">
        <f aca="false">IF($A291="","",IFERROR(INDEX(MapStage,MATCH($C291,MapStatus,0)),"Unmapped"))</f>
        <v/>
      </c>
      <c r="N291" s="29" t="str">
        <f aca="false">IF($A291="","",AsOf-$H291)</f>
        <v/>
      </c>
      <c r="O291" s="29" t="str">
        <f aca="false">IF(OR($M291="",$M291="Closed",$M291="Unmapped"),"",INDEX(StageStale,MATCH($M291,StageName,0)))</f>
        <v/>
      </c>
      <c r="P291" s="29" t="str">
        <f aca="false">IF($A291="","",IF($M291="Closed","Closed",IF($J291="Y","Critical",IF(AND($I291&lt;&gt;"",$I291&lt;AsOf),"Critical",IF($M291="Unmapped","Warning",IF($N291&gt;2*$O291,"Critical",IF($N291&gt;$O291,"Warning","On track")))))))</f>
        <v/>
      </c>
      <c r="Q291" s="29" t="str">
        <f aca="false">IF(OR($P291="",$P291="Closed",$P291="On track"),"",IF($J291="Y","Flagged as an impediment",IF(AND($I291&lt;&gt;"",$I291&lt;AsOf),"Past due since "&amp;TEXT($I291,"yyyy-mm-dd"),IF($M291="Unmapped","Status '"&amp;$C291&amp;"' is not in the Config map","No update in "&amp;$N291&amp;" days (limit "&amp;$O291&amp;")"))))</f>
        <v/>
      </c>
      <c r="R291" s="29" t="str">
        <f aca="false">IF(OR($P291="",$P291="Closed",$P291="On track"),"",IF($P291="Critical",3000,2000)+$N291+ROW()/100000)</f>
        <v/>
      </c>
      <c r="S291" s="29" t="str">
        <f aca="false">IF($R291="","","draft Jira update for "&amp;$A291)</f>
        <v/>
      </c>
      <c r="T291" s="29" t="str">
        <f aca="false">IF($A291="","",HYPERLINK(JiraSite&amp;"/browse/"&amp;$A291,"open"))</f>
        <v/>
      </c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7"/>
      <c r="H292" s="27"/>
      <c r="I292" s="27"/>
      <c r="J292" s="24"/>
      <c r="K292" s="24"/>
      <c r="L292" s="24"/>
      <c r="M292" s="29" t="str">
        <f aca="false">IF($A292="","",IFERROR(INDEX(MapStage,MATCH($C292,MapStatus,0)),"Unmapped"))</f>
        <v/>
      </c>
      <c r="N292" s="29" t="str">
        <f aca="false">IF($A292="","",AsOf-$H292)</f>
        <v/>
      </c>
      <c r="O292" s="29" t="str">
        <f aca="false">IF(OR($M292="",$M292="Closed",$M292="Unmapped"),"",INDEX(StageStale,MATCH($M292,StageName,0)))</f>
        <v/>
      </c>
      <c r="P292" s="29" t="str">
        <f aca="false">IF($A292="","",IF($M292="Closed","Closed",IF($J292="Y","Critical",IF(AND($I292&lt;&gt;"",$I292&lt;AsOf),"Critical",IF($M292="Unmapped","Warning",IF($N292&gt;2*$O292,"Critical",IF($N292&gt;$O292,"Warning","On track")))))))</f>
        <v/>
      </c>
      <c r="Q292" s="29" t="str">
        <f aca="false">IF(OR($P292="",$P292="Closed",$P292="On track"),"",IF($J292="Y","Flagged as an impediment",IF(AND($I292&lt;&gt;"",$I292&lt;AsOf),"Past due since "&amp;TEXT($I292,"yyyy-mm-dd"),IF($M292="Unmapped","Status '"&amp;$C292&amp;"' is not in the Config map","No update in "&amp;$N292&amp;" days (limit "&amp;$O292&amp;")"))))</f>
        <v/>
      </c>
      <c r="R292" s="29" t="str">
        <f aca="false">IF(OR($P292="",$P292="Closed",$P292="On track"),"",IF($P292="Critical",3000,2000)+$N292+ROW()/100000)</f>
        <v/>
      </c>
      <c r="S292" s="29" t="str">
        <f aca="false">IF($R292="","","draft Jira update for "&amp;$A292)</f>
        <v/>
      </c>
      <c r="T292" s="29" t="str">
        <f aca="false">IF($A292="","",HYPERLINK(JiraSite&amp;"/browse/"&amp;$A292,"open"))</f>
        <v/>
      </c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7"/>
      <c r="H293" s="27"/>
      <c r="I293" s="27"/>
      <c r="J293" s="24"/>
      <c r="K293" s="24"/>
      <c r="L293" s="24"/>
      <c r="M293" s="29" t="str">
        <f aca="false">IF($A293="","",IFERROR(INDEX(MapStage,MATCH($C293,MapStatus,0)),"Unmapped"))</f>
        <v/>
      </c>
      <c r="N293" s="29" t="str">
        <f aca="false">IF($A293="","",AsOf-$H293)</f>
        <v/>
      </c>
      <c r="O293" s="29" t="str">
        <f aca="false">IF(OR($M293="",$M293="Closed",$M293="Unmapped"),"",INDEX(StageStale,MATCH($M293,StageName,0)))</f>
        <v/>
      </c>
      <c r="P293" s="29" t="str">
        <f aca="false">IF($A293="","",IF($M293="Closed","Closed",IF($J293="Y","Critical",IF(AND($I293&lt;&gt;"",$I293&lt;AsOf),"Critical",IF($M293="Unmapped","Warning",IF($N293&gt;2*$O293,"Critical",IF($N293&gt;$O293,"Warning","On track")))))))</f>
        <v/>
      </c>
      <c r="Q293" s="29" t="str">
        <f aca="false">IF(OR($P293="",$P293="Closed",$P293="On track"),"",IF($J293="Y","Flagged as an impediment",IF(AND($I293&lt;&gt;"",$I293&lt;AsOf),"Past due since "&amp;TEXT($I293,"yyyy-mm-dd"),IF($M293="Unmapped","Status '"&amp;$C293&amp;"' is not in the Config map","No update in "&amp;$N293&amp;" days (limit "&amp;$O293&amp;")"))))</f>
        <v/>
      </c>
      <c r="R293" s="29" t="str">
        <f aca="false">IF(OR($P293="",$P293="Closed",$P293="On track"),"",IF($P293="Critical",3000,2000)+$N293+ROW()/100000)</f>
        <v/>
      </c>
      <c r="S293" s="29" t="str">
        <f aca="false">IF($R293="","","draft Jira update for "&amp;$A293)</f>
        <v/>
      </c>
      <c r="T293" s="29" t="str">
        <f aca="false">IF($A293="","",HYPERLINK(JiraSite&amp;"/browse/"&amp;$A293,"open"))</f>
        <v/>
      </c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7"/>
      <c r="H294" s="27"/>
      <c r="I294" s="27"/>
      <c r="J294" s="24"/>
      <c r="K294" s="24"/>
      <c r="L294" s="24"/>
      <c r="M294" s="29" t="str">
        <f aca="false">IF($A294="","",IFERROR(INDEX(MapStage,MATCH($C294,MapStatus,0)),"Unmapped"))</f>
        <v/>
      </c>
      <c r="N294" s="29" t="str">
        <f aca="false">IF($A294="","",AsOf-$H294)</f>
        <v/>
      </c>
      <c r="O294" s="29" t="str">
        <f aca="false">IF(OR($M294="",$M294="Closed",$M294="Unmapped"),"",INDEX(StageStale,MATCH($M294,StageName,0)))</f>
        <v/>
      </c>
      <c r="P294" s="29" t="str">
        <f aca="false">IF($A294="","",IF($M294="Closed","Closed",IF($J294="Y","Critical",IF(AND($I294&lt;&gt;"",$I294&lt;AsOf),"Critical",IF($M294="Unmapped","Warning",IF($N294&gt;2*$O294,"Critical",IF($N294&gt;$O294,"Warning","On track")))))))</f>
        <v/>
      </c>
      <c r="Q294" s="29" t="str">
        <f aca="false">IF(OR($P294="",$P294="Closed",$P294="On track"),"",IF($J294="Y","Flagged as an impediment",IF(AND($I294&lt;&gt;"",$I294&lt;AsOf),"Past due since "&amp;TEXT($I294,"yyyy-mm-dd"),IF($M294="Unmapped","Status '"&amp;$C294&amp;"' is not in the Config map","No update in "&amp;$N294&amp;" days (limit "&amp;$O294&amp;")"))))</f>
        <v/>
      </c>
      <c r="R294" s="29" t="str">
        <f aca="false">IF(OR($P294="",$P294="Closed",$P294="On track"),"",IF($P294="Critical",3000,2000)+$N294+ROW()/100000)</f>
        <v/>
      </c>
      <c r="S294" s="29" t="str">
        <f aca="false">IF($R294="","","draft Jira update for "&amp;$A294)</f>
        <v/>
      </c>
      <c r="T294" s="29" t="str">
        <f aca="false">IF($A294="","",HYPERLINK(JiraSite&amp;"/browse/"&amp;$A294,"open"))</f>
        <v/>
      </c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7"/>
      <c r="H295" s="27"/>
      <c r="I295" s="27"/>
      <c r="J295" s="24"/>
      <c r="K295" s="24"/>
      <c r="L295" s="24"/>
      <c r="M295" s="29" t="str">
        <f aca="false">IF($A295="","",IFERROR(INDEX(MapStage,MATCH($C295,MapStatus,0)),"Unmapped"))</f>
        <v/>
      </c>
      <c r="N295" s="29" t="str">
        <f aca="false">IF($A295="","",AsOf-$H295)</f>
        <v/>
      </c>
      <c r="O295" s="29" t="str">
        <f aca="false">IF(OR($M295="",$M295="Closed",$M295="Unmapped"),"",INDEX(StageStale,MATCH($M295,StageName,0)))</f>
        <v/>
      </c>
      <c r="P295" s="29" t="str">
        <f aca="false">IF($A295="","",IF($M295="Closed","Closed",IF($J295="Y","Critical",IF(AND($I295&lt;&gt;"",$I295&lt;AsOf),"Critical",IF($M295="Unmapped","Warning",IF($N295&gt;2*$O295,"Critical",IF($N295&gt;$O295,"Warning","On track")))))))</f>
        <v/>
      </c>
      <c r="Q295" s="29" t="str">
        <f aca="false">IF(OR($P295="",$P295="Closed",$P295="On track"),"",IF($J295="Y","Flagged as an impediment",IF(AND($I295&lt;&gt;"",$I295&lt;AsOf),"Past due since "&amp;TEXT($I295,"yyyy-mm-dd"),IF($M295="Unmapped","Status '"&amp;$C295&amp;"' is not in the Config map","No update in "&amp;$N295&amp;" days (limit "&amp;$O295&amp;")"))))</f>
        <v/>
      </c>
      <c r="R295" s="29" t="str">
        <f aca="false">IF(OR($P295="",$P295="Closed",$P295="On track"),"",IF($P295="Critical",3000,2000)+$N295+ROW()/100000)</f>
        <v/>
      </c>
      <c r="S295" s="29" t="str">
        <f aca="false">IF($R295="","","draft Jira update for "&amp;$A295)</f>
        <v/>
      </c>
      <c r="T295" s="29" t="str">
        <f aca="false">IF($A295="","",HYPERLINK(JiraSite&amp;"/browse/"&amp;$A295,"open"))</f>
        <v/>
      </c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7"/>
      <c r="H296" s="27"/>
      <c r="I296" s="27"/>
      <c r="J296" s="24"/>
      <c r="K296" s="24"/>
      <c r="L296" s="24"/>
      <c r="M296" s="29" t="str">
        <f aca="false">IF($A296="","",IFERROR(INDEX(MapStage,MATCH($C296,MapStatus,0)),"Unmapped"))</f>
        <v/>
      </c>
      <c r="N296" s="29" t="str">
        <f aca="false">IF($A296="","",AsOf-$H296)</f>
        <v/>
      </c>
      <c r="O296" s="29" t="str">
        <f aca="false">IF(OR($M296="",$M296="Closed",$M296="Unmapped"),"",INDEX(StageStale,MATCH($M296,StageName,0)))</f>
        <v/>
      </c>
      <c r="P296" s="29" t="str">
        <f aca="false">IF($A296="","",IF($M296="Closed","Closed",IF($J296="Y","Critical",IF(AND($I296&lt;&gt;"",$I296&lt;AsOf),"Critical",IF($M296="Unmapped","Warning",IF($N296&gt;2*$O296,"Critical",IF($N296&gt;$O296,"Warning","On track")))))))</f>
        <v/>
      </c>
      <c r="Q296" s="29" t="str">
        <f aca="false">IF(OR($P296="",$P296="Closed",$P296="On track"),"",IF($J296="Y","Flagged as an impediment",IF(AND($I296&lt;&gt;"",$I296&lt;AsOf),"Past due since "&amp;TEXT($I296,"yyyy-mm-dd"),IF($M296="Unmapped","Status '"&amp;$C296&amp;"' is not in the Config map","No update in "&amp;$N296&amp;" days (limit "&amp;$O296&amp;")"))))</f>
        <v/>
      </c>
      <c r="R296" s="29" t="str">
        <f aca="false">IF(OR($P296="",$P296="Closed",$P296="On track"),"",IF($P296="Critical",3000,2000)+$N296+ROW()/100000)</f>
        <v/>
      </c>
      <c r="S296" s="29" t="str">
        <f aca="false">IF($R296="","","draft Jira update for "&amp;$A296)</f>
        <v/>
      </c>
      <c r="T296" s="29" t="str">
        <f aca="false">IF($A296="","",HYPERLINK(JiraSite&amp;"/browse/"&amp;$A296,"open"))</f>
        <v/>
      </c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7"/>
      <c r="H297" s="27"/>
      <c r="I297" s="27"/>
      <c r="J297" s="24"/>
      <c r="K297" s="24"/>
      <c r="L297" s="24"/>
      <c r="M297" s="29" t="str">
        <f aca="false">IF($A297="","",IFERROR(INDEX(MapStage,MATCH($C297,MapStatus,0)),"Unmapped"))</f>
        <v/>
      </c>
      <c r="N297" s="29" t="str">
        <f aca="false">IF($A297="","",AsOf-$H297)</f>
        <v/>
      </c>
      <c r="O297" s="29" t="str">
        <f aca="false">IF(OR($M297="",$M297="Closed",$M297="Unmapped"),"",INDEX(StageStale,MATCH($M297,StageName,0)))</f>
        <v/>
      </c>
      <c r="P297" s="29" t="str">
        <f aca="false">IF($A297="","",IF($M297="Closed","Closed",IF($J297="Y","Critical",IF(AND($I297&lt;&gt;"",$I297&lt;AsOf),"Critical",IF($M297="Unmapped","Warning",IF($N297&gt;2*$O297,"Critical",IF($N297&gt;$O297,"Warning","On track")))))))</f>
        <v/>
      </c>
      <c r="Q297" s="29" t="str">
        <f aca="false">IF(OR($P297="",$P297="Closed",$P297="On track"),"",IF($J297="Y","Flagged as an impediment",IF(AND($I297&lt;&gt;"",$I297&lt;AsOf),"Past due since "&amp;TEXT($I297,"yyyy-mm-dd"),IF($M297="Unmapped","Status '"&amp;$C297&amp;"' is not in the Config map","No update in "&amp;$N297&amp;" days (limit "&amp;$O297&amp;")"))))</f>
        <v/>
      </c>
      <c r="R297" s="29" t="str">
        <f aca="false">IF(OR($P297="",$P297="Closed",$P297="On track"),"",IF($P297="Critical",3000,2000)+$N297+ROW()/100000)</f>
        <v/>
      </c>
      <c r="S297" s="29" t="str">
        <f aca="false">IF($R297="","","draft Jira update for "&amp;$A297)</f>
        <v/>
      </c>
      <c r="T297" s="29" t="str">
        <f aca="false">IF($A297="","",HYPERLINK(JiraSite&amp;"/browse/"&amp;$A297,"open"))</f>
        <v/>
      </c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7"/>
      <c r="H298" s="27"/>
      <c r="I298" s="27"/>
      <c r="J298" s="24"/>
      <c r="K298" s="24"/>
      <c r="L298" s="24"/>
      <c r="M298" s="29" t="str">
        <f aca="false">IF($A298="","",IFERROR(INDEX(MapStage,MATCH($C298,MapStatus,0)),"Unmapped"))</f>
        <v/>
      </c>
      <c r="N298" s="29" t="str">
        <f aca="false">IF($A298="","",AsOf-$H298)</f>
        <v/>
      </c>
      <c r="O298" s="29" t="str">
        <f aca="false">IF(OR($M298="",$M298="Closed",$M298="Unmapped"),"",INDEX(StageStale,MATCH($M298,StageName,0)))</f>
        <v/>
      </c>
      <c r="P298" s="29" t="str">
        <f aca="false">IF($A298="","",IF($M298="Closed","Closed",IF($J298="Y","Critical",IF(AND($I298&lt;&gt;"",$I298&lt;AsOf),"Critical",IF($M298="Unmapped","Warning",IF($N298&gt;2*$O298,"Critical",IF($N298&gt;$O298,"Warning","On track")))))))</f>
        <v/>
      </c>
      <c r="Q298" s="29" t="str">
        <f aca="false">IF(OR($P298="",$P298="Closed",$P298="On track"),"",IF($J298="Y","Flagged as an impediment",IF(AND($I298&lt;&gt;"",$I298&lt;AsOf),"Past due since "&amp;TEXT($I298,"yyyy-mm-dd"),IF($M298="Unmapped","Status '"&amp;$C298&amp;"' is not in the Config map","No update in "&amp;$N298&amp;" days (limit "&amp;$O298&amp;")"))))</f>
        <v/>
      </c>
      <c r="R298" s="29" t="str">
        <f aca="false">IF(OR($P298="",$P298="Closed",$P298="On track"),"",IF($P298="Critical",3000,2000)+$N298+ROW()/100000)</f>
        <v/>
      </c>
      <c r="S298" s="29" t="str">
        <f aca="false">IF($R298="","","draft Jira update for "&amp;$A298)</f>
        <v/>
      </c>
      <c r="T298" s="29" t="str">
        <f aca="false">IF($A298="","",HYPERLINK(JiraSite&amp;"/browse/"&amp;$A298,"open"))</f>
        <v/>
      </c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7"/>
      <c r="H299" s="27"/>
      <c r="I299" s="27"/>
      <c r="J299" s="24"/>
      <c r="K299" s="24"/>
      <c r="L299" s="24"/>
      <c r="M299" s="29" t="str">
        <f aca="false">IF($A299="","",IFERROR(INDEX(MapStage,MATCH($C299,MapStatus,0)),"Unmapped"))</f>
        <v/>
      </c>
      <c r="N299" s="29" t="str">
        <f aca="false">IF($A299="","",AsOf-$H299)</f>
        <v/>
      </c>
      <c r="O299" s="29" t="str">
        <f aca="false">IF(OR($M299="",$M299="Closed",$M299="Unmapped"),"",INDEX(StageStale,MATCH($M299,StageName,0)))</f>
        <v/>
      </c>
      <c r="P299" s="29" t="str">
        <f aca="false">IF($A299="","",IF($M299="Closed","Closed",IF($J299="Y","Critical",IF(AND($I299&lt;&gt;"",$I299&lt;AsOf),"Critical",IF($M299="Unmapped","Warning",IF($N299&gt;2*$O299,"Critical",IF($N299&gt;$O299,"Warning","On track")))))))</f>
        <v/>
      </c>
      <c r="Q299" s="29" t="str">
        <f aca="false">IF(OR($P299="",$P299="Closed",$P299="On track"),"",IF($J299="Y","Flagged as an impediment",IF(AND($I299&lt;&gt;"",$I299&lt;AsOf),"Past due since "&amp;TEXT($I299,"yyyy-mm-dd"),IF($M299="Unmapped","Status '"&amp;$C299&amp;"' is not in the Config map","No update in "&amp;$N299&amp;" days (limit "&amp;$O299&amp;")"))))</f>
        <v/>
      </c>
      <c r="R299" s="29" t="str">
        <f aca="false">IF(OR($P299="",$P299="Closed",$P299="On track"),"",IF($P299="Critical",3000,2000)+$N299+ROW()/100000)</f>
        <v/>
      </c>
      <c r="S299" s="29" t="str">
        <f aca="false">IF($R299="","","draft Jira update for "&amp;$A299)</f>
        <v/>
      </c>
      <c r="T299" s="29" t="str">
        <f aca="false">IF($A299="","",HYPERLINK(JiraSite&amp;"/browse/"&amp;$A299,"open"))</f>
        <v/>
      </c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7"/>
      <c r="H300" s="27"/>
      <c r="I300" s="27"/>
      <c r="J300" s="24"/>
      <c r="K300" s="24"/>
      <c r="L300" s="24"/>
      <c r="M300" s="29" t="str">
        <f aca="false">IF($A300="","",IFERROR(INDEX(MapStage,MATCH($C300,MapStatus,0)),"Unmapped"))</f>
        <v/>
      </c>
      <c r="N300" s="29" t="str">
        <f aca="false">IF($A300="","",AsOf-$H300)</f>
        <v/>
      </c>
      <c r="O300" s="29" t="str">
        <f aca="false">IF(OR($M300="",$M300="Closed",$M300="Unmapped"),"",INDEX(StageStale,MATCH($M300,StageName,0)))</f>
        <v/>
      </c>
      <c r="P300" s="29" t="str">
        <f aca="false">IF($A300="","",IF($M300="Closed","Closed",IF($J300="Y","Critical",IF(AND($I300&lt;&gt;"",$I300&lt;AsOf),"Critical",IF($M300="Unmapped","Warning",IF($N300&gt;2*$O300,"Critical",IF($N300&gt;$O300,"Warning","On track")))))))</f>
        <v/>
      </c>
      <c r="Q300" s="29" t="str">
        <f aca="false">IF(OR($P300="",$P300="Closed",$P300="On track"),"",IF($J300="Y","Flagged as an impediment",IF(AND($I300&lt;&gt;"",$I300&lt;AsOf),"Past due since "&amp;TEXT($I300,"yyyy-mm-dd"),IF($M300="Unmapped","Status '"&amp;$C300&amp;"' is not in the Config map","No update in "&amp;$N300&amp;" days (limit "&amp;$O300&amp;")"))))</f>
        <v/>
      </c>
      <c r="R300" s="29" t="str">
        <f aca="false">IF(OR($P300="",$P300="Closed",$P300="On track"),"",IF($P300="Critical",3000,2000)+$N300+ROW()/100000)</f>
        <v/>
      </c>
      <c r="S300" s="29" t="str">
        <f aca="false">IF($R300="","","draft Jira update for "&amp;$A300)</f>
        <v/>
      </c>
      <c r="T300" s="29" t="str">
        <f aca="false">IF($A300="","",HYPERLINK(JiraSite&amp;"/browse/"&amp;$A300,"open"))</f>
        <v/>
      </c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7"/>
      <c r="H301" s="27"/>
      <c r="I301" s="27"/>
      <c r="J301" s="24"/>
      <c r="K301" s="24"/>
      <c r="L301" s="24"/>
      <c r="M301" s="29" t="str">
        <f aca="false">IF($A301="","",IFERROR(INDEX(MapStage,MATCH($C301,MapStatus,0)),"Unmapped"))</f>
        <v/>
      </c>
      <c r="N301" s="29" t="str">
        <f aca="false">IF($A301="","",AsOf-$H301)</f>
        <v/>
      </c>
      <c r="O301" s="29" t="str">
        <f aca="false">IF(OR($M301="",$M301="Closed",$M301="Unmapped"),"",INDEX(StageStale,MATCH($M301,StageName,0)))</f>
        <v/>
      </c>
      <c r="P301" s="29" t="str">
        <f aca="false">IF($A301="","",IF($M301="Closed","Closed",IF($J301="Y","Critical",IF(AND($I301&lt;&gt;"",$I301&lt;AsOf),"Critical",IF($M301="Unmapped","Warning",IF($N301&gt;2*$O301,"Critical",IF($N301&gt;$O301,"Warning","On track")))))))</f>
        <v/>
      </c>
      <c r="Q301" s="29" t="str">
        <f aca="false">IF(OR($P301="",$P301="Closed",$P301="On track"),"",IF($J301="Y","Flagged as an impediment",IF(AND($I301&lt;&gt;"",$I301&lt;AsOf),"Past due since "&amp;TEXT($I301,"yyyy-mm-dd"),IF($M301="Unmapped","Status '"&amp;$C301&amp;"' is not in the Config map","No update in "&amp;$N301&amp;" days (limit "&amp;$O301&amp;")"))))</f>
        <v/>
      </c>
      <c r="R301" s="29" t="str">
        <f aca="false">IF(OR($P301="",$P301="Closed",$P301="On track"),"",IF($P301="Critical",3000,2000)+$N301+ROW()/100000)</f>
        <v/>
      </c>
      <c r="S301" s="29" t="str">
        <f aca="false">IF($R301="","","draft Jira update for "&amp;$A301)</f>
        <v/>
      </c>
      <c r="T301" s="29" t="str">
        <f aca="false">IF($A301="","",HYPERLINK(JiraSite&amp;"/browse/"&amp;$A301,"open"))</f>
        <v/>
      </c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7"/>
      <c r="H302" s="27"/>
      <c r="I302" s="27"/>
      <c r="J302" s="24"/>
      <c r="K302" s="24"/>
      <c r="L302" s="24"/>
      <c r="M302" s="29" t="str">
        <f aca="false">IF($A302="","",IFERROR(INDEX(MapStage,MATCH($C302,MapStatus,0)),"Unmapped"))</f>
        <v/>
      </c>
      <c r="N302" s="29" t="str">
        <f aca="false">IF($A302="","",AsOf-$H302)</f>
        <v/>
      </c>
      <c r="O302" s="29" t="str">
        <f aca="false">IF(OR($M302="",$M302="Closed",$M302="Unmapped"),"",INDEX(StageStale,MATCH($M302,StageName,0)))</f>
        <v/>
      </c>
      <c r="P302" s="29" t="str">
        <f aca="false">IF($A302="","",IF($M302="Closed","Closed",IF($J302="Y","Critical",IF(AND($I302&lt;&gt;"",$I302&lt;AsOf),"Critical",IF($M302="Unmapped","Warning",IF($N302&gt;2*$O302,"Critical",IF($N302&gt;$O302,"Warning","On track")))))))</f>
        <v/>
      </c>
      <c r="Q302" s="29" t="str">
        <f aca="false">IF(OR($P302="",$P302="Closed",$P302="On track"),"",IF($J302="Y","Flagged as an impediment",IF(AND($I302&lt;&gt;"",$I302&lt;AsOf),"Past due since "&amp;TEXT($I302,"yyyy-mm-dd"),IF($M302="Unmapped","Status '"&amp;$C302&amp;"' is not in the Config map","No update in "&amp;$N302&amp;" days (limit "&amp;$O302&amp;")"))))</f>
        <v/>
      </c>
      <c r="R302" s="29" t="str">
        <f aca="false">IF(OR($P302="",$P302="Closed",$P302="On track"),"",IF($P302="Critical",3000,2000)+$N302+ROW()/100000)</f>
        <v/>
      </c>
      <c r="S302" s="29" t="str">
        <f aca="false">IF($R302="","","draft Jira update for "&amp;$A302)</f>
        <v/>
      </c>
      <c r="T302" s="29" t="str">
        <f aca="false">IF($A302="","",HYPERLINK(JiraSite&amp;"/browse/"&amp;$A302,"open"))</f>
        <v/>
      </c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7"/>
      <c r="H303" s="27"/>
      <c r="I303" s="27"/>
      <c r="J303" s="24"/>
      <c r="K303" s="24"/>
      <c r="L303" s="24"/>
      <c r="M303" s="29" t="str">
        <f aca="false">IF($A303="","",IFERROR(INDEX(MapStage,MATCH($C303,MapStatus,0)),"Unmapped"))</f>
        <v/>
      </c>
      <c r="N303" s="29" t="str">
        <f aca="false">IF($A303="","",AsOf-$H303)</f>
        <v/>
      </c>
      <c r="O303" s="29" t="str">
        <f aca="false">IF(OR($M303="",$M303="Closed",$M303="Unmapped"),"",INDEX(StageStale,MATCH($M303,StageName,0)))</f>
        <v/>
      </c>
      <c r="P303" s="29" t="str">
        <f aca="false">IF($A303="","",IF($M303="Closed","Closed",IF($J303="Y","Critical",IF(AND($I303&lt;&gt;"",$I303&lt;AsOf),"Critical",IF($M303="Unmapped","Warning",IF($N303&gt;2*$O303,"Critical",IF($N303&gt;$O303,"Warning","On track")))))))</f>
        <v/>
      </c>
      <c r="Q303" s="29" t="str">
        <f aca="false">IF(OR($P303="",$P303="Closed",$P303="On track"),"",IF($J303="Y","Flagged as an impediment",IF(AND($I303&lt;&gt;"",$I303&lt;AsOf),"Past due since "&amp;TEXT($I303,"yyyy-mm-dd"),IF($M303="Unmapped","Status '"&amp;$C303&amp;"' is not in the Config map","No update in "&amp;$N303&amp;" days (limit "&amp;$O303&amp;")"))))</f>
        <v/>
      </c>
      <c r="R303" s="29" t="str">
        <f aca="false">IF(OR($P303="",$P303="Closed",$P303="On track"),"",IF($P303="Critical",3000,2000)+$N303+ROW()/100000)</f>
        <v/>
      </c>
      <c r="S303" s="29" t="str">
        <f aca="false">IF($R303="","","draft Jira update for "&amp;$A303)</f>
        <v/>
      </c>
      <c r="T303" s="29" t="str">
        <f aca="false">IF($A303="","",HYPERLINK(JiraSite&amp;"/browse/"&amp;$A303,"open"))</f>
        <v/>
      </c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7"/>
      <c r="H304" s="27"/>
      <c r="I304" s="27"/>
      <c r="J304" s="24"/>
      <c r="K304" s="24"/>
      <c r="L304" s="24"/>
      <c r="M304" s="29" t="str">
        <f aca="false">IF($A304="","",IFERROR(INDEX(MapStage,MATCH($C304,MapStatus,0)),"Unmapped"))</f>
        <v/>
      </c>
      <c r="N304" s="29" t="str">
        <f aca="false">IF($A304="","",AsOf-$H304)</f>
        <v/>
      </c>
      <c r="O304" s="29" t="str">
        <f aca="false">IF(OR($M304="",$M304="Closed",$M304="Unmapped"),"",INDEX(StageStale,MATCH($M304,StageName,0)))</f>
        <v/>
      </c>
      <c r="P304" s="29" t="str">
        <f aca="false">IF($A304="","",IF($M304="Closed","Closed",IF($J304="Y","Critical",IF(AND($I304&lt;&gt;"",$I304&lt;AsOf),"Critical",IF($M304="Unmapped","Warning",IF($N304&gt;2*$O304,"Critical",IF($N304&gt;$O304,"Warning","On track")))))))</f>
        <v/>
      </c>
      <c r="Q304" s="29" t="str">
        <f aca="false">IF(OR($P304="",$P304="Closed",$P304="On track"),"",IF($J304="Y","Flagged as an impediment",IF(AND($I304&lt;&gt;"",$I304&lt;AsOf),"Past due since "&amp;TEXT($I304,"yyyy-mm-dd"),IF($M304="Unmapped","Status '"&amp;$C304&amp;"' is not in the Config map","No update in "&amp;$N304&amp;" days (limit "&amp;$O304&amp;")"))))</f>
        <v/>
      </c>
      <c r="R304" s="29" t="str">
        <f aca="false">IF(OR($P304="",$P304="Closed",$P304="On track"),"",IF($P304="Critical",3000,2000)+$N304+ROW()/100000)</f>
        <v/>
      </c>
      <c r="S304" s="29" t="str">
        <f aca="false">IF($R304="","","draft Jira update for "&amp;$A304)</f>
        <v/>
      </c>
      <c r="T304" s="29" t="str">
        <f aca="false">IF($A304="","",HYPERLINK(JiraSite&amp;"/browse/"&amp;$A304,"open"))</f>
        <v/>
      </c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7"/>
      <c r="H305" s="27"/>
      <c r="I305" s="27"/>
      <c r="J305" s="24"/>
      <c r="K305" s="24"/>
      <c r="L305" s="24"/>
      <c r="M305" s="29" t="str">
        <f aca="false">IF($A305="","",IFERROR(INDEX(MapStage,MATCH($C305,MapStatus,0)),"Unmapped"))</f>
        <v/>
      </c>
      <c r="N305" s="29" t="str">
        <f aca="false">IF($A305="","",AsOf-$H305)</f>
        <v/>
      </c>
      <c r="O305" s="29" t="str">
        <f aca="false">IF(OR($M305="",$M305="Closed",$M305="Unmapped"),"",INDEX(StageStale,MATCH($M305,StageName,0)))</f>
        <v/>
      </c>
      <c r="P305" s="29" t="str">
        <f aca="false">IF($A305="","",IF($M305="Closed","Closed",IF($J305="Y","Critical",IF(AND($I305&lt;&gt;"",$I305&lt;AsOf),"Critical",IF($M305="Unmapped","Warning",IF($N305&gt;2*$O305,"Critical",IF($N305&gt;$O305,"Warning","On track")))))))</f>
        <v/>
      </c>
      <c r="Q305" s="29" t="str">
        <f aca="false">IF(OR($P305="",$P305="Closed",$P305="On track"),"",IF($J305="Y","Flagged as an impediment",IF(AND($I305&lt;&gt;"",$I305&lt;AsOf),"Past due since "&amp;TEXT($I305,"yyyy-mm-dd"),IF($M305="Unmapped","Status '"&amp;$C305&amp;"' is not in the Config map","No update in "&amp;$N305&amp;" days (limit "&amp;$O305&amp;")"))))</f>
        <v/>
      </c>
      <c r="R305" s="29" t="str">
        <f aca="false">IF(OR($P305="",$P305="Closed",$P305="On track"),"",IF($P305="Critical",3000,2000)+$N305+ROW()/100000)</f>
        <v/>
      </c>
      <c r="S305" s="29" t="str">
        <f aca="false">IF($R305="","","draft Jira update for "&amp;$A305)</f>
        <v/>
      </c>
      <c r="T305" s="29" t="str">
        <f aca="false">IF($A305="","",HYPERLINK(JiraSite&amp;"/browse/"&amp;$A305,"open"))</f>
        <v/>
      </c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7"/>
      <c r="H306" s="27"/>
      <c r="I306" s="27"/>
      <c r="J306" s="24"/>
      <c r="K306" s="24"/>
      <c r="L306" s="24"/>
      <c r="M306" s="29" t="str">
        <f aca="false">IF($A306="","",IFERROR(INDEX(MapStage,MATCH($C306,MapStatus,0)),"Unmapped"))</f>
        <v/>
      </c>
      <c r="N306" s="29" t="str">
        <f aca="false">IF($A306="","",AsOf-$H306)</f>
        <v/>
      </c>
      <c r="O306" s="29" t="str">
        <f aca="false">IF(OR($M306="",$M306="Closed",$M306="Unmapped"),"",INDEX(StageStale,MATCH($M306,StageName,0)))</f>
        <v/>
      </c>
      <c r="P306" s="29" t="str">
        <f aca="false">IF($A306="","",IF($M306="Closed","Closed",IF($J306="Y","Critical",IF(AND($I306&lt;&gt;"",$I306&lt;AsOf),"Critical",IF($M306="Unmapped","Warning",IF($N306&gt;2*$O306,"Critical",IF($N306&gt;$O306,"Warning","On track")))))))</f>
        <v/>
      </c>
      <c r="Q306" s="29" t="str">
        <f aca="false">IF(OR($P306="",$P306="Closed",$P306="On track"),"",IF($J306="Y","Flagged as an impediment",IF(AND($I306&lt;&gt;"",$I306&lt;AsOf),"Past due since "&amp;TEXT($I306,"yyyy-mm-dd"),IF($M306="Unmapped","Status '"&amp;$C306&amp;"' is not in the Config map","No update in "&amp;$N306&amp;" days (limit "&amp;$O306&amp;")"))))</f>
        <v/>
      </c>
      <c r="R306" s="29" t="str">
        <f aca="false">IF(OR($P306="",$P306="Closed",$P306="On track"),"",IF($P306="Critical",3000,2000)+$N306+ROW()/100000)</f>
        <v/>
      </c>
      <c r="S306" s="29" t="str">
        <f aca="false">IF($R306="","","draft Jira update for "&amp;$A306)</f>
        <v/>
      </c>
      <c r="T306" s="29" t="str">
        <f aca="false">IF($A306="","",HYPERLINK(JiraSite&amp;"/browse/"&amp;$A306,"open"))</f>
        <v/>
      </c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7"/>
      <c r="H307" s="27"/>
      <c r="I307" s="27"/>
      <c r="J307" s="24"/>
      <c r="K307" s="24"/>
      <c r="L307" s="24"/>
      <c r="M307" s="29" t="str">
        <f aca="false">IF($A307="","",IFERROR(INDEX(MapStage,MATCH($C307,MapStatus,0)),"Unmapped"))</f>
        <v/>
      </c>
      <c r="N307" s="29" t="str">
        <f aca="false">IF($A307="","",AsOf-$H307)</f>
        <v/>
      </c>
      <c r="O307" s="29" t="str">
        <f aca="false">IF(OR($M307="",$M307="Closed",$M307="Unmapped"),"",INDEX(StageStale,MATCH($M307,StageName,0)))</f>
        <v/>
      </c>
      <c r="P307" s="29" t="str">
        <f aca="false">IF($A307="","",IF($M307="Closed","Closed",IF($J307="Y","Critical",IF(AND($I307&lt;&gt;"",$I307&lt;AsOf),"Critical",IF($M307="Unmapped","Warning",IF($N307&gt;2*$O307,"Critical",IF($N307&gt;$O307,"Warning","On track")))))))</f>
        <v/>
      </c>
      <c r="Q307" s="29" t="str">
        <f aca="false">IF(OR($P307="",$P307="Closed",$P307="On track"),"",IF($J307="Y","Flagged as an impediment",IF(AND($I307&lt;&gt;"",$I307&lt;AsOf),"Past due since "&amp;TEXT($I307,"yyyy-mm-dd"),IF($M307="Unmapped","Status '"&amp;$C307&amp;"' is not in the Config map","No update in "&amp;$N307&amp;" days (limit "&amp;$O307&amp;")"))))</f>
        <v/>
      </c>
      <c r="R307" s="29" t="str">
        <f aca="false">IF(OR($P307="",$P307="Closed",$P307="On track"),"",IF($P307="Critical",3000,2000)+$N307+ROW()/100000)</f>
        <v/>
      </c>
      <c r="S307" s="29" t="str">
        <f aca="false">IF($R307="","","draft Jira update for "&amp;$A307)</f>
        <v/>
      </c>
      <c r="T307" s="29" t="str">
        <f aca="false">IF($A307="","",HYPERLINK(JiraSite&amp;"/browse/"&amp;$A307,"open"))</f>
        <v/>
      </c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7"/>
      <c r="H308" s="27"/>
      <c r="I308" s="27"/>
      <c r="J308" s="24"/>
      <c r="K308" s="24"/>
      <c r="L308" s="24"/>
      <c r="M308" s="29" t="str">
        <f aca="false">IF($A308="","",IFERROR(INDEX(MapStage,MATCH($C308,MapStatus,0)),"Unmapped"))</f>
        <v/>
      </c>
      <c r="N308" s="29" t="str">
        <f aca="false">IF($A308="","",AsOf-$H308)</f>
        <v/>
      </c>
      <c r="O308" s="29" t="str">
        <f aca="false">IF(OR($M308="",$M308="Closed",$M308="Unmapped"),"",INDEX(StageStale,MATCH($M308,StageName,0)))</f>
        <v/>
      </c>
      <c r="P308" s="29" t="str">
        <f aca="false">IF($A308="","",IF($M308="Closed","Closed",IF($J308="Y","Critical",IF(AND($I308&lt;&gt;"",$I308&lt;AsOf),"Critical",IF($M308="Unmapped","Warning",IF($N308&gt;2*$O308,"Critical",IF($N308&gt;$O308,"Warning","On track")))))))</f>
        <v/>
      </c>
      <c r="Q308" s="29" t="str">
        <f aca="false">IF(OR($P308="",$P308="Closed",$P308="On track"),"",IF($J308="Y","Flagged as an impediment",IF(AND($I308&lt;&gt;"",$I308&lt;AsOf),"Past due since "&amp;TEXT($I308,"yyyy-mm-dd"),IF($M308="Unmapped","Status '"&amp;$C308&amp;"' is not in the Config map","No update in "&amp;$N308&amp;" days (limit "&amp;$O308&amp;")"))))</f>
        <v/>
      </c>
      <c r="R308" s="29" t="str">
        <f aca="false">IF(OR($P308="",$P308="Closed",$P308="On track"),"",IF($P308="Critical",3000,2000)+$N308+ROW()/100000)</f>
        <v/>
      </c>
      <c r="S308" s="29" t="str">
        <f aca="false">IF($R308="","","draft Jira update for "&amp;$A308)</f>
        <v/>
      </c>
      <c r="T308" s="29" t="str">
        <f aca="false">IF($A308="","",HYPERLINK(JiraSite&amp;"/browse/"&amp;$A308,"open"))</f>
        <v/>
      </c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7"/>
      <c r="H309" s="27"/>
      <c r="I309" s="27"/>
      <c r="J309" s="24"/>
      <c r="K309" s="24"/>
      <c r="L309" s="24"/>
      <c r="M309" s="29" t="str">
        <f aca="false">IF($A309="","",IFERROR(INDEX(MapStage,MATCH($C309,MapStatus,0)),"Unmapped"))</f>
        <v/>
      </c>
      <c r="N309" s="29" t="str">
        <f aca="false">IF($A309="","",AsOf-$H309)</f>
        <v/>
      </c>
      <c r="O309" s="29" t="str">
        <f aca="false">IF(OR($M309="",$M309="Closed",$M309="Unmapped"),"",INDEX(StageStale,MATCH($M309,StageName,0)))</f>
        <v/>
      </c>
      <c r="P309" s="29" t="str">
        <f aca="false">IF($A309="","",IF($M309="Closed","Closed",IF($J309="Y","Critical",IF(AND($I309&lt;&gt;"",$I309&lt;AsOf),"Critical",IF($M309="Unmapped","Warning",IF($N309&gt;2*$O309,"Critical",IF($N309&gt;$O309,"Warning","On track")))))))</f>
        <v/>
      </c>
      <c r="Q309" s="29" t="str">
        <f aca="false">IF(OR($P309="",$P309="Closed",$P309="On track"),"",IF($J309="Y","Flagged as an impediment",IF(AND($I309&lt;&gt;"",$I309&lt;AsOf),"Past due since "&amp;TEXT($I309,"yyyy-mm-dd"),IF($M309="Unmapped","Status '"&amp;$C309&amp;"' is not in the Config map","No update in "&amp;$N309&amp;" days (limit "&amp;$O309&amp;")"))))</f>
        <v/>
      </c>
      <c r="R309" s="29" t="str">
        <f aca="false">IF(OR($P309="",$P309="Closed",$P309="On track"),"",IF($P309="Critical",3000,2000)+$N309+ROW()/100000)</f>
        <v/>
      </c>
      <c r="S309" s="29" t="str">
        <f aca="false">IF($R309="","","draft Jira update for "&amp;$A309)</f>
        <v/>
      </c>
      <c r="T309" s="29" t="str">
        <f aca="false">IF($A309="","",HYPERLINK(JiraSite&amp;"/browse/"&amp;$A309,"open"))</f>
        <v/>
      </c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7"/>
      <c r="H310" s="27"/>
      <c r="I310" s="27"/>
      <c r="J310" s="24"/>
      <c r="K310" s="24"/>
      <c r="L310" s="24"/>
      <c r="M310" s="29" t="str">
        <f aca="false">IF($A310="","",IFERROR(INDEX(MapStage,MATCH($C310,MapStatus,0)),"Unmapped"))</f>
        <v/>
      </c>
      <c r="N310" s="29" t="str">
        <f aca="false">IF($A310="","",AsOf-$H310)</f>
        <v/>
      </c>
      <c r="O310" s="29" t="str">
        <f aca="false">IF(OR($M310="",$M310="Closed",$M310="Unmapped"),"",INDEX(StageStale,MATCH($M310,StageName,0)))</f>
        <v/>
      </c>
      <c r="P310" s="29" t="str">
        <f aca="false">IF($A310="","",IF($M310="Closed","Closed",IF($J310="Y","Critical",IF(AND($I310&lt;&gt;"",$I310&lt;AsOf),"Critical",IF($M310="Unmapped","Warning",IF($N310&gt;2*$O310,"Critical",IF($N310&gt;$O310,"Warning","On track")))))))</f>
        <v/>
      </c>
      <c r="Q310" s="29" t="str">
        <f aca="false">IF(OR($P310="",$P310="Closed",$P310="On track"),"",IF($J310="Y","Flagged as an impediment",IF(AND($I310&lt;&gt;"",$I310&lt;AsOf),"Past due since "&amp;TEXT($I310,"yyyy-mm-dd"),IF($M310="Unmapped","Status '"&amp;$C310&amp;"' is not in the Config map","No update in "&amp;$N310&amp;" days (limit "&amp;$O310&amp;")"))))</f>
        <v/>
      </c>
      <c r="R310" s="29" t="str">
        <f aca="false">IF(OR($P310="",$P310="Closed",$P310="On track"),"",IF($P310="Critical",3000,2000)+$N310+ROW()/100000)</f>
        <v/>
      </c>
      <c r="S310" s="29" t="str">
        <f aca="false">IF($R310="","","draft Jira update for "&amp;$A310)</f>
        <v/>
      </c>
      <c r="T310" s="29" t="str">
        <f aca="false">IF($A310="","",HYPERLINK(JiraSite&amp;"/browse/"&amp;$A310,"open"))</f>
        <v/>
      </c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7"/>
      <c r="H311" s="27"/>
      <c r="I311" s="27"/>
      <c r="J311" s="24"/>
      <c r="K311" s="24"/>
      <c r="L311" s="24"/>
      <c r="M311" s="29" t="str">
        <f aca="false">IF($A311="","",IFERROR(INDEX(MapStage,MATCH($C311,MapStatus,0)),"Unmapped"))</f>
        <v/>
      </c>
      <c r="N311" s="29" t="str">
        <f aca="false">IF($A311="","",AsOf-$H311)</f>
        <v/>
      </c>
      <c r="O311" s="29" t="str">
        <f aca="false">IF(OR($M311="",$M311="Closed",$M311="Unmapped"),"",INDEX(StageStale,MATCH($M311,StageName,0)))</f>
        <v/>
      </c>
      <c r="P311" s="29" t="str">
        <f aca="false">IF($A311="","",IF($M311="Closed","Closed",IF($J311="Y","Critical",IF(AND($I311&lt;&gt;"",$I311&lt;AsOf),"Critical",IF($M311="Unmapped","Warning",IF($N311&gt;2*$O311,"Critical",IF($N311&gt;$O311,"Warning","On track")))))))</f>
        <v/>
      </c>
      <c r="Q311" s="29" t="str">
        <f aca="false">IF(OR($P311="",$P311="Closed",$P311="On track"),"",IF($J311="Y","Flagged as an impediment",IF(AND($I311&lt;&gt;"",$I311&lt;AsOf),"Past due since "&amp;TEXT($I311,"yyyy-mm-dd"),IF($M311="Unmapped","Status '"&amp;$C311&amp;"' is not in the Config map","No update in "&amp;$N311&amp;" days (limit "&amp;$O311&amp;")"))))</f>
        <v/>
      </c>
      <c r="R311" s="29" t="str">
        <f aca="false">IF(OR($P311="",$P311="Closed",$P311="On track"),"",IF($P311="Critical",3000,2000)+$N311+ROW()/100000)</f>
        <v/>
      </c>
      <c r="S311" s="29" t="str">
        <f aca="false">IF($R311="","","draft Jira update for "&amp;$A311)</f>
        <v/>
      </c>
      <c r="T311" s="29" t="str">
        <f aca="false">IF($A311="","",HYPERLINK(JiraSite&amp;"/browse/"&amp;$A311,"open"))</f>
        <v/>
      </c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7"/>
      <c r="H312" s="27"/>
      <c r="I312" s="27"/>
      <c r="J312" s="24"/>
      <c r="K312" s="24"/>
      <c r="L312" s="24"/>
      <c r="M312" s="29" t="str">
        <f aca="false">IF($A312="","",IFERROR(INDEX(MapStage,MATCH($C312,MapStatus,0)),"Unmapped"))</f>
        <v/>
      </c>
      <c r="N312" s="29" t="str">
        <f aca="false">IF($A312="","",AsOf-$H312)</f>
        <v/>
      </c>
      <c r="O312" s="29" t="str">
        <f aca="false">IF(OR($M312="",$M312="Closed",$M312="Unmapped"),"",INDEX(StageStale,MATCH($M312,StageName,0)))</f>
        <v/>
      </c>
      <c r="P312" s="29" t="str">
        <f aca="false">IF($A312="","",IF($M312="Closed","Closed",IF($J312="Y","Critical",IF(AND($I312&lt;&gt;"",$I312&lt;AsOf),"Critical",IF($M312="Unmapped","Warning",IF($N312&gt;2*$O312,"Critical",IF($N312&gt;$O312,"Warning","On track")))))))</f>
        <v/>
      </c>
      <c r="Q312" s="29" t="str">
        <f aca="false">IF(OR($P312="",$P312="Closed",$P312="On track"),"",IF($J312="Y","Flagged as an impediment",IF(AND($I312&lt;&gt;"",$I312&lt;AsOf),"Past due since "&amp;TEXT($I312,"yyyy-mm-dd"),IF($M312="Unmapped","Status '"&amp;$C312&amp;"' is not in the Config map","No update in "&amp;$N312&amp;" days (limit "&amp;$O312&amp;")"))))</f>
        <v/>
      </c>
      <c r="R312" s="29" t="str">
        <f aca="false">IF(OR($P312="",$P312="Closed",$P312="On track"),"",IF($P312="Critical",3000,2000)+$N312+ROW()/100000)</f>
        <v/>
      </c>
      <c r="S312" s="29" t="str">
        <f aca="false">IF($R312="","","draft Jira update for "&amp;$A312)</f>
        <v/>
      </c>
      <c r="T312" s="29" t="str">
        <f aca="false">IF($A312="","",HYPERLINK(JiraSite&amp;"/browse/"&amp;$A312,"open"))</f>
        <v/>
      </c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7"/>
      <c r="H313" s="27"/>
      <c r="I313" s="27"/>
      <c r="J313" s="24"/>
      <c r="K313" s="24"/>
      <c r="L313" s="24"/>
      <c r="M313" s="29" t="str">
        <f aca="false">IF($A313="","",IFERROR(INDEX(MapStage,MATCH($C313,MapStatus,0)),"Unmapped"))</f>
        <v/>
      </c>
      <c r="N313" s="29" t="str">
        <f aca="false">IF($A313="","",AsOf-$H313)</f>
        <v/>
      </c>
      <c r="O313" s="29" t="str">
        <f aca="false">IF(OR($M313="",$M313="Closed",$M313="Unmapped"),"",INDEX(StageStale,MATCH($M313,StageName,0)))</f>
        <v/>
      </c>
      <c r="P313" s="29" t="str">
        <f aca="false">IF($A313="","",IF($M313="Closed","Closed",IF($J313="Y","Critical",IF(AND($I313&lt;&gt;"",$I313&lt;AsOf),"Critical",IF($M313="Unmapped","Warning",IF($N313&gt;2*$O313,"Critical",IF($N313&gt;$O313,"Warning","On track")))))))</f>
        <v/>
      </c>
      <c r="Q313" s="29" t="str">
        <f aca="false">IF(OR($P313="",$P313="Closed",$P313="On track"),"",IF($J313="Y","Flagged as an impediment",IF(AND($I313&lt;&gt;"",$I313&lt;AsOf),"Past due since "&amp;TEXT($I313,"yyyy-mm-dd"),IF($M313="Unmapped","Status '"&amp;$C313&amp;"' is not in the Config map","No update in "&amp;$N313&amp;" days (limit "&amp;$O313&amp;")"))))</f>
        <v/>
      </c>
      <c r="R313" s="29" t="str">
        <f aca="false">IF(OR($P313="",$P313="Closed",$P313="On track"),"",IF($P313="Critical",3000,2000)+$N313+ROW()/100000)</f>
        <v/>
      </c>
      <c r="S313" s="29" t="str">
        <f aca="false">IF($R313="","","draft Jira update for "&amp;$A313)</f>
        <v/>
      </c>
      <c r="T313" s="29" t="str">
        <f aca="false">IF($A313="","",HYPERLINK(JiraSite&amp;"/browse/"&amp;$A313,"open"))</f>
        <v/>
      </c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7"/>
      <c r="H314" s="27"/>
      <c r="I314" s="27"/>
      <c r="J314" s="24"/>
      <c r="K314" s="24"/>
      <c r="L314" s="24"/>
      <c r="M314" s="29" t="str">
        <f aca="false">IF($A314="","",IFERROR(INDEX(MapStage,MATCH($C314,MapStatus,0)),"Unmapped"))</f>
        <v/>
      </c>
      <c r="N314" s="29" t="str">
        <f aca="false">IF($A314="","",AsOf-$H314)</f>
        <v/>
      </c>
      <c r="O314" s="29" t="str">
        <f aca="false">IF(OR($M314="",$M314="Closed",$M314="Unmapped"),"",INDEX(StageStale,MATCH($M314,StageName,0)))</f>
        <v/>
      </c>
      <c r="P314" s="29" t="str">
        <f aca="false">IF($A314="","",IF($M314="Closed","Closed",IF($J314="Y","Critical",IF(AND($I314&lt;&gt;"",$I314&lt;AsOf),"Critical",IF($M314="Unmapped","Warning",IF($N314&gt;2*$O314,"Critical",IF($N314&gt;$O314,"Warning","On track")))))))</f>
        <v/>
      </c>
      <c r="Q314" s="29" t="str">
        <f aca="false">IF(OR($P314="",$P314="Closed",$P314="On track"),"",IF($J314="Y","Flagged as an impediment",IF(AND($I314&lt;&gt;"",$I314&lt;AsOf),"Past due since "&amp;TEXT($I314,"yyyy-mm-dd"),IF($M314="Unmapped","Status '"&amp;$C314&amp;"' is not in the Config map","No update in "&amp;$N314&amp;" days (limit "&amp;$O314&amp;")"))))</f>
        <v/>
      </c>
      <c r="R314" s="29" t="str">
        <f aca="false">IF(OR($P314="",$P314="Closed",$P314="On track"),"",IF($P314="Critical",3000,2000)+$N314+ROW()/100000)</f>
        <v/>
      </c>
      <c r="S314" s="29" t="str">
        <f aca="false">IF($R314="","","draft Jira update for "&amp;$A314)</f>
        <v/>
      </c>
      <c r="T314" s="29" t="str">
        <f aca="false">IF($A314="","",HYPERLINK(JiraSite&amp;"/browse/"&amp;$A314,"open"))</f>
        <v/>
      </c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7"/>
      <c r="H315" s="27"/>
      <c r="I315" s="27"/>
      <c r="J315" s="24"/>
      <c r="K315" s="24"/>
      <c r="L315" s="24"/>
      <c r="M315" s="29" t="str">
        <f aca="false">IF($A315="","",IFERROR(INDEX(MapStage,MATCH($C315,MapStatus,0)),"Unmapped"))</f>
        <v/>
      </c>
      <c r="N315" s="29" t="str">
        <f aca="false">IF($A315="","",AsOf-$H315)</f>
        <v/>
      </c>
      <c r="O315" s="29" t="str">
        <f aca="false">IF(OR($M315="",$M315="Closed",$M315="Unmapped"),"",INDEX(StageStale,MATCH($M315,StageName,0)))</f>
        <v/>
      </c>
      <c r="P315" s="29" t="str">
        <f aca="false">IF($A315="","",IF($M315="Closed","Closed",IF($J315="Y","Critical",IF(AND($I315&lt;&gt;"",$I315&lt;AsOf),"Critical",IF($M315="Unmapped","Warning",IF($N315&gt;2*$O315,"Critical",IF($N315&gt;$O315,"Warning","On track")))))))</f>
        <v/>
      </c>
      <c r="Q315" s="29" t="str">
        <f aca="false">IF(OR($P315="",$P315="Closed",$P315="On track"),"",IF($J315="Y","Flagged as an impediment",IF(AND($I315&lt;&gt;"",$I315&lt;AsOf),"Past due since "&amp;TEXT($I315,"yyyy-mm-dd"),IF($M315="Unmapped","Status '"&amp;$C315&amp;"' is not in the Config map","No update in "&amp;$N315&amp;" days (limit "&amp;$O315&amp;")"))))</f>
        <v/>
      </c>
      <c r="R315" s="29" t="str">
        <f aca="false">IF(OR($P315="",$P315="Closed",$P315="On track"),"",IF($P315="Critical",3000,2000)+$N315+ROW()/100000)</f>
        <v/>
      </c>
      <c r="S315" s="29" t="str">
        <f aca="false">IF($R315="","","draft Jira update for "&amp;$A315)</f>
        <v/>
      </c>
      <c r="T315" s="29" t="str">
        <f aca="false">IF($A315="","",HYPERLINK(JiraSite&amp;"/browse/"&amp;$A315,"open"))</f>
        <v/>
      </c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7"/>
      <c r="H316" s="27"/>
      <c r="I316" s="27"/>
      <c r="J316" s="24"/>
      <c r="K316" s="24"/>
      <c r="L316" s="24"/>
      <c r="M316" s="29" t="str">
        <f aca="false">IF($A316="","",IFERROR(INDEX(MapStage,MATCH($C316,MapStatus,0)),"Unmapped"))</f>
        <v/>
      </c>
      <c r="N316" s="29" t="str">
        <f aca="false">IF($A316="","",AsOf-$H316)</f>
        <v/>
      </c>
      <c r="O316" s="29" t="str">
        <f aca="false">IF(OR($M316="",$M316="Closed",$M316="Unmapped"),"",INDEX(StageStale,MATCH($M316,StageName,0)))</f>
        <v/>
      </c>
      <c r="P316" s="29" t="str">
        <f aca="false">IF($A316="","",IF($M316="Closed","Closed",IF($J316="Y","Critical",IF(AND($I316&lt;&gt;"",$I316&lt;AsOf),"Critical",IF($M316="Unmapped","Warning",IF($N316&gt;2*$O316,"Critical",IF($N316&gt;$O316,"Warning","On track")))))))</f>
        <v/>
      </c>
      <c r="Q316" s="29" t="str">
        <f aca="false">IF(OR($P316="",$P316="Closed",$P316="On track"),"",IF($J316="Y","Flagged as an impediment",IF(AND($I316&lt;&gt;"",$I316&lt;AsOf),"Past due since "&amp;TEXT($I316,"yyyy-mm-dd"),IF($M316="Unmapped","Status '"&amp;$C316&amp;"' is not in the Config map","No update in "&amp;$N316&amp;" days (limit "&amp;$O316&amp;")"))))</f>
        <v/>
      </c>
      <c r="R316" s="29" t="str">
        <f aca="false">IF(OR($P316="",$P316="Closed",$P316="On track"),"",IF($P316="Critical",3000,2000)+$N316+ROW()/100000)</f>
        <v/>
      </c>
      <c r="S316" s="29" t="str">
        <f aca="false">IF($R316="","","draft Jira update for "&amp;$A316)</f>
        <v/>
      </c>
      <c r="T316" s="29" t="str">
        <f aca="false">IF($A316="","",HYPERLINK(JiraSite&amp;"/browse/"&amp;$A316,"open"))</f>
        <v/>
      </c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7"/>
      <c r="H317" s="27"/>
      <c r="I317" s="27"/>
      <c r="J317" s="24"/>
      <c r="K317" s="24"/>
      <c r="L317" s="24"/>
      <c r="M317" s="29" t="str">
        <f aca="false">IF($A317="","",IFERROR(INDEX(MapStage,MATCH($C317,MapStatus,0)),"Unmapped"))</f>
        <v/>
      </c>
      <c r="N317" s="29" t="str">
        <f aca="false">IF($A317="","",AsOf-$H317)</f>
        <v/>
      </c>
      <c r="O317" s="29" t="str">
        <f aca="false">IF(OR($M317="",$M317="Closed",$M317="Unmapped"),"",INDEX(StageStale,MATCH($M317,StageName,0)))</f>
        <v/>
      </c>
      <c r="P317" s="29" t="str">
        <f aca="false">IF($A317="","",IF($M317="Closed","Closed",IF($J317="Y","Critical",IF(AND($I317&lt;&gt;"",$I317&lt;AsOf),"Critical",IF($M317="Unmapped","Warning",IF($N317&gt;2*$O317,"Critical",IF($N317&gt;$O317,"Warning","On track")))))))</f>
        <v/>
      </c>
      <c r="Q317" s="29" t="str">
        <f aca="false">IF(OR($P317="",$P317="Closed",$P317="On track"),"",IF($J317="Y","Flagged as an impediment",IF(AND($I317&lt;&gt;"",$I317&lt;AsOf),"Past due since "&amp;TEXT($I317,"yyyy-mm-dd"),IF($M317="Unmapped","Status '"&amp;$C317&amp;"' is not in the Config map","No update in "&amp;$N317&amp;" days (limit "&amp;$O317&amp;")"))))</f>
        <v/>
      </c>
      <c r="R317" s="29" t="str">
        <f aca="false">IF(OR($P317="",$P317="Closed",$P317="On track"),"",IF($P317="Critical",3000,2000)+$N317+ROW()/100000)</f>
        <v/>
      </c>
      <c r="S317" s="29" t="str">
        <f aca="false">IF($R317="","","draft Jira update for "&amp;$A317)</f>
        <v/>
      </c>
      <c r="T317" s="29" t="str">
        <f aca="false">IF($A317="","",HYPERLINK(JiraSite&amp;"/browse/"&amp;$A317,"open"))</f>
        <v/>
      </c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7"/>
      <c r="H318" s="27"/>
      <c r="I318" s="27"/>
      <c r="J318" s="24"/>
      <c r="K318" s="24"/>
      <c r="L318" s="24"/>
      <c r="M318" s="29" t="str">
        <f aca="false">IF($A318="","",IFERROR(INDEX(MapStage,MATCH($C318,MapStatus,0)),"Unmapped"))</f>
        <v/>
      </c>
      <c r="N318" s="29" t="str">
        <f aca="false">IF($A318="","",AsOf-$H318)</f>
        <v/>
      </c>
      <c r="O318" s="29" t="str">
        <f aca="false">IF(OR($M318="",$M318="Closed",$M318="Unmapped"),"",INDEX(StageStale,MATCH($M318,StageName,0)))</f>
        <v/>
      </c>
      <c r="P318" s="29" t="str">
        <f aca="false">IF($A318="","",IF($M318="Closed","Closed",IF($J318="Y","Critical",IF(AND($I318&lt;&gt;"",$I318&lt;AsOf),"Critical",IF($M318="Unmapped","Warning",IF($N318&gt;2*$O318,"Critical",IF($N318&gt;$O318,"Warning","On track")))))))</f>
        <v/>
      </c>
      <c r="Q318" s="29" t="str">
        <f aca="false">IF(OR($P318="",$P318="Closed",$P318="On track"),"",IF($J318="Y","Flagged as an impediment",IF(AND($I318&lt;&gt;"",$I318&lt;AsOf),"Past due since "&amp;TEXT($I318,"yyyy-mm-dd"),IF($M318="Unmapped","Status '"&amp;$C318&amp;"' is not in the Config map","No update in "&amp;$N318&amp;" days (limit "&amp;$O318&amp;")"))))</f>
        <v/>
      </c>
      <c r="R318" s="29" t="str">
        <f aca="false">IF(OR($P318="",$P318="Closed",$P318="On track"),"",IF($P318="Critical",3000,2000)+$N318+ROW()/100000)</f>
        <v/>
      </c>
      <c r="S318" s="29" t="str">
        <f aca="false">IF($R318="","","draft Jira update for "&amp;$A318)</f>
        <v/>
      </c>
      <c r="T318" s="29" t="str">
        <f aca="false">IF($A318="","",HYPERLINK(JiraSite&amp;"/browse/"&amp;$A318,"open"))</f>
        <v/>
      </c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7"/>
      <c r="H319" s="27"/>
      <c r="I319" s="27"/>
      <c r="J319" s="24"/>
      <c r="K319" s="24"/>
      <c r="L319" s="24"/>
      <c r="M319" s="29" t="str">
        <f aca="false">IF($A319="","",IFERROR(INDEX(MapStage,MATCH($C319,MapStatus,0)),"Unmapped"))</f>
        <v/>
      </c>
      <c r="N319" s="29" t="str">
        <f aca="false">IF($A319="","",AsOf-$H319)</f>
        <v/>
      </c>
      <c r="O319" s="29" t="str">
        <f aca="false">IF(OR($M319="",$M319="Closed",$M319="Unmapped"),"",INDEX(StageStale,MATCH($M319,StageName,0)))</f>
        <v/>
      </c>
      <c r="P319" s="29" t="str">
        <f aca="false">IF($A319="","",IF($M319="Closed","Closed",IF($J319="Y","Critical",IF(AND($I319&lt;&gt;"",$I319&lt;AsOf),"Critical",IF($M319="Unmapped","Warning",IF($N319&gt;2*$O319,"Critical",IF($N319&gt;$O319,"Warning","On track")))))))</f>
        <v/>
      </c>
      <c r="Q319" s="29" t="str">
        <f aca="false">IF(OR($P319="",$P319="Closed",$P319="On track"),"",IF($J319="Y","Flagged as an impediment",IF(AND($I319&lt;&gt;"",$I319&lt;AsOf),"Past due since "&amp;TEXT($I319,"yyyy-mm-dd"),IF($M319="Unmapped","Status '"&amp;$C319&amp;"' is not in the Config map","No update in "&amp;$N319&amp;" days (limit "&amp;$O319&amp;")"))))</f>
        <v/>
      </c>
      <c r="R319" s="29" t="str">
        <f aca="false">IF(OR($P319="",$P319="Closed",$P319="On track"),"",IF($P319="Critical",3000,2000)+$N319+ROW()/100000)</f>
        <v/>
      </c>
      <c r="S319" s="29" t="str">
        <f aca="false">IF($R319="","","draft Jira update for "&amp;$A319)</f>
        <v/>
      </c>
      <c r="T319" s="29" t="str">
        <f aca="false">IF($A319="","",HYPERLINK(JiraSite&amp;"/browse/"&amp;$A319,"open"))</f>
        <v/>
      </c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7"/>
      <c r="H320" s="27"/>
      <c r="I320" s="27"/>
      <c r="J320" s="24"/>
      <c r="K320" s="24"/>
      <c r="L320" s="24"/>
      <c r="M320" s="29" t="str">
        <f aca="false">IF($A320="","",IFERROR(INDEX(MapStage,MATCH($C320,MapStatus,0)),"Unmapped"))</f>
        <v/>
      </c>
      <c r="N320" s="29" t="str">
        <f aca="false">IF($A320="","",AsOf-$H320)</f>
        <v/>
      </c>
      <c r="O320" s="29" t="str">
        <f aca="false">IF(OR($M320="",$M320="Closed",$M320="Unmapped"),"",INDEX(StageStale,MATCH($M320,StageName,0)))</f>
        <v/>
      </c>
      <c r="P320" s="29" t="str">
        <f aca="false">IF($A320="","",IF($M320="Closed","Closed",IF($J320="Y","Critical",IF(AND($I320&lt;&gt;"",$I320&lt;AsOf),"Critical",IF($M320="Unmapped","Warning",IF($N320&gt;2*$O320,"Critical",IF($N320&gt;$O320,"Warning","On track")))))))</f>
        <v/>
      </c>
      <c r="Q320" s="29" t="str">
        <f aca="false">IF(OR($P320="",$P320="Closed",$P320="On track"),"",IF($J320="Y","Flagged as an impediment",IF(AND($I320&lt;&gt;"",$I320&lt;AsOf),"Past due since "&amp;TEXT($I320,"yyyy-mm-dd"),IF($M320="Unmapped","Status '"&amp;$C320&amp;"' is not in the Config map","No update in "&amp;$N320&amp;" days (limit "&amp;$O320&amp;")"))))</f>
        <v/>
      </c>
      <c r="R320" s="29" t="str">
        <f aca="false">IF(OR($P320="",$P320="Closed",$P320="On track"),"",IF($P320="Critical",3000,2000)+$N320+ROW()/100000)</f>
        <v/>
      </c>
      <c r="S320" s="29" t="str">
        <f aca="false">IF($R320="","","draft Jira update for "&amp;$A320)</f>
        <v/>
      </c>
      <c r="T320" s="29" t="str">
        <f aca="false">IF($A320="","",HYPERLINK(JiraSite&amp;"/browse/"&amp;$A320,"open"))</f>
        <v/>
      </c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7"/>
      <c r="H321" s="27"/>
      <c r="I321" s="27"/>
      <c r="J321" s="24"/>
      <c r="K321" s="24"/>
      <c r="L321" s="24"/>
      <c r="M321" s="29" t="str">
        <f aca="false">IF($A321="","",IFERROR(INDEX(MapStage,MATCH($C321,MapStatus,0)),"Unmapped"))</f>
        <v/>
      </c>
      <c r="N321" s="29" t="str">
        <f aca="false">IF($A321="","",AsOf-$H321)</f>
        <v/>
      </c>
      <c r="O321" s="29" t="str">
        <f aca="false">IF(OR($M321="",$M321="Closed",$M321="Unmapped"),"",INDEX(StageStale,MATCH($M321,StageName,0)))</f>
        <v/>
      </c>
      <c r="P321" s="29" t="str">
        <f aca="false">IF($A321="","",IF($M321="Closed","Closed",IF($J321="Y","Critical",IF(AND($I321&lt;&gt;"",$I321&lt;AsOf),"Critical",IF($M321="Unmapped","Warning",IF($N321&gt;2*$O321,"Critical",IF($N321&gt;$O321,"Warning","On track")))))))</f>
        <v/>
      </c>
      <c r="Q321" s="29" t="str">
        <f aca="false">IF(OR($P321="",$P321="Closed",$P321="On track"),"",IF($J321="Y","Flagged as an impediment",IF(AND($I321&lt;&gt;"",$I321&lt;AsOf),"Past due since "&amp;TEXT($I321,"yyyy-mm-dd"),IF($M321="Unmapped","Status '"&amp;$C321&amp;"' is not in the Config map","No update in "&amp;$N321&amp;" days (limit "&amp;$O321&amp;")"))))</f>
        <v/>
      </c>
      <c r="R321" s="29" t="str">
        <f aca="false">IF(OR($P321="",$P321="Closed",$P321="On track"),"",IF($P321="Critical",3000,2000)+$N321+ROW()/100000)</f>
        <v/>
      </c>
      <c r="S321" s="29" t="str">
        <f aca="false">IF($R321="","","draft Jira update for "&amp;$A321)</f>
        <v/>
      </c>
      <c r="T321" s="29" t="str">
        <f aca="false">IF($A321="","",HYPERLINK(JiraSite&amp;"/browse/"&amp;$A321,"open"))</f>
        <v/>
      </c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7"/>
      <c r="H322" s="27"/>
      <c r="I322" s="27"/>
      <c r="J322" s="24"/>
      <c r="K322" s="24"/>
      <c r="L322" s="24"/>
      <c r="M322" s="29" t="str">
        <f aca="false">IF($A322="","",IFERROR(INDEX(MapStage,MATCH($C322,MapStatus,0)),"Unmapped"))</f>
        <v/>
      </c>
      <c r="N322" s="29" t="str">
        <f aca="false">IF($A322="","",AsOf-$H322)</f>
        <v/>
      </c>
      <c r="O322" s="29" t="str">
        <f aca="false">IF(OR($M322="",$M322="Closed",$M322="Unmapped"),"",INDEX(StageStale,MATCH($M322,StageName,0)))</f>
        <v/>
      </c>
      <c r="P322" s="29" t="str">
        <f aca="false">IF($A322="","",IF($M322="Closed","Closed",IF($J322="Y","Critical",IF(AND($I322&lt;&gt;"",$I322&lt;AsOf),"Critical",IF($M322="Unmapped","Warning",IF($N322&gt;2*$O322,"Critical",IF($N322&gt;$O322,"Warning","On track")))))))</f>
        <v/>
      </c>
      <c r="Q322" s="29" t="str">
        <f aca="false">IF(OR($P322="",$P322="Closed",$P322="On track"),"",IF($J322="Y","Flagged as an impediment",IF(AND($I322&lt;&gt;"",$I322&lt;AsOf),"Past due since "&amp;TEXT($I322,"yyyy-mm-dd"),IF($M322="Unmapped","Status '"&amp;$C322&amp;"' is not in the Config map","No update in "&amp;$N322&amp;" days (limit "&amp;$O322&amp;")"))))</f>
        <v/>
      </c>
      <c r="R322" s="29" t="str">
        <f aca="false">IF(OR($P322="",$P322="Closed",$P322="On track"),"",IF($P322="Critical",3000,2000)+$N322+ROW()/100000)</f>
        <v/>
      </c>
      <c r="S322" s="29" t="str">
        <f aca="false">IF($R322="","","draft Jira update for "&amp;$A322)</f>
        <v/>
      </c>
      <c r="T322" s="29" t="str">
        <f aca="false">IF($A322="","",HYPERLINK(JiraSite&amp;"/browse/"&amp;$A322,"open"))</f>
        <v/>
      </c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7"/>
      <c r="H323" s="27"/>
      <c r="I323" s="27"/>
      <c r="J323" s="24"/>
      <c r="K323" s="24"/>
      <c r="L323" s="24"/>
      <c r="M323" s="29" t="str">
        <f aca="false">IF($A323="","",IFERROR(INDEX(MapStage,MATCH($C323,MapStatus,0)),"Unmapped"))</f>
        <v/>
      </c>
      <c r="N323" s="29" t="str">
        <f aca="false">IF($A323="","",AsOf-$H323)</f>
        <v/>
      </c>
      <c r="O323" s="29" t="str">
        <f aca="false">IF(OR($M323="",$M323="Closed",$M323="Unmapped"),"",INDEX(StageStale,MATCH($M323,StageName,0)))</f>
        <v/>
      </c>
      <c r="P323" s="29" t="str">
        <f aca="false">IF($A323="","",IF($M323="Closed","Closed",IF($J323="Y","Critical",IF(AND($I323&lt;&gt;"",$I323&lt;AsOf),"Critical",IF($M323="Unmapped","Warning",IF($N323&gt;2*$O323,"Critical",IF($N323&gt;$O323,"Warning","On track")))))))</f>
        <v/>
      </c>
      <c r="Q323" s="29" t="str">
        <f aca="false">IF(OR($P323="",$P323="Closed",$P323="On track"),"",IF($J323="Y","Flagged as an impediment",IF(AND($I323&lt;&gt;"",$I323&lt;AsOf),"Past due since "&amp;TEXT($I323,"yyyy-mm-dd"),IF($M323="Unmapped","Status '"&amp;$C323&amp;"' is not in the Config map","No update in "&amp;$N323&amp;" days (limit "&amp;$O323&amp;")"))))</f>
        <v/>
      </c>
      <c r="R323" s="29" t="str">
        <f aca="false">IF(OR($P323="",$P323="Closed",$P323="On track"),"",IF($P323="Critical",3000,2000)+$N323+ROW()/100000)</f>
        <v/>
      </c>
      <c r="S323" s="29" t="str">
        <f aca="false">IF($R323="","","draft Jira update for "&amp;$A323)</f>
        <v/>
      </c>
      <c r="T323" s="29" t="str">
        <f aca="false">IF($A323="","",HYPERLINK(JiraSite&amp;"/browse/"&amp;$A323,"open"))</f>
        <v/>
      </c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7"/>
      <c r="H324" s="27"/>
      <c r="I324" s="27"/>
      <c r="J324" s="24"/>
      <c r="K324" s="24"/>
      <c r="L324" s="24"/>
      <c r="M324" s="29" t="str">
        <f aca="false">IF($A324="","",IFERROR(INDEX(MapStage,MATCH($C324,MapStatus,0)),"Unmapped"))</f>
        <v/>
      </c>
      <c r="N324" s="29" t="str">
        <f aca="false">IF($A324="","",AsOf-$H324)</f>
        <v/>
      </c>
      <c r="O324" s="29" t="str">
        <f aca="false">IF(OR($M324="",$M324="Closed",$M324="Unmapped"),"",INDEX(StageStale,MATCH($M324,StageName,0)))</f>
        <v/>
      </c>
      <c r="P324" s="29" t="str">
        <f aca="false">IF($A324="","",IF($M324="Closed","Closed",IF($J324="Y","Critical",IF(AND($I324&lt;&gt;"",$I324&lt;AsOf),"Critical",IF($M324="Unmapped","Warning",IF($N324&gt;2*$O324,"Critical",IF($N324&gt;$O324,"Warning","On track")))))))</f>
        <v/>
      </c>
      <c r="Q324" s="29" t="str">
        <f aca="false">IF(OR($P324="",$P324="Closed",$P324="On track"),"",IF($J324="Y","Flagged as an impediment",IF(AND($I324&lt;&gt;"",$I324&lt;AsOf),"Past due since "&amp;TEXT($I324,"yyyy-mm-dd"),IF($M324="Unmapped","Status '"&amp;$C324&amp;"' is not in the Config map","No update in "&amp;$N324&amp;" days (limit "&amp;$O324&amp;")"))))</f>
        <v/>
      </c>
      <c r="R324" s="29" t="str">
        <f aca="false">IF(OR($P324="",$P324="Closed",$P324="On track"),"",IF($P324="Critical",3000,2000)+$N324+ROW()/100000)</f>
        <v/>
      </c>
      <c r="S324" s="29" t="str">
        <f aca="false">IF($R324="","","draft Jira update for "&amp;$A324)</f>
        <v/>
      </c>
      <c r="T324" s="29" t="str">
        <f aca="false">IF($A324="","",HYPERLINK(JiraSite&amp;"/browse/"&amp;$A324,"open"))</f>
        <v/>
      </c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7"/>
      <c r="H325" s="27"/>
      <c r="I325" s="27"/>
      <c r="J325" s="24"/>
      <c r="K325" s="24"/>
      <c r="L325" s="24"/>
      <c r="M325" s="29" t="str">
        <f aca="false">IF($A325="","",IFERROR(INDEX(MapStage,MATCH($C325,MapStatus,0)),"Unmapped"))</f>
        <v/>
      </c>
      <c r="N325" s="29" t="str">
        <f aca="false">IF($A325="","",AsOf-$H325)</f>
        <v/>
      </c>
      <c r="O325" s="29" t="str">
        <f aca="false">IF(OR($M325="",$M325="Closed",$M325="Unmapped"),"",INDEX(StageStale,MATCH($M325,StageName,0)))</f>
        <v/>
      </c>
      <c r="P325" s="29" t="str">
        <f aca="false">IF($A325="","",IF($M325="Closed","Closed",IF($J325="Y","Critical",IF(AND($I325&lt;&gt;"",$I325&lt;AsOf),"Critical",IF($M325="Unmapped","Warning",IF($N325&gt;2*$O325,"Critical",IF($N325&gt;$O325,"Warning","On track")))))))</f>
        <v/>
      </c>
      <c r="Q325" s="29" t="str">
        <f aca="false">IF(OR($P325="",$P325="Closed",$P325="On track"),"",IF($J325="Y","Flagged as an impediment",IF(AND($I325&lt;&gt;"",$I325&lt;AsOf),"Past due since "&amp;TEXT($I325,"yyyy-mm-dd"),IF($M325="Unmapped","Status '"&amp;$C325&amp;"' is not in the Config map","No update in "&amp;$N325&amp;" days (limit "&amp;$O325&amp;")"))))</f>
        <v/>
      </c>
      <c r="R325" s="29" t="str">
        <f aca="false">IF(OR($P325="",$P325="Closed",$P325="On track"),"",IF($P325="Critical",3000,2000)+$N325+ROW()/100000)</f>
        <v/>
      </c>
      <c r="S325" s="29" t="str">
        <f aca="false">IF($R325="","","draft Jira update for "&amp;$A325)</f>
        <v/>
      </c>
      <c r="T325" s="29" t="str">
        <f aca="false">IF($A325="","",HYPERLINK(JiraSite&amp;"/browse/"&amp;$A325,"open"))</f>
        <v/>
      </c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7"/>
      <c r="H326" s="27"/>
      <c r="I326" s="27"/>
      <c r="J326" s="24"/>
      <c r="K326" s="24"/>
      <c r="L326" s="24"/>
      <c r="M326" s="29" t="str">
        <f aca="false">IF($A326="","",IFERROR(INDEX(MapStage,MATCH($C326,MapStatus,0)),"Unmapped"))</f>
        <v/>
      </c>
      <c r="N326" s="29" t="str">
        <f aca="false">IF($A326="","",AsOf-$H326)</f>
        <v/>
      </c>
      <c r="O326" s="29" t="str">
        <f aca="false">IF(OR($M326="",$M326="Closed",$M326="Unmapped"),"",INDEX(StageStale,MATCH($M326,StageName,0)))</f>
        <v/>
      </c>
      <c r="P326" s="29" t="str">
        <f aca="false">IF($A326="","",IF($M326="Closed","Closed",IF($J326="Y","Critical",IF(AND($I326&lt;&gt;"",$I326&lt;AsOf),"Critical",IF($M326="Unmapped","Warning",IF($N326&gt;2*$O326,"Critical",IF($N326&gt;$O326,"Warning","On track")))))))</f>
        <v/>
      </c>
      <c r="Q326" s="29" t="str">
        <f aca="false">IF(OR($P326="",$P326="Closed",$P326="On track"),"",IF($J326="Y","Flagged as an impediment",IF(AND($I326&lt;&gt;"",$I326&lt;AsOf),"Past due since "&amp;TEXT($I326,"yyyy-mm-dd"),IF($M326="Unmapped","Status '"&amp;$C326&amp;"' is not in the Config map","No update in "&amp;$N326&amp;" days (limit "&amp;$O326&amp;")"))))</f>
        <v/>
      </c>
      <c r="R326" s="29" t="str">
        <f aca="false">IF(OR($P326="",$P326="Closed",$P326="On track"),"",IF($P326="Critical",3000,2000)+$N326+ROW()/100000)</f>
        <v/>
      </c>
      <c r="S326" s="29" t="str">
        <f aca="false">IF($R326="","","draft Jira update for "&amp;$A326)</f>
        <v/>
      </c>
      <c r="T326" s="29" t="str">
        <f aca="false">IF($A326="","",HYPERLINK(JiraSite&amp;"/browse/"&amp;$A326,"open"))</f>
        <v/>
      </c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7"/>
      <c r="H327" s="27"/>
      <c r="I327" s="27"/>
      <c r="J327" s="24"/>
      <c r="K327" s="24"/>
      <c r="L327" s="24"/>
      <c r="M327" s="29" t="str">
        <f aca="false">IF($A327="","",IFERROR(INDEX(MapStage,MATCH($C327,MapStatus,0)),"Unmapped"))</f>
        <v/>
      </c>
      <c r="N327" s="29" t="str">
        <f aca="false">IF($A327="","",AsOf-$H327)</f>
        <v/>
      </c>
      <c r="O327" s="29" t="str">
        <f aca="false">IF(OR($M327="",$M327="Closed",$M327="Unmapped"),"",INDEX(StageStale,MATCH($M327,StageName,0)))</f>
        <v/>
      </c>
      <c r="P327" s="29" t="str">
        <f aca="false">IF($A327="","",IF($M327="Closed","Closed",IF($J327="Y","Critical",IF(AND($I327&lt;&gt;"",$I327&lt;AsOf),"Critical",IF($M327="Unmapped","Warning",IF($N327&gt;2*$O327,"Critical",IF($N327&gt;$O327,"Warning","On track")))))))</f>
        <v/>
      </c>
      <c r="Q327" s="29" t="str">
        <f aca="false">IF(OR($P327="",$P327="Closed",$P327="On track"),"",IF($J327="Y","Flagged as an impediment",IF(AND($I327&lt;&gt;"",$I327&lt;AsOf),"Past due since "&amp;TEXT($I327,"yyyy-mm-dd"),IF($M327="Unmapped","Status '"&amp;$C327&amp;"' is not in the Config map","No update in "&amp;$N327&amp;" days (limit "&amp;$O327&amp;")"))))</f>
        <v/>
      </c>
      <c r="R327" s="29" t="str">
        <f aca="false">IF(OR($P327="",$P327="Closed",$P327="On track"),"",IF($P327="Critical",3000,2000)+$N327+ROW()/100000)</f>
        <v/>
      </c>
      <c r="S327" s="29" t="str">
        <f aca="false">IF($R327="","","draft Jira update for "&amp;$A327)</f>
        <v/>
      </c>
      <c r="T327" s="29" t="str">
        <f aca="false">IF($A327="","",HYPERLINK(JiraSite&amp;"/browse/"&amp;$A327,"open"))</f>
        <v/>
      </c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7"/>
      <c r="H328" s="27"/>
      <c r="I328" s="27"/>
      <c r="J328" s="24"/>
      <c r="K328" s="24"/>
      <c r="L328" s="24"/>
      <c r="M328" s="29" t="str">
        <f aca="false">IF($A328="","",IFERROR(INDEX(MapStage,MATCH($C328,MapStatus,0)),"Unmapped"))</f>
        <v/>
      </c>
      <c r="N328" s="29" t="str">
        <f aca="false">IF($A328="","",AsOf-$H328)</f>
        <v/>
      </c>
      <c r="O328" s="29" t="str">
        <f aca="false">IF(OR($M328="",$M328="Closed",$M328="Unmapped"),"",INDEX(StageStale,MATCH($M328,StageName,0)))</f>
        <v/>
      </c>
      <c r="P328" s="29" t="str">
        <f aca="false">IF($A328="","",IF($M328="Closed","Closed",IF($J328="Y","Critical",IF(AND($I328&lt;&gt;"",$I328&lt;AsOf),"Critical",IF($M328="Unmapped","Warning",IF($N328&gt;2*$O328,"Critical",IF($N328&gt;$O328,"Warning","On track")))))))</f>
        <v/>
      </c>
      <c r="Q328" s="29" t="str">
        <f aca="false">IF(OR($P328="",$P328="Closed",$P328="On track"),"",IF($J328="Y","Flagged as an impediment",IF(AND($I328&lt;&gt;"",$I328&lt;AsOf),"Past due since "&amp;TEXT($I328,"yyyy-mm-dd"),IF($M328="Unmapped","Status '"&amp;$C328&amp;"' is not in the Config map","No update in "&amp;$N328&amp;" days (limit "&amp;$O328&amp;")"))))</f>
        <v/>
      </c>
      <c r="R328" s="29" t="str">
        <f aca="false">IF(OR($P328="",$P328="Closed",$P328="On track"),"",IF($P328="Critical",3000,2000)+$N328+ROW()/100000)</f>
        <v/>
      </c>
      <c r="S328" s="29" t="str">
        <f aca="false">IF($R328="","","draft Jira update for "&amp;$A328)</f>
        <v/>
      </c>
      <c r="T328" s="29" t="str">
        <f aca="false">IF($A328="","",HYPERLINK(JiraSite&amp;"/browse/"&amp;$A328,"open"))</f>
        <v/>
      </c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7"/>
      <c r="H329" s="27"/>
      <c r="I329" s="27"/>
      <c r="J329" s="24"/>
      <c r="K329" s="24"/>
      <c r="L329" s="24"/>
      <c r="M329" s="29" t="str">
        <f aca="false">IF($A329="","",IFERROR(INDEX(MapStage,MATCH($C329,MapStatus,0)),"Unmapped"))</f>
        <v/>
      </c>
      <c r="N329" s="29" t="str">
        <f aca="false">IF($A329="","",AsOf-$H329)</f>
        <v/>
      </c>
      <c r="O329" s="29" t="str">
        <f aca="false">IF(OR($M329="",$M329="Closed",$M329="Unmapped"),"",INDEX(StageStale,MATCH($M329,StageName,0)))</f>
        <v/>
      </c>
      <c r="P329" s="29" t="str">
        <f aca="false">IF($A329="","",IF($M329="Closed","Closed",IF($J329="Y","Critical",IF(AND($I329&lt;&gt;"",$I329&lt;AsOf),"Critical",IF($M329="Unmapped","Warning",IF($N329&gt;2*$O329,"Critical",IF($N329&gt;$O329,"Warning","On track")))))))</f>
        <v/>
      </c>
      <c r="Q329" s="29" t="str">
        <f aca="false">IF(OR($P329="",$P329="Closed",$P329="On track"),"",IF($J329="Y","Flagged as an impediment",IF(AND($I329&lt;&gt;"",$I329&lt;AsOf),"Past due since "&amp;TEXT($I329,"yyyy-mm-dd"),IF($M329="Unmapped","Status '"&amp;$C329&amp;"' is not in the Config map","No update in "&amp;$N329&amp;" days (limit "&amp;$O329&amp;")"))))</f>
        <v/>
      </c>
      <c r="R329" s="29" t="str">
        <f aca="false">IF(OR($P329="",$P329="Closed",$P329="On track"),"",IF($P329="Critical",3000,2000)+$N329+ROW()/100000)</f>
        <v/>
      </c>
      <c r="S329" s="29" t="str">
        <f aca="false">IF($R329="","","draft Jira update for "&amp;$A329)</f>
        <v/>
      </c>
      <c r="T329" s="29" t="str">
        <f aca="false">IF($A329="","",HYPERLINK(JiraSite&amp;"/browse/"&amp;$A329,"open"))</f>
        <v/>
      </c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7"/>
      <c r="H330" s="27"/>
      <c r="I330" s="27"/>
      <c r="J330" s="24"/>
      <c r="K330" s="24"/>
      <c r="L330" s="24"/>
      <c r="M330" s="29" t="str">
        <f aca="false">IF($A330="","",IFERROR(INDEX(MapStage,MATCH($C330,MapStatus,0)),"Unmapped"))</f>
        <v/>
      </c>
      <c r="N330" s="29" t="str">
        <f aca="false">IF($A330="","",AsOf-$H330)</f>
        <v/>
      </c>
      <c r="O330" s="29" t="str">
        <f aca="false">IF(OR($M330="",$M330="Closed",$M330="Unmapped"),"",INDEX(StageStale,MATCH($M330,StageName,0)))</f>
        <v/>
      </c>
      <c r="P330" s="29" t="str">
        <f aca="false">IF($A330="","",IF($M330="Closed","Closed",IF($J330="Y","Critical",IF(AND($I330&lt;&gt;"",$I330&lt;AsOf),"Critical",IF($M330="Unmapped","Warning",IF($N330&gt;2*$O330,"Critical",IF($N330&gt;$O330,"Warning","On track")))))))</f>
        <v/>
      </c>
      <c r="Q330" s="29" t="str">
        <f aca="false">IF(OR($P330="",$P330="Closed",$P330="On track"),"",IF($J330="Y","Flagged as an impediment",IF(AND($I330&lt;&gt;"",$I330&lt;AsOf),"Past due since "&amp;TEXT($I330,"yyyy-mm-dd"),IF($M330="Unmapped","Status '"&amp;$C330&amp;"' is not in the Config map","No update in "&amp;$N330&amp;" days (limit "&amp;$O330&amp;")"))))</f>
        <v/>
      </c>
      <c r="R330" s="29" t="str">
        <f aca="false">IF(OR($P330="",$P330="Closed",$P330="On track"),"",IF($P330="Critical",3000,2000)+$N330+ROW()/100000)</f>
        <v/>
      </c>
      <c r="S330" s="29" t="str">
        <f aca="false">IF($R330="","","draft Jira update for "&amp;$A330)</f>
        <v/>
      </c>
      <c r="T330" s="29" t="str">
        <f aca="false">IF($A330="","",HYPERLINK(JiraSite&amp;"/browse/"&amp;$A330,"open"))</f>
        <v/>
      </c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7"/>
      <c r="H331" s="27"/>
      <c r="I331" s="27"/>
      <c r="J331" s="24"/>
      <c r="K331" s="24"/>
      <c r="L331" s="24"/>
      <c r="M331" s="29" t="str">
        <f aca="false">IF($A331="","",IFERROR(INDEX(MapStage,MATCH($C331,MapStatus,0)),"Unmapped"))</f>
        <v/>
      </c>
      <c r="N331" s="29" t="str">
        <f aca="false">IF($A331="","",AsOf-$H331)</f>
        <v/>
      </c>
      <c r="O331" s="29" t="str">
        <f aca="false">IF(OR($M331="",$M331="Closed",$M331="Unmapped"),"",INDEX(StageStale,MATCH($M331,StageName,0)))</f>
        <v/>
      </c>
      <c r="P331" s="29" t="str">
        <f aca="false">IF($A331="","",IF($M331="Closed","Closed",IF($J331="Y","Critical",IF(AND($I331&lt;&gt;"",$I331&lt;AsOf),"Critical",IF($M331="Unmapped","Warning",IF($N331&gt;2*$O331,"Critical",IF($N331&gt;$O331,"Warning","On track")))))))</f>
        <v/>
      </c>
      <c r="Q331" s="29" t="str">
        <f aca="false">IF(OR($P331="",$P331="Closed",$P331="On track"),"",IF($J331="Y","Flagged as an impediment",IF(AND($I331&lt;&gt;"",$I331&lt;AsOf),"Past due since "&amp;TEXT($I331,"yyyy-mm-dd"),IF($M331="Unmapped","Status '"&amp;$C331&amp;"' is not in the Config map","No update in "&amp;$N331&amp;" days (limit "&amp;$O331&amp;")"))))</f>
        <v/>
      </c>
      <c r="R331" s="29" t="str">
        <f aca="false">IF(OR($P331="",$P331="Closed",$P331="On track"),"",IF($P331="Critical",3000,2000)+$N331+ROW()/100000)</f>
        <v/>
      </c>
      <c r="S331" s="29" t="str">
        <f aca="false">IF($R331="","","draft Jira update for "&amp;$A331)</f>
        <v/>
      </c>
      <c r="T331" s="29" t="str">
        <f aca="false">IF($A331="","",HYPERLINK(JiraSite&amp;"/browse/"&amp;$A331,"open"))</f>
        <v/>
      </c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7"/>
      <c r="H332" s="27"/>
      <c r="I332" s="27"/>
      <c r="J332" s="24"/>
      <c r="K332" s="24"/>
      <c r="L332" s="24"/>
      <c r="M332" s="29" t="str">
        <f aca="false">IF($A332="","",IFERROR(INDEX(MapStage,MATCH($C332,MapStatus,0)),"Unmapped"))</f>
        <v/>
      </c>
      <c r="N332" s="29" t="str">
        <f aca="false">IF($A332="","",AsOf-$H332)</f>
        <v/>
      </c>
      <c r="O332" s="29" t="str">
        <f aca="false">IF(OR($M332="",$M332="Closed",$M332="Unmapped"),"",INDEX(StageStale,MATCH($M332,StageName,0)))</f>
        <v/>
      </c>
      <c r="P332" s="29" t="str">
        <f aca="false">IF($A332="","",IF($M332="Closed","Closed",IF($J332="Y","Critical",IF(AND($I332&lt;&gt;"",$I332&lt;AsOf),"Critical",IF($M332="Unmapped","Warning",IF($N332&gt;2*$O332,"Critical",IF($N332&gt;$O332,"Warning","On track")))))))</f>
        <v/>
      </c>
      <c r="Q332" s="29" t="str">
        <f aca="false">IF(OR($P332="",$P332="Closed",$P332="On track"),"",IF($J332="Y","Flagged as an impediment",IF(AND($I332&lt;&gt;"",$I332&lt;AsOf),"Past due since "&amp;TEXT($I332,"yyyy-mm-dd"),IF($M332="Unmapped","Status '"&amp;$C332&amp;"' is not in the Config map","No update in "&amp;$N332&amp;" days (limit "&amp;$O332&amp;")"))))</f>
        <v/>
      </c>
      <c r="R332" s="29" t="str">
        <f aca="false">IF(OR($P332="",$P332="Closed",$P332="On track"),"",IF($P332="Critical",3000,2000)+$N332+ROW()/100000)</f>
        <v/>
      </c>
      <c r="S332" s="29" t="str">
        <f aca="false">IF($R332="","","draft Jira update for "&amp;$A332)</f>
        <v/>
      </c>
      <c r="T332" s="29" t="str">
        <f aca="false">IF($A332="","",HYPERLINK(JiraSite&amp;"/browse/"&amp;$A332,"open"))</f>
        <v/>
      </c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7"/>
      <c r="H333" s="27"/>
      <c r="I333" s="27"/>
      <c r="J333" s="24"/>
      <c r="K333" s="24"/>
      <c r="L333" s="24"/>
      <c r="M333" s="29" t="str">
        <f aca="false">IF($A333="","",IFERROR(INDEX(MapStage,MATCH($C333,MapStatus,0)),"Unmapped"))</f>
        <v/>
      </c>
      <c r="N333" s="29" t="str">
        <f aca="false">IF($A333="","",AsOf-$H333)</f>
        <v/>
      </c>
      <c r="O333" s="29" t="str">
        <f aca="false">IF(OR($M333="",$M333="Closed",$M333="Unmapped"),"",INDEX(StageStale,MATCH($M333,StageName,0)))</f>
        <v/>
      </c>
      <c r="P333" s="29" t="str">
        <f aca="false">IF($A333="","",IF($M333="Closed","Closed",IF($J333="Y","Critical",IF(AND($I333&lt;&gt;"",$I333&lt;AsOf),"Critical",IF($M333="Unmapped","Warning",IF($N333&gt;2*$O333,"Critical",IF($N333&gt;$O333,"Warning","On track")))))))</f>
        <v/>
      </c>
      <c r="Q333" s="29" t="str">
        <f aca="false">IF(OR($P333="",$P333="Closed",$P333="On track"),"",IF($J333="Y","Flagged as an impediment",IF(AND($I333&lt;&gt;"",$I333&lt;AsOf),"Past due since "&amp;TEXT($I333,"yyyy-mm-dd"),IF($M333="Unmapped","Status '"&amp;$C333&amp;"' is not in the Config map","No update in "&amp;$N333&amp;" days (limit "&amp;$O333&amp;")"))))</f>
        <v/>
      </c>
      <c r="R333" s="29" t="str">
        <f aca="false">IF(OR($P333="",$P333="Closed",$P333="On track"),"",IF($P333="Critical",3000,2000)+$N333+ROW()/100000)</f>
        <v/>
      </c>
      <c r="S333" s="29" t="str">
        <f aca="false">IF($R333="","","draft Jira update for "&amp;$A333)</f>
        <v/>
      </c>
      <c r="T333" s="29" t="str">
        <f aca="false">IF($A333="","",HYPERLINK(JiraSite&amp;"/browse/"&amp;$A333,"open"))</f>
        <v/>
      </c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7"/>
      <c r="H334" s="27"/>
      <c r="I334" s="27"/>
      <c r="J334" s="24"/>
      <c r="K334" s="24"/>
      <c r="L334" s="24"/>
      <c r="M334" s="29" t="str">
        <f aca="false">IF($A334="","",IFERROR(INDEX(MapStage,MATCH($C334,MapStatus,0)),"Unmapped"))</f>
        <v/>
      </c>
      <c r="N334" s="29" t="str">
        <f aca="false">IF($A334="","",AsOf-$H334)</f>
        <v/>
      </c>
      <c r="O334" s="29" t="str">
        <f aca="false">IF(OR($M334="",$M334="Closed",$M334="Unmapped"),"",INDEX(StageStale,MATCH($M334,StageName,0)))</f>
        <v/>
      </c>
      <c r="P334" s="29" t="str">
        <f aca="false">IF($A334="","",IF($M334="Closed","Closed",IF($J334="Y","Critical",IF(AND($I334&lt;&gt;"",$I334&lt;AsOf),"Critical",IF($M334="Unmapped","Warning",IF($N334&gt;2*$O334,"Critical",IF($N334&gt;$O334,"Warning","On track")))))))</f>
        <v/>
      </c>
      <c r="Q334" s="29" t="str">
        <f aca="false">IF(OR($P334="",$P334="Closed",$P334="On track"),"",IF($J334="Y","Flagged as an impediment",IF(AND($I334&lt;&gt;"",$I334&lt;AsOf),"Past due since "&amp;TEXT($I334,"yyyy-mm-dd"),IF($M334="Unmapped","Status '"&amp;$C334&amp;"' is not in the Config map","No update in "&amp;$N334&amp;" days (limit "&amp;$O334&amp;")"))))</f>
        <v/>
      </c>
      <c r="R334" s="29" t="str">
        <f aca="false">IF(OR($P334="",$P334="Closed",$P334="On track"),"",IF($P334="Critical",3000,2000)+$N334+ROW()/100000)</f>
        <v/>
      </c>
      <c r="S334" s="29" t="str">
        <f aca="false">IF($R334="","","draft Jira update for "&amp;$A334)</f>
        <v/>
      </c>
      <c r="T334" s="29" t="str">
        <f aca="false">IF($A334="","",HYPERLINK(JiraSite&amp;"/browse/"&amp;$A334,"open"))</f>
        <v/>
      </c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7"/>
      <c r="H335" s="27"/>
      <c r="I335" s="27"/>
      <c r="J335" s="24"/>
      <c r="K335" s="24"/>
      <c r="L335" s="24"/>
      <c r="M335" s="29" t="str">
        <f aca="false">IF($A335="","",IFERROR(INDEX(MapStage,MATCH($C335,MapStatus,0)),"Unmapped"))</f>
        <v/>
      </c>
      <c r="N335" s="29" t="str">
        <f aca="false">IF($A335="","",AsOf-$H335)</f>
        <v/>
      </c>
      <c r="O335" s="29" t="str">
        <f aca="false">IF(OR($M335="",$M335="Closed",$M335="Unmapped"),"",INDEX(StageStale,MATCH($M335,StageName,0)))</f>
        <v/>
      </c>
      <c r="P335" s="29" t="str">
        <f aca="false">IF($A335="","",IF($M335="Closed","Closed",IF($J335="Y","Critical",IF(AND($I335&lt;&gt;"",$I335&lt;AsOf),"Critical",IF($M335="Unmapped","Warning",IF($N335&gt;2*$O335,"Critical",IF($N335&gt;$O335,"Warning","On track")))))))</f>
        <v/>
      </c>
      <c r="Q335" s="29" t="str">
        <f aca="false">IF(OR($P335="",$P335="Closed",$P335="On track"),"",IF($J335="Y","Flagged as an impediment",IF(AND($I335&lt;&gt;"",$I335&lt;AsOf),"Past due since "&amp;TEXT($I335,"yyyy-mm-dd"),IF($M335="Unmapped","Status '"&amp;$C335&amp;"' is not in the Config map","No update in "&amp;$N335&amp;" days (limit "&amp;$O335&amp;")"))))</f>
        <v/>
      </c>
      <c r="R335" s="29" t="str">
        <f aca="false">IF(OR($P335="",$P335="Closed",$P335="On track"),"",IF($P335="Critical",3000,2000)+$N335+ROW()/100000)</f>
        <v/>
      </c>
      <c r="S335" s="29" t="str">
        <f aca="false">IF($R335="","","draft Jira update for "&amp;$A335)</f>
        <v/>
      </c>
      <c r="T335" s="29" t="str">
        <f aca="false">IF($A335="","",HYPERLINK(JiraSite&amp;"/browse/"&amp;$A335,"open"))</f>
        <v/>
      </c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7"/>
      <c r="H336" s="27"/>
      <c r="I336" s="27"/>
      <c r="J336" s="24"/>
      <c r="K336" s="24"/>
      <c r="L336" s="24"/>
      <c r="M336" s="29" t="str">
        <f aca="false">IF($A336="","",IFERROR(INDEX(MapStage,MATCH($C336,MapStatus,0)),"Unmapped"))</f>
        <v/>
      </c>
      <c r="N336" s="29" t="str">
        <f aca="false">IF($A336="","",AsOf-$H336)</f>
        <v/>
      </c>
      <c r="O336" s="29" t="str">
        <f aca="false">IF(OR($M336="",$M336="Closed",$M336="Unmapped"),"",INDEX(StageStale,MATCH($M336,StageName,0)))</f>
        <v/>
      </c>
      <c r="P336" s="29" t="str">
        <f aca="false">IF($A336="","",IF($M336="Closed","Closed",IF($J336="Y","Critical",IF(AND($I336&lt;&gt;"",$I336&lt;AsOf),"Critical",IF($M336="Unmapped","Warning",IF($N336&gt;2*$O336,"Critical",IF($N336&gt;$O336,"Warning","On track")))))))</f>
        <v/>
      </c>
      <c r="Q336" s="29" t="str">
        <f aca="false">IF(OR($P336="",$P336="Closed",$P336="On track"),"",IF($J336="Y","Flagged as an impediment",IF(AND($I336&lt;&gt;"",$I336&lt;AsOf),"Past due since "&amp;TEXT($I336,"yyyy-mm-dd"),IF($M336="Unmapped","Status '"&amp;$C336&amp;"' is not in the Config map","No update in "&amp;$N336&amp;" days (limit "&amp;$O336&amp;")"))))</f>
        <v/>
      </c>
      <c r="R336" s="29" t="str">
        <f aca="false">IF(OR($P336="",$P336="Closed",$P336="On track"),"",IF($P336="Critical",3000,2000)+$N336+ROW()/100000)</f>
        <v/>
      </c>
      <c r="S336" s="29" t="str">
        <f aca="false">IF($R336="","","draft Jira update for "&amp;$A336)</f>
        <v/>
      </c>
      <c r="T336" s="29" t="str">
        <f aca="false">IF($A336="","",HYPERLINK(JiraSite&amp;"/browse/"&amp;$A336,"open"))</f>
        <v/>
      </c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7"/>
      <c r="H337" s="27"/>
      <c r="I337" s="27"/>
      <c r="J337" s="24"/>
      <c r="K337" s="24"/>
      <c r="L337" s="24"/>
      <c r="M337" s="29" t="str">
        <f aca="false">IF($A337="","",IFERROR(INDEX(MapStage,MATCH($C337,MapStatus,0)),"Unmapped"))</f>
        <v/>
      </c>
      <c r="N337" s="29" t="str">
        <f aca="false">IF($A337="","",AsOf-$H337)</f>
        <v/>
      </c>
      <c r="O337" s="29" t="str">
        <f aca="false">IF(OR($M337="",$M337="Closed",$M337="Unmapped"),"",INDEX(StageStale,MATCH($M337,StageName,0)))</f>
        <v/>
      </c>
      <c r="P337" s="29" t="str">
        <f aca="false">IF($A337="","",IF($M337="Closed","Closed",IF($J337="Y","Critical",IF(AND($I337&lt;&gt;"",$I337&lt;AsOf),"Critical",IF($M337="Unmapped","Warning",IF($N337&gt;2*$O337,"Critical",IF($N337&gt;$O337,"Warning","On track")))))))</f>
        <v/>
      </c>
      <c r="Q337" s="29" t="str">
        <f aca="false">IF(OR($P337="",$P337="Closed",$P337="On track"),"",IF($J337="Y","Flagged as an impediment",IF(AND($I337&lt;&gt;"",$I337&lt;AsOf),"Past due since "&amp;TEXT($I337,"yyyy-mm-dd"),IF($M337="Unmapped","Status '"&amp;$C337&amp;"' is not in the Config map","No update in "&amp;$N337&amp;" days (limit "&amp;$O337&amp;")"))))</f>
        <v/>
      </c>
      <c r="R337" s="29" t="str">
        <f aca="false">IF(OR($P337="",$P337="Closed",$P337="On track"),"",IF($P337="Critical",3000,2000)+$N337+ROW()/100000)</f>
        <v/>
      </c>
      <c r="S337" s="29" t="str">
        <f aca="false">IF($R337="","","draft Jira update for "&amp;$A337)</f>
        <v/>
      </c>
      <c r="T337" s="29" t="str">
        <f aca="false">IF($A337="","",HYPERLINK(JiraSite&amp;"/browse/"&amp;$A337,"open"))</f>
        <v/>
      </c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7"/>
      <c r="H338" s="27"/>
      <c r="I338" s="27"/>
      <c r="J338" s="24"/>
      <c r="K338" s="24"/>
      <c r="L338" s="24"/>
      <c r="M338" s="29" t="str">
        <f aca="false">IF($A338="","",IFERROR(INDEX(MapStage,MATCH($C338,MapStatus,0)),"Unmapped"))</f>
        <v/>
      </c>
      <c r="N338" s="29" t="str">
        <f aca="false">IF($A338="","",AsOf-$H338)</f>
        <v/>
      </c>
      <c r="O338" s="29" t="str">
        <f aca="false">IF(OR($M338="",$M338="Closed",$M338="Unmapped"),"",INDEX(StageStale,MATCH($M338,StageName,0)))</f>
        <v/>
      </c>
      <c r="P338" s="29" t="str">
        <f aca="false">IF($A338="","",IF($M338="Closed","Closed",IF($J338="Y","Critical",IF(AND($I338&lt;&gt;"",$I338&lt;AsOf),"Critical",IF($M338="Unmapped","Warning",IF($N338&gt;2*$O338,"Critical",IF($N338&gt;$O338,"Warning","On track")))))))</f>
        <v/>
      </c>
      <c r="Q338" s="29" t="str">
        <f aca="false">IF(OR($P338="",$P338="Closed",$P338="On track"),"",IF($J338="Y","Flagged as an impediment",IF(AND($I338&lt;&gt;"",$I338&lt;AsOf),"Past due since "&amp;TEXT($I338,"yyyy-mm-dd"),IF($M338="Unmapped","Status '"&amp;$C338&amp;"' is not in the Config map","No update in "&amp;$N338&amp;" days (limit "&amp;$O338&amp;")"))))</f>
        <v/>
      </c>
      <c r="R338" s="29" t="str">
        <f aca="false">IF(OR($P338="",$P338="Closed",$P338="On track"),"",IF($P338="Critical",3000,2000)+$N338+ROW()/100000)</f>
        <v/>
      </c>
      <c r="S338" s="29" t="str">
        <f aca="false">IF($R338="","","draft Jira update for "&amp;$A338)</f>
        <v/>
      </c>
      <c r="T338" s="29" t="str">
        <f aca="false">IF($A338="","",HYPERLINK(JiraSite&amp;"/browse/"&amp;$A338,"open"))</f>
        <v/>
      </c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7"/>
      <c r="H339" s="27"/>
      <c r="I339" s="27"/>
      <c r="J339" s="24"/>
      <c r="K339" s="24"/>
      <c r="L339" s="24"/>
      <c r="M339" s="29" t="str">
        <f aca="false">IF($A339="","",IFERROR(INDEX(MapStage,MATCH($C339,MapStatus,0)),"Unmapped"))</f>
        <v/>
      </c>
      <c r="N339" s="29" t="str">
        <f aca="false">IF($A339="","",AsOf-$H339)</f>
        <v/>
      </c>
      <c r="O339" s="29" t="str">
        <f aca="false">IF(OR($M339="",$M339="Closed",$M339="Unmapped"),"",INDEX(StageStale,MATCH($M339,StageName,0)))</f>
        <v/>
      </c>
      <c r="P339" s="29" t="str">
        <f aca="false">IF($A339="","",IF($M339="Closed","Closed",IF($J339="Y","Critical",IF(AND($I339&lt;&gt;"",$I339&lt;AsOf),"Critical",IF($M339="Unmapped","Warning",IF($N339&gt;2*$O339,"Critical",IF($N339&gt;$O339,"Warning","On track")))))))</f>
        <v/>
      </c>
      <c r="Q339" s="29" t="str">
        <f aca="false">IF(OR($P339="",$P339="Closed",$P339="On track"),"",IF($J339="Y","Flagged as an impediment",IF(AND($I339&lt;&gt;"",$I339&lt;AsOf),"Past due since "&amp;TEXT($I339,"yyyy-mm-dd"),IF($M339="Unmapped","Status '"&amp;$C339&amp;"' is not in the Config map","No update in "&amp;$N339&amp;" days (limit "&amp;$O339&amp;")"))))</f>
        <v/>
      </c>
      <c r="R339" s="29" t="str">
        <f aca="false">IF(OR($P339="",$P339="Closed",$P339="On track"),"",IF($P339="Critical",3000,2000)+$N339+ROW()/100000)</f>
        <v/>
      </c>
      <c r="S339" s="29" t="str">
        <f aca="false">IF($R339="","","draft Jira update for "&amp;$A339)</f>
        <v/>
      </c>
      <c r="T339" s="29" t="str">
        <f aca="false">IF($A339="","",HYPERLINK(JiraSite&amp;"/browse/"&amp;$A339,"open"))</f>
        <v/>
      </c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7"/>
      <c r="H340" s="27"/>
      <c r="I340" s="27"/>
      <c r="J340" s="24"/>
      <c r="K340" s="24"/>
      <c r="L340" s="24"/>
      <c r="M340" s="29" t="str">
        <f aca="false">IF($A340="","",IFERROR(INDEX(MapStage,MATCH($C340,MapStatus,0)),"Unmapped"))</f>
        <v/>
      </c>
      <c r="N340" s="29" t="str">
        <f aca="false">IF($A340="","",AsOf-$H340)</f>
        <v/>
      </c>
      <c r="O340" s="29" t="str">
        <f aca="false">IF(OR($M340="",$M340="Closed",$M340="Unmapped"),"",INDEX(StageStale,MATCH($M340,StageName,0)))</f>
        <v/>
      </c>
      <c r="P340" s="29" t="str">
        <f aca="false">IF($A340="","",IF($M340="Closed","Closed",IF($J340="Y","Critical",IF(AND($I340&lt;&gt;"",$I340&lt;AsOf),"Critical",IF($M340="Unmapped","Warning",IF($N340&gt;2*$O340,"Critical",IF($N340&gt;$O340,"Warning","On track")))))))</f>
        <v/>
      </c>
      <c r="Q340" s="29" t="str">
        <f aca="false">IF(OR($P340="",$P340="Closed",$P340="On track"),"",IF($J340="Y","Flagged as an impediment",IF(AND($I340&lt;&gt;"",$I340&lt;AsOf),"Past due since "&amp;TEXT($I340,"yyyy-mm-dd"),IF($M340="Unmapped","Status '"&amp;$C340&amp;"' is not in the Config map","No update in "&amp;$N340&amp;" days (limit "&amp;$O340&amp;")"))))</f>
        <v/>
      </c>
      <c r="R340" s="29" t="str">
        <f aca="false">IF(OR($P340="",$P340="Closed",$P340="On track"),"",IF($P340="Critical",3000,2000)+$N340+ROW()/100000)</f>
        <v/>
      </c>
      <c r="S340" s="29" t="str">
        <f aca="false">IF($R340="","","draft Jira update for "&amp;$A340)</f>
        <v/>
      </c>
      <c r="T340" s="29" t="str">
        <f aca="false">IF($A340="","",HYPERLINK(JiraSite&amp;"/browse/"&amp;$A340,"open"))</f>
        <v/>
      </c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7"/>
      <c r="H341" s="27"/>
      <c r="I341" s="27"/>
      <c r="J341" s="24"/>
      <c r="K341" s="24"/>
      <c r="L341" s="24"/>
      <c r="M341" s="29" t="str">
        <f aca="false">IF($A341="","",IFERROR(INDEX(MapStage,MATCH($C341,MapStatus,0)),"Unmapped"))</f>
        <v/>
      </c>
      <c r="N341" s="29" t="str">
        <f aca="false">IF($A341="","",AsOf-$H341)</f>
        <v/>
      </c>
      <c r="O341" s="29" t="str">
        <f aca="false">IF(OR($M341="",$M341="Closed",$M341="Unmapped"),"",INDEX(StageStale,MATCH($M341,StageName,0)))</f>
        <v/>
      </c>
      <c r="P341" s="29" t="str">
        <f aca="false">IF($A341="","",IF($M341="Closed","Closed",IF($J341="Y","Critical",IF(AND($I341&lt;&gt;"",$I341&lt;AsOf),"Critical",IF($M341="Unmapped","Warning",IF($N341&gt;2*$O341,"Critical",IF($N341&gt;$O341,"Warning","On track")))))))</f>
        <v/>
      </c>
      <c r="Q341" s="29" t="str">
        <f aca="false">IF(OR($P341="",$P341="Closed",$P341="On track"),"",IF($J341="Y","Flagged as an impediment",IF(AND($I341&lt;&gt;"",$I341&lt;AsOf),"Past due since "&amp;TEXT($I341,"yyyy-mm-dd"),IF($M341="Unmapped","Status '"&amp;$C341&amp;"' is not in the Config map","No update in "&amp;$N341&amp;" days (limit "&amp;$O341&amp;")"))))</f>
        <v/>
      </c>
      <c r="R341" s="29" t="str">
        <f aca="false">IF(OR($P341="",$P341="Closed",$P341="On track"),"",IF($P341="Critical",3000,2000)+$N341+ROW()/100000)</f>
        <v/>
      </c>
      <c r="S341" s="29" t="str">
        <f aca="false">IF($R341="","","draft Jira update for "&amp;$A341)</f>
        <v/>
      </c>
      <c r="T341" s="29" t="str">
        <f aca="false">IF($A341="","",HYPERLINK(JiraSite&amp;"/browse/"&amp;$A341,"open"))</f>
        <v/>
      </c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7"/>
      <c r="H342" s="27"/>
      <c r="I342" s="27"/>
      <c r="J342" s="24"/>
      <c r="K342" s="24"/>
      <c r="L342" s="24"/>
      <c r="M342" s="29" t="str">
        <f aca="false">IF($A342="","",IFERROR(INDEX(MapStage,MATCH($C342,MapStatus,0)),"Unmapped"))</f>
        <v/>
      </c>
      <c r="N342" s="29" t="str">
        <f aca="false">IF($A342="","",AsOf-$H342)</f>
        <v/>
      </c>
      <c r="O342" s="29" t="str">
        <f aca="false">IF(OR($M342="",$M342="Closed",$M342="Unmapped"),"",INDEX(StageStale,MATCH($M342,StageName,0)))</f>
        <v/>
      </c>
      <c r="P342" s="29" t="str">
        <f aca="false">IF($A342="","",IF($M342="Closed","Closed",IF($J342="Y","Critical",IF(AND($I342&lt;&gt;"",$I342&lt;AsOf),"Critical",IF($M342="Unmapped","Warning",IF($N342&gt;2*$O342,"Critical",IF($N342&gt;$O342,"Warning","On track")))))))</f>
        <v/>
      </c>
      <c r="Q342" s="29" t="str">
        <f aca="false">IF(OR($P342="",$P342="Closed",$P342="On track"),"",IF($J342="Y","Flagged as an impediment",IF(AND($I342&lt;&gt;"",$I342&lt;AsOf),"Past due since "&amp;TEXT($I342,"yyyy-mm-dd"),IF($M342="Unmapped","Status '"&amp;$C342&amp;"' is not in the Config map","No update in "&amp;$N342&amp;" days (limit "&amp;$O342&amp;")"))))</f>
        <v/>
      </c>
      <c r="R342" s="29" t="str">
        <f aca="false">IF(OR($P342="",$P342="Closed",$P342="On track"),"",IF($P342="Critical",3000,2000)+$N342+ROW()/100000)</f>
        <v/>
      </c>
      <c r="S342" s="29" t="str">
        <f aca="false">IF($R342="","","draft Jira update for "&amp;$A342)</f>
        <v/>
      </c>
      <c r="T342" s="29" t="str">
        <f aca="false">IF($A342="","",HYPERLINK(JiraSite&amp;"/browse/"&amp;$A342,"open"))</f>
        <v/>
      </c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7"/>
      <c r="H343" s="27"/>
      <c r="I343" s="27"/>
      <c r="J343" s="24"/>
      <c r="K343" s="24"/>
      <c r="L343" s="24"/>
      <c r="M343" s="29" t="str">
        <f aca="false">IF($A343="","",IFERROR(INDEX(MapStage,MATCH($C343,MapStatus,0)),"Unmapped"))</f>
        <v/>
      </c>
      <c r="N343" s="29" t="str">
        <f aca="false">IF($A343="","",AsOf-$H343)</f>
        <v/>
      </c>
      <c r="O343" s="29" t="str">
        <f aca="false">IF(OR($M343="",$M343="Closed",$M343="Unmapped"),"",INDEX(StageStale,MATCH($M343,StageName,0)))</f>
        <v/>
      </c>
      <c r="P343" s="29" t="str">
        <f aca="false">IF($A343="","",IF($M343="Closed","Closed",IF($J343="Y","Critical",IF(AND($I343&lt;&gt;"",$I343&lt;AsOf),"Critical",IF($M343="Unmapped","Warning",IF($N343&gt;2*$O343,"Critical",IF($N343&gt;$O343,"Warning","On track")))))))</f>
        <v/>
      </c>
      <c r="Q343" s="29" t="str">
        <f aca="false">IF(OR($P343="",$P343="Closed",$P343="On track"),"",IF($J343="Y","Flagged as an impediment",IF(AND($I343&lt;&gt;"",$I343&lt;AsOf),"Past due since "&amp;TEXT($I343,"yyyy-mm-dd"),IF($M343="Unmapped","Status '"&amp;$C343&amp;"' is not in the Config map","No update in "&amp;$N343&amp;" days (limit "&amp;$O343&amp;")"))))</f>
        <v/>
      </c>
      <c r="R343" s="29" t="str">
        <f aca="false">IF(OR($P343="",$P343="Closed",$P343="On track"),"",IF($P343="Critical",3000,2000)+$N343+ROW()/100000)</f>
        <v/>
      </c>
      <c r="S343" s="29" t="str">
        <f aca="false">IF($R343="","","draft Jira update for "&amp;$A343)</f>
        <v/>
      </c>
      <c r="T343" s="29" t="str">
        <f aca="false">IF($A343="","",HYPERLINK(JiraSite&amp;"/browse/"&amp;$A343,"open"))</f>
        <v/>
      </c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7"/>
      <c r="H344" s="27"/>
      <c r="I344" s="27"/>
      <c r="J344" s="24"/>
      <c r="K344" s="24"/>
      <c r="L344" s="24"/>
      <c r="M344" s="29" t="str">
        <f aca="false">IF($A344="","",IFERROR(INDEX(MapStage,MATCH($C344,MapStatus,0)),"Unmapped"))</f>
        <v/>
      </c>
      <c r="N344" s="29" t="str">
        <f aca="false">IF($A344="","",AsOf-$H344)</f>
        <v/>
      </c>
      <c r="O344" s="29" t="str">
        <f aca="false">IF(OR($M344="",$M344="Closed",$M344="Unmapped"),"",INDEX(StageStale,MATCH($M344,StageName,0)))</f>
        <v/>
      </c>
      <c r="P344" s="29" t="str">
        <f aca="false">IF($A344="","",IF($M344="Closed","Closed",IF($J344="Y","Critical",IF(AND($I344&lt;&gt;"",$I344&lt;AsOf),"Critical",IF($M344="Unmapped","Warning",IF($N344&gt;2*$O344,"Critical",IF($N344&gt;$O344,"Warning","On track")))))))</f>
        <v/>
      </c>
      <c r="Q344" s="29" t="str">
        <f aca="false">IF(OR($P344="",$P344="Closed",$P344="On track"),"",IF($J344="Y","Flagged as an impediment",IF(AND($I344&lt;&gt;"",$I344&lt;AsOf),"Past due since "&amp;TEXT($I344,"yyyy-mm-dd"),IF($M344="Unmapped","Status '"&amp;$C344&amp;"' is not in the Config map","No update in "&amp;$N344&amp;" days (limit "&amp;$O344&amp;")"))))</f>
        <v/>
      </c>
      <c r="R344" s="29" t="str">
        <f aca="false">IF(OR($P344="",$P344="Closed",$P344="On track"),"",IF($P344="Critical",3000,2000)+$N344+ROW()/100000)</f>
        <v/>
      </c>
      <c r="S344" s="29" t="str">
        <f aca="false">IF($R344="","","draft Jira update for "&amp;$A344)</f>
        <v/>
      </c>
      <c r="T344" s="29" t="str">
        <f aca="false">IF($A344="","",HYPERLINK(JiraSite&amp;"/browse/"&amp;$A344,"open"))</f>
        <v/>
      </c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7"/>
      <c r="H345" s="27"/>
      <c r="I345" s="27"/>
      <c r="J345" s="24"/>
      <c r="K345" s="24"/>
      <c r="L345" s="24"/>
      <c r="M345" s="29" t="str">
        <f aca="false">IF($A345="","",IFERROR(INDEX(MapStage,MATCH($C345,MapStatus,0)),"Unmapped"))</f>
        <v/>
      </c>
      <c r="N345" s="29" t="str">
        <f aca="false">IF($A345="","",AsOf-$H345)</f>
        <v/>
      </c>
      <c r="O345" s="29" t="str">
        <f aca="false">IF(OR($M345="",$M345="Closed",$M345="Unmapped"),"",INDEX(StageStale,MATCH($M345,StageName,0)))</f>
        <v/>
      </c>
      <c r="P345" s="29" t="str">
        <f aca="false">IF($A345="","",IF($M345="Closed","Closed",IF($J345="Y","Critical",IF(AND($I345&lt;&gt;"",$I345&lt;AsOf),"Critical",IF($M345="Unmapped","Warning",IF($N345&gt;2*$O345,"Critical",IF($N345&gt;$O345,"Warning","On track")))))))</f>
        <v/>
      </c>
      <c r="Q345" s="29" t="str">
        <f aca="false">IF(OR($P345="",$P345="Closed",$P345="On track"),"",IF($J345="Y","Flagged as an impediment",IF(AND($I345&lt;&gt;"",$I345&lt;AsOf),"Past due since "&amp;TEXT($I345,"yyyy-mm-dd"),IF($M345="Unmapped","Status '"&amp;$C345&amp;"' is not in the Config map","No update in "&amp;$N345&amp;" days (limit "&amp;$O345&amp;")"))))</f>
        <v/>
      </c>
      <c r="R345" s="29" t="str">
        <f aca="false">IF(OR($P345="",$P345="Closed",$P345="On track"),"",IF($P345="Critical",3000,2000)+$N345+ROW()/100000)</f>
        <v/>
      </c>
      <c r="S345" s="29" t="str">
        <f aca="false">IF($R345="","","draft Jira update for "&amp;$A345)</f>
        <v/>
      </c>
      <c r="T345" s="29" t="str">
        <f aca="false">IF($A345="","",HYPERLINK(JiraSite&amp;"/browse/"&amp;$A345,"open"))</f>
        <v/>
      </c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7"/>
      <c r="H346" s="27"/>
      <c r="I346" s="27"/>
      <c r="J346" s="24"/>
      <c r="K346" s="24"/>
      <c r="L346" s="24"/>
      <c r="M346" s="29" t="str">
        <f aca="false">IF($A346="","",IFERROR(INDEX(MapStage,MATCH($C346,MapStatus,0)),"Unmapped"))</f>
        <v/>
      </c>
      <c r="N346" s="29" t="str">
        <f aca="false">IF($A346="","",AsOf-$H346)</f>
        <v/>
      </c>
      <c r="O346" s="29" t="str">
        <f aca="false">IF(OR($M346="",$M346="Closed",$M346="Unmapped"),"",INDEX(StageStale,MATCH($M346,StageName,0)))</f>
        <v/>
      </c>
      <c r="P346" s="29" t="str">
        <f aca="false">IF($A346="","",IF($M346="Closed","Closed",IF($J346="Y","Critical",IF(AND($I346&lt;&gt;"",$I346&lt;AsOf),"Critical",IF($M346="Unmapped","Warning",IF($N346&gt;2*$O346,"Critical",IF($N346&gt;$O346,"Warning","On track")))))))</f>
        <v/>
      </c>
      <c r="Q346" s="29" t="str">
        <f aca="false">IF(OR($P346="",$P346="Closed",$P346="On track"),"",IF($J346="Y","Flagged as an impediment",IF(AND($I346&lt;&gt;"",$I346&lt;AsOf),"Past due since "&amp;TEXT($I346,"yyyy-mm-dd"),IF($M346="Unmapped","Status '"&amp;$C346&amp;"' is not in the Config map","No update in "&amp;$N346&amp;" days (limit "&amp;$O346&amp;")"))))</f>
        <v/>
      </c>
      <c r="R346" s="29" t="str">
        <f aca="false">IF(OR($P346="",$P346="Closed",$P346="On track"),"",IF($P346="Critical",3000,2000)+$N346+ROW()/100000)</f>
        <v/>
      </c>
      <c r="S346" s="29" t="str">
        <f aca="false">IF($R346="","","draft Jira update for "&amp;$A346)</f>
        <v/>
      </c>
      <c r="T346" s="29" t="str">
        <f aca="false">IF($A346="","",HYPERLINK(JiraSite&amp;"/browse/"&amp;$A346,"open"))</f>
        <v/>
      </c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7"/>
      <c r="H347" s="27"/>
      <c r="I347" s="27"/>
      <c r="J347" s="24"/>
      <c r="K347" s="24"/>
      <c r="L347" s="24"/>
      <c r="M347" s="29" t="str">
        <f aca="false">IF($A347="","",IFERROR(INDEX(MapStage,MATCH($C347,MapStatus,0)),"Unmapped"))</f>
        <v/>
      </c>
      <c r="N347" s="29" t="str">
        <f aca="false">IF($A347="","",AsOf-$H347)</f>
        <v/>
      </c>
      <c r="O347" s="29" t="str">
        <f aca="false">IF(OR($M347="",$M347="Closed",$M347="Unmapped"),"",INDEX(StageStale,MATCH($M347,StageName,0)))</f>
        <v/>
      </c>
      <c r="P347" s="29" t="str">
        <f aca="false">IF($A347="","",IF($M347="Closed","Closed",IF($J347="Y","Critical",IF(AND($I347&lt;&gt;"",$I347&lt;AsOf),"Critical",IF($M347="Unmapped","Warning",IF($N347&gt;2*$O347,"Critical",IF($N347&gt;$O347,"Warning","On track")))))))</f>
        <v/>
      </c>
      <c r="Q347" s="29" t="str">
        <f aca="false">IF(OR($P347="",$P347="Closed",$P347="On track"),"",IF($J347="Y","Flagged as an impediment",IF(AND($I347&lt;&gt;"",$I347&lt;AsOf),"Past due since "&amp;TEXT($I347,"yyyy-mm-dd"),IF($M347="Unmapped","Status '"&amp;$C347&amp;"' is not in the Config map","No update in "&amp;$N347&amp;" days (limit "&amp;$O347&amp;")"))))</f>
        <v/>
      </c>
      <c r="R347" s="29" t="str">
        <f aca="false">IF(OR($P347="",$P347="Closed",$P347="On track"),"",IF($P347="Critical",3000,2000)+$N347+ROW()/100000)</f>
        <v/>
      </c>
      <c r="S347" s="29" t="str">
        <f aca="false">IF($R347="","","draft Jira update for "&amp;$A347)</f>
        <v/>
      </c>
      <c r="T347" s="29" t="str">
        <f aca="false">IF($A347="","",HYPERLINK(JiraSite&amp;"/browse/"&amp;$A347,"open"))</f>
        <v/>
      </c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7"/>
      <c r="H348" s="27"/>
      <c r="I348" s="27"/>
      <c r="J348" s="24"/>
      <c r="K348" s="24"/>
      <c r="L348" s="24"/>
      <c r="M348" s="29" t="str">
        <f aca="false">IF($A348="","",IFERROR(INDEX(MapStage,MATCH($C348,MapStatus,0)),"Unmapped"))</f>
        <v/>
      </c>
      <c r="N348" s="29" t="str">
        <f aca="false">IF($A348="","",AsOf-$H348)</f>
        <v/>
      </c>
      <c r="O348" s="29" t="str">
        <f aca="false">IF(OR($M348="",$M348="Closed",$M348="Unmapped"),"",INDEX(StageStale,MATCH($M348,StageName,0)))</f>
        <v/>
      </c>
      <c r="P348" s="29" t="str">
        <f aca="false">IF($A348="","",IF($M348="Closed","Closed",IF($J348="Y","Critical",IF(AND($I348&lt;&gt;"",$I348&lt;AsOf),"Critical",IF($M348="Unmapped","Warning",IF($N348&gt;2*$O348,"Critical",IF($N348&gt;$O348,"Warning","On track")))))))</f>
        <v/>
      </c>
      <c r="Q348" s="29" t="str">
        <f aca="false">IF(OR($P348="",$P348="Closed",$P348="On track"),"",IF($J348="Y","Flagged as an impediment",IF(AND($I348&lt;&gt;"",$I348&lt;AsOf),"Past due since "&amp;TEXT($I348,"yyyy-mm-dd"),IF($M348="Unmapped","Status '"&amp;$C348&amp;"' is not in the Config map","No update in "&amp;$N348&amp;" days (limit "&amp;$O348&amp;")"))))</f>
        <v/>
      </c>
      <c r="R348" s="29" t="str">
        <f aca="false">IF(OR($P348="",$P348="Closed",$P348="On track"),"",IF($P348="Critical",3000,2000)+$N348+ROW()/100000)</f>
        <v/>
      </c>
      <c r="S348" s="29" t="str">
        <f aca="false">IF($R348="","","draft Jira update for "&amp;$A348)</f>
        <v/>
      </c>
      <c r="T348" s="29" t="str">
        <f aca="false">IF($A348="","",HYPERLINK(JiraSite&amp;"/browse/"&amp;$A348,"open"))</f>
        <v/>
      </c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7"/>
      <c r="H349" s="27"/>
      <c r="I349" s="27"/>
      <c r="J349" s="24"/>
      <c r="K349" s="24"/>
      <c r="L349" s="24"/>
      <c r="M349" s="29" t="str">
        <f aca="false">IF($A349="","",IFERROR(INDEX(MapStage,MATCH($C349,MapStatus,0)),"Unmapped"))</f>
        <v/>
      </c>
      <c r="N349" s="29" t="str">
        <f aca="false">IF($A349="","",AsOf-$H349)</f>
        <v/>
      </c>
      <c r="O349" s="29" t="str">
        <f aca="false">IF(OR($M349="",$M349="Closed",$M349="Unmapped"),"",INDEX(StageStale,MATCH($M349,StageName,0)))</f>
        <v/>
      </c>
      <c r="P349" s="29" t="str">
        <f aca="false">IF($A349="","",IF($M349="Closed","Closed",IF($J349="Y","Critical",IF(AND($I349&lt;&gt;"",$I349&lt;AsOf),"Critical",IF($M349="Unmapped","Warning",IF($N349&gt;2*$O349,"Critical",IF($N349&gt;$O349,"Warning","On track")))))))</f>
        <v/>
      </c>
      <c r="Q349" s="29" t="str">
        <f aca="false">IF(OR($P349="",$P349="Closed",$P349="On track"),"",IF($J349="Y","Flagged as an impediment",IF(AND($I349&lt;&gt;"",$I349&lt;AsOf),"Past due since "&amp;TEXT($I349,"yyyy-mm-dd"),IF($M349="Unmapped","Status '"&amp;$C349&amp;"' is not in the Config map","No update in "&amp;$N349&amp;" days (limit "&amp;$O349&amp;")"))))</f>
        <v/>
      </c>
      <c r="R349" s="29" t="str">
        <f aca="false">IF(OR($P349="",$P349="Closed",$P349="On track"),"",IF($P349="Critical",3000,2000)+$N349+ROW()/100000)</f>
        <v/>
      </c>
      <c r="S349" s="29" t="str">
        <f aca="false">IF($R349="","","draft Jira update for "&amp;$A349)</f>
        <v/>
      </c>
      <c r="T349" s="29" t="str">
        <f aca="false">IF($A349="","",HYPERLINK(JiraSite&amp;"/browse/"&amp;$A349,"open"))</f>
        <v/>
      </c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7"/>
      <c r="H350" s="27"/>
      <c r="I350" s="27"/>
      <c r="J350" s="24"/>
      <c r="K350" s="24"/>
      <c r="L350" s="24"/>
      <c r="M350" s="29" t="str">
        <f aca="false">IF($A350="","",IFERROR(INDEX(MapStage,MATCH($C350,MapStatus,0)),"Unmapped"))</f>
        <v/>
      </c>
      <c r="N350" s="29" t="str">
        <f aca="false">IF($A350="","",AsOf-$H350)</f>
        <v/>
      </c>
      <c r="O350" s="29" t="str">
        <f aca="false">IF(OR($M350="",$M350="Closed",$M350="Unmapped"),"",INDEX(StageStale,MATCH($M350,StageName,0)))</f>
        <v/>
      </c>
      <c r="P350" s="29" t="str">
        <f aca="false">IF($A350="","",IF($M350="Closed","Closed",IF($J350="Y","Critical",IF(AND($I350&lt;&gt;"",$I350&lt;AsOf),"Critical",IF($M350="Unmapped","Warning",IF($N350&gt;2*$O350,"Critical",IF($N350&gt;$O350,"Warning","On track")))))))</f>
        <v/>
      </c>
      <c r="Q350" s="29" t="str">
        <f aca="false">IF(OR($P350="",$P350="Closed",$P350="On track"),"",IF($J350="Y","Flagged as an impediment",IF(AND($I350&lt;&gt;"",$I350&lt;AsOf),"Past due since "&amp;TEXT($I350,"yyyy-mm-dd"),IF($M350="Unmapped","Status '"&amp;$C350&amp;"' is not in the Config map","No update in "&amp;$N350&amp;" days (limit "&amp;$O350&amp;")"))))</f>
        <v/>
      </c>
      <c r="R350" s="29" t="str">
        <f aca="false">IF(OR($P350="",$P350="Closed",$P350="On track"),"",IF($P350="Critical",3000,2000)+$N350+ROW()/100000)</f>
        <v/>
      </c>
      <c r="S350" s="29" t="str">
        <f aca="false">IF($R350="","","draft Jira update for "&amp;$A350)</f>
        <v/>
      </c>
      <c r="T350" s="29" t="str">
        <f aca="false">IF($A350="","",HYPERLINK(JiraSite&amp;"/browse/"&amp;$A350,"open"))</f>
        <v/>
      </c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7"/>
      <c r="H351" s="27"/>
      <c r="I351" s="27"/>
      <c r="J351" s="24"/>
      <c r="K351" s="24"/>
      <c r="L351" s="24"/>
      <c r="M351" s="29" t="str">
        <f aca="false">IF($A351="","",IFERROR(INDEX(MapStage,MATCH($C351,MapStatus,0)),"Unmapped"))</f>
        <v/>
      </c>
      <c r="N351" s="29" t="str">
        <f aca="false">IF($A351="","",AsOf-$H351)</f>
        <v/>
      </c>
      <c r="O351" s="29" t="str">
        <f aca="false">IF(OR($M351="",$M351="Closed",$M351="Unmapped"),"",INDEX(StageStale,MATCH($M351,StageName,0)))</f>
        <v/>
      </c>
      <c r="P351" s="29" t="str">
        <f aca="false">IF($A351="","",IF($M351="Closed","Closed",IF($J351="Y","Critical",IF(AND($I351&lt;&gt;"",$I351&lt;AsOf),"Critical",IF($M351="Unmapped","Warning",IF($N351&gt;2*$O351,"Critical",IF($N351&gt;$O351,"Warning","On track")))))))</f>
        <v/>
      </c>
      <c r="Q351" s="29" t="str">
        <f aca="false">IF(OR($P351="",$P351="Closed",$P351="On track"),"",IF($J351="Y","Flagged as an impediment",IF(AND($I351&lt;&gt;"",$I351&lt;AsOf),"Past due since "&amp;TEXT($I351,"yyyy-mm-dd"),IF($M351="Unmapped","Status '"&amp;$C351&amp;"' is not in the Config map","No update in "&amp;$N351&amp;" days (limit "&amp;$O351&amp;")"))))</f>
        <v/>
      </c>
      <c r="R351" s="29" t="str">
        <f aca="false">IF(OR($P351="",$P351="Closed",$P351="On track"),"",IF($P351="Critical",3000,2000)+$N351+ROW()/100000)</f>
        <v/>
      </c>
      <c r="S351" s="29" t="str">
        <f aca="false">IF($R351="","","draft Jira update for "&amp;$A351)</f>
        <v/>
      </c>
      <c r="T351" s="29" t="str">
        <f aca="false">IF($A351="","",HYPERLINK(JiraSite&amp;"/browse/"&amp;$A351,"open"))</f>
        <v/>
      </c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7"/>
      <c r="H352" s="27"/>
      <c r="I352" s="27"/>
      <c r="J352" s="24"/>
      <c r="K352" s="24"/>
      <c r="L352" s="24"/>
      <c r="M352" s="29" t="str">
        <f aca="false">IF($A352="","",IFERROR(INDEX(MapStage,MATCH($C352,MapStatus,0)),"Unmapped"))</f>
        <v/>
      </c>
      <c r="N352" s="29" t="str">
        <f aca="false">IF($A352="","",AsOf-$H352)</f>
        <v/>
      </c>
      <c r="O352" s="29" t="str">
        <f aca="false">IF(OR($M352="",$M352="Closed",$M352="Unmapped"),"",INDEX(StageStale,MATCH($M352,StageName,0)))</f>
        <v/>
      </c>
      <c r="P352" s="29" t="str">
        <f aca="false">IF($A352="","",IF($M352="Closed","Closed",IF($J352="Y","Critical",IF(AND($I352&lt;&gt;"",$I352&lt;AsOf),"Critical",IF($M352="Unmapped","Warning",IF($N352&gt;2*$O352,"Critical",IF($N352&gt;$O352,"Warning","On track")))))))</f>
        <v/>
      </c>
      <c r="Q352" s="29" t="str">
        <f aca="false">IF(OR($P352="",$P352="Closed",$P352="On track"),"",IF($J352="Y","Flagged as an impediment",IF(AND($I352&lt;&gt;"",$I352&lt;AsOf),"Past due since "&amp;TEXT($I352,"yyyy-mm-dd"),IF($M352="Unmapped","Status '"&amp;$C352&amp;"' is not in the Config map","No update in "&amp;$N352&amp;" days (limit "&amp;$O352&amp;")"))))</f>
        <v/>
      </c>
      <c r="R352" s="29" t="str">
        <f aca="false">IF(OR($P352="",$P352="Closed",$P352="On track"),"",IF($P352="Critical",3000,2000)+$N352+ROW()/100000)</f>
        <v/>
      </c>
      <c r="S352" s="29" t="str">
        <f aca="false">IF($R352="","","draft Jira update for "&amp;$A352)</f>
        <v/>
      </c>
      <c r="T352" s="29" t="str">
        <f aca="false">IF($A352="","",HYPERLINK(JiraSite&amp;"/browse/"&amp;$A352,"open"))</f>
        <v/>
      </c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7"/>
      <c r="H353" s="27"/>
      <c r="I353" s="27"/>
      <c r="J353" s="24"/>
      <c r="K353" s="24"/>
      <c r="L353" s="24"/>
      <c r="M353" s="29" t="str">
        <f aca="false">IF($A353="","",IFERROR(INDEX(MapStage,MATCH($C353,MapStatus,0)),"Unmapped"))</f>
        <v/>
      </c>
      <c r="N353" s="29" t="str">
        <f aca="false">IF($A353="","",AsOf-$H353)</f>
        <v/>
      </c>
      <c r="O353" s="29" t="str">
        <f aca="false">IF(OR($M353="",$M353="Closed",$M353="Unmapped"),"",INDEX(StageStale,MATCH($M353,StageName,0)))</f>
        <v/>
      </c>
      <c r="P353" s="29" t="str">
        <f aca="false">IF($A353="","",IF($M353="Closed","Closed",IF($J353="Y","Critical",IF(AND($I353&lt;&gt;"",$I353&lt;AsOf),"Critical",IF($M353="Unmapped","Warning",IF($N353&gt;2*$O353,"Critical",IF($N353&gt;$O353,"Warning","On track")))))))</f>
        <v/>
      </c>
      <c r="Q353" s="29" t="str">
        <f aca="false">IF(OR($P353="",$P353="Closed",$P353="On track"),"",IF($J353="Y","Flagged as an impediment",IF(AND($I353&lt;&gt;"",$I353&lt;AsOf),"Past due since "&amp;TEXT($I353,"yyyy-mm-dd"),IF($M353="Unmapped","Status '"&amp;$C353&amp;"' is not in the Config map","No update in "&amp;$N353&amp;" days (limit "&amp;$O353&amp;")"))))</f>
        <v/>
      </c>
      <c r="R353" s="29" t="str">
        <f aca="false">IF(OR($P353="",$P353="Closed",$P353="On track"),"",IF($P353="Critical",3000,2000)+$N353+ROW()/100000)</f>
        <v/>
      </c>
      <c r="S353" s="29" t="str">
        <f aca="false">IF($R353="","","draft Jira update for "&amp;$A353)</f>
        <v/>
      </c>
      <c r="T353" s="29" t="str">
        <f aca="false">IF($A353="","",HYPERLINK(JiraSite&amp;"/browse/"&amp;$A353,"open"))</f>
        <v/>
      </c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7"/>
      <c r="H354" s="27"/>
      <c r="I354" s="27"/>
      <c r="J354" s="24"/>
      <c r="K354" s="24"/>
      <c r="L354" s="24"/>
      <c r="M354" s="29" t="str">
        <f aca="false">IF($A354="","",IFERROR(INDEX(MapStage,MATCH($C354,MapStatus,0)),"Unmapped"))</f>
        <v/>
      </c>
      <c r="N354" s="29" t="str">
        <f aca="false">IF($A354="","",AsOf-$H354)</f>
        <v/>
      </c>
      <c r="O354" s="29" t="str">
        <f aca="false">IF(OR($M354="",$M354="Closed",$M354="Unmapped"),"",INDEX(StageStale,MATCH($M354,StageName,0)))</f>
        <v/>
      </c>
      <c r="P354" s="29" t="str">
        <f aca="false">IF($A354="","",IF($M354="Closed","Closed",IF($J354="Y","Critical",IF(AND($I354&lt;&gt;"",$I354&lt;AsOf),"Critical",IF($M354="Unmapped","Warning",IF($N354&gt;2*$O354,"Critical",IF($N354&gt;$O354,"Warning","On track")))))))</f>
        <v/>
      </c>
      <c r="Q354" s="29" t="str">
        <f aca="false">IF(OR($P354="",$P354="Closed",$P354="On track"),"",IF($J354="Y","Flagged as an impediment",IF(AND($I354&lt;&gt;"",$I354&lt;AsOf),"Past due since "&amp;TEXT($I354,"yyyy-mm-dd"),IF($M354="Unmapped","Status '"&amp;$C354&amp;"' is not in the Config map","No update in "&amp;$N354&amp;" days (limit "&amp;$O354&amp;")"))))</f>
        <v/>
      </c>
      <c r="R354" s="29" t="str">
        <f aca="false">IF(OR($P354="",$P354="Closed",$P354="On track"),"",IF($P354="Critical",3000,2000)+$N354+ROW()/100000)</f>
        <v/>
      </c>
      <c r="S354" s="29" t="str">
        <f aca="false">IF($R354="","","draft Jira update for "&amp;$A354)</f>
        <v/>
      </c>
      <c r="T354" s="29" t="str">
        <f aca="false">IF($A354="","",HYPERLINK(JiraSite&amp;"/browse/"&amp;$A354,"open"))</f>
        <v/>
      </c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7"/>
      <c r="H355" s="27"/>
      <c r="I355" s="27"/>
      <c r="J355" s="24"/>
      <c r="K355" s="24"/>
      <c r="L355" s="24"/>
      <c r="M355" s="29" t="str">
        <f aca="false">IF($A355="","",IFERROR(INDEX(MapStage,MATCH($C355,MapStatus,0)),"Unmapped"))</f>
        <v/>
      </c>
      <c r="N355" s="29" t="str">
        <f aca="false">IF($A355="","",AsOf-$H355)</f>
        <v/>
      </c>
      <c r="O355" s="29" t="str">
        <f aca="false">IF(OR($M355="",$M355="Closed",$M355="Unmapped"),"",INDEX(StageStale,MATCH($M355,StageName,0)))</f>
        <v/>
      </c>
      <c r="P355" s="29" t="str">
        <f aca="false">IF($A355="","",IF($M355="Closed","Closed",IF($J355="Y","Critical",IF(AND($I355&lt;&gt;"",$I355&lt;AsOf),"Critical",IF($M355="Unmapped","Warning",IF($N355&gt;2*$O355,"Critical",IF($N355&gt;$O355,"Warning","On track")))))))</f>
        <v/>
      </c>
      <c r="Q355" s="29" t="str">
        <f aca="false">IF(OR($P355="",$P355="Closed",$P355="On track"),"",IF($J355="Y","Flagged as an impediment",IF(AND($I355&lt;&gt;"",$I355&lt;AsOf),"Past due since "&amp;TEXT($I355,"yyyy-mm-dd"),IF($M355="Unmapped","Status '"&amp;$C355&amp;"' is not in the Config map","No update in "&amp;$N355&amp;" days (limit "&amp;$O355&amp;")"))))</f>
        <v/>
      </c>
      <c r="R355" s="29" t="str">
        <f aca="false">IF(OR($P355="",$P355="Closed",$P355="On track"),"",IF($P355="Critical",3000,2000)+$N355+ROW()/100000)</f>
        <v/>
      </c>
      <c r="S355" s="29" t="str">
        <f aca="false">IF($R355="","","draft Jira update for "&amp;$A355)</f>
        <v/>
      </c>
      <c r="T355" s="29" t="str">
        <f aca="false">IF($A355="","",HYPERLINK(JiraSite&amp;"/browse/"&amp;$A355,"open"))</f>
        <v/>
      </c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7"/>
      <c r="H356" s="27"/>
      <c r="I356" s="27"/>
      <c r="J356" s="24"/>
      <c r="K356" s="24"/>
      <c r="L356" s="24"/>
      <c r="M356" s="29" t="str">
        <f aca="false">IF($A356="","",IFERROR(INDEX(MapStage,MATCH($C356,MapStatus,0)),"Unmapped"))</f>
        <v/>
      </c>
      <c r="N356" s="29" t="str">
        <f aca="false">IF($A356="","",AsOf-$H356)</f>
        <v/>
      </c>
      <c r="O356" s="29" t="str">
        <f aca="false">IF(OR($M356="",$M356="Closed",$M356="Unmapped"),"",INDEX(StageStale,MATCH($M356,StageName,0)))</f>
        <v/>
      </c>
      <c r="P356" s="29" t="str">
        <f aca="false">IF($A356="","",IF($M356="Closed","Closed",IF($J356="Y","Critical",IF(AND($I356&lt;&gt;"",$I356&lt;AsOf),"Critical",IF($M356="Unmapped","Warning",IF($N356&gt;2*$O356,"Critical",IF($N356&gt;$O356,"Warning","On track")))))))</f>
        <v/>
      </c>
      <c r="Q356" s="29" t="str">
        <f aca="false">IF(OR($P356="",$P356="Closed",$P356="On track"),"",IF($J356="Y","Flagged as an impediment",IF(AND($I356&lt;&gt;"",$I356&lt;AsOf),"Past due since "&amp;TEXT($I356,"yyyy-mm-dd"),IF($M356="Unmapped","Status '"&amp;$C356&amp;"' is not in the Config map","No update in "&amp;$N356&amp;" days (limit "&amp;$O356&amp;")"))))</f>
        <v/>
      </c>
      <c r="R356" s="29" t="str">
        <f aca="false">IF(OR($P356="",$P356="Closed",$P356="On track"),"",IF($P356="Critical",3000,2000)+$N356+ROW()/100000)</f>
        <v/>
      </c>
      <c r="S356" s="29" t="str">
        <f aca="false">IF($R356="","","draft Jira update for "&amp;$A356)</f>
        <v/>
      </c>
      <c r="T356" s="29" t="str">
        <f aca="false">IF($A356="","",HYPERLINK(JiraSite&amp;"/browse/"&amp;$A356,"open"))</f>
        <v/>
      </c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7"/>
      <c r="H357" s="27"/>
      <c r="I357" s="27"/>
      <c r="J357" s="24"/>
      <c r="K357" s="24"/>
      <c r="L357" s="24"/>
      <c r="M357" s="29" t="str">
        <f aca="false">IF($A357="","",IFERROR(INDEX(MapStage,MATCH($C357,MapStatus,0)),"Unmapped"))</f>
        <v/>
      </c>
      <c r="N357" s="29" t="str">
        <f aca="false">IF($A357="","",AsOf-$H357)</f>
        <v/>
      </c>
      <c r="O357" s="29" t="str">
        <f aca="false">IF(OR($M357="",$M357="Closed",$M357="Unmapped"),"",INDEX(StageStale,MATCH($M357,StageName,0)))</f>
        <v/>
      </c>
      <c r="P357" s="29" t="str">
        <f aca="false">IF($A357="","",IF($M357="Closed","Closed",IF($J357="Y","Critical",IF(AND($I357&lt;&gt;"",$I357&lt;AsOf),"Critical",IF($M357="Unmapped","Warning",IF($N357&gt;2*$O357,"Critical",IF($N357&gt;$O357,"Warning","On track")))))))</f>
        <v/>
      </c>
      <c r="Q357" s="29" t="str">
        <f aca="false">IF(OR($P357="",$P357="Closed",$P357="On track"),"",IF($J357="Y","Flagged as an impediment",IF(AND($I357&lt;&gt;"",$I357&lt;AsOf),"Past due since "&amp;TEXT($I357,"yyyy-mm-dd"),IF($M357="Unmapped","Status '"&amp;$C357&amp;"' is not in the Config map","No update in "&amp;$N357&amp;" days (limit "&amp;$O357&amp;")"))))</f>
        <v/>
      </c>
      <c r="R357" s="29" t="str">
        <f aca="false">IF(OR($P357="",$P357="Closed",$P357="On track"),"",IF($P357="Critical",3000,2000)+$N357+ROW()/100000)</f>
        <v/>
      </c>
      <c r="S357" s="29" t="str">
        <f aca="false">IF($R357="","","draft Jira update for "&amp;$A357)</f>
        <v/>
      </c>
      <c r="T357" s="29" t="str">
        <f aca="false">IF($A357="","",HYPERLINK(JiraSite&amp;"/browse/"&amp;$A357,"open"))</f>
        <v/>
      </c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7"/>
      <c r="H358" s="27"/>
      <c r="I358" s="27"/>
      <c r="J358" s="24"/>
      <c r="K358" s="24"/>
      <c r="L358" s="24"/>
      <c r="M358" s="29" t="str">
        <f aca="false">IF($A358="","",IFERROR(INDEX(MapStage,MATCH($C358,MapStatus,0)),"Unmapped"))</f>
        <v/>
      </c>
      <c r="N358" s="29" t="str">
        <f aca="false">IF($A358="","",AsOf-$H358)</f>
        <v/>
      </c>
      <c r="O358" s="29" t="str">
        <f aca="false">IF(OR($M358="",$M358="Closed",$M358="Unmapped"),"",INDEX(StageStale,MATCH($M358,StageName,0)))</f>
        <v/>
      </c>
      <c r="P358" s="29" t="str">
        <f aca="false">IF($A358="","",IF($M358="Closed","Closed",IF($J358="Y","Critical",IF(AND($I358&lt;&gt;"",$I358&lt;AsOf),"Critical",IF($M358="Unmapped","Warning",IF($N358&gt;2*$O358,"Critical",IF($N358&gt;$O358,"Warning","On track")))))))</f>
        <v/>
      </c>
      <c r="Q358" s="29" t="str">
        <f aca="false">IF(OR($P358="",$P358="Closed",$P358="On track"),"",IF($J358="Y","Flagged as an impediment",IF(AND($I358&lt;&gt;"",$I358&lt;AsOf),"Past due since "&amp;TEXT($I358,"yyyy-mm-dd"),IF($M358="Unmapped","Status '"&amp;$C358&amp;"' is not in the Config map","No update in "&amp;$N358&amp;" days (limit "&amp;$O358&amp;")"))))</f>
        <v/>
      </c>
      <c r="R358" s="29" t="str">
        <f aca="false">IF(OR($P358="",$P358="Closed",$P358="On track"),"",IF($P358="Critical",3000,2000)+$N358+ROW()/100000)</f>
        <v/>
      </c>
      <c r="S358" s="29" t="str">
        <f aca="false">IF($R358="","","draft Jira update for "&amp;$A358)</f>
        <v/>
      </c>
      <c r="T358" s="29" t="str">
        <f aca="false">IF($A358="","",HYPERLINK(JiraSite&amp;"/browse/"&amp;$A358,"open"))</f>
        <v/>
      </c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7"/>
      <c r="H359" s="27"/>
      <c r="I359" s="27"/>
      <c r="J359" s="24"/>
      <c r="K359" s="24"/>
      <c r="L359" s="24"/>
      <c r="M359" s="29" t="str">
        <f aca="false">IF($A359="","",IFERROR(INDEX(MapStage,MATCH($C359,MapStatus,0)),"Unmapped"))</f>
        <v/>
      </c>
      <c r="N359" s="29" t="str">
        <f aca="false">IF($A359="","",AsOf-$H359)</f>
        <v/>
      </c>
      <c r="O359" s="29" t="str">
        <f aca="false">IF(OR($M359="",$M359="Closed",$M359="Unmapped"),"",INDEX(StageStale,MATCH($M359,StageName,0)))</f>
        <v/>
      </c>
      <c r="P359" s="29" t="str">
        <f aca="false">IF($A359="","",IF($M359="Closed","Closed",IF($J359="Y","Critical",IF(AND($I359&lt;&gt;"",$I359&lt;AsOf),"Critical",IF($M359="Unmapped","Warning",IF($N359&gt;2*$O359,"Critical",IF($N359&gt;$O359,"Warning","On track")))))))</f>
        <v/>
      </c>
      <c r="Q359" s="29" t="str">
        <f aca="false">IF(OR($P359="",$P359="Closed",$P359="On track"),"",IF($J359="Y","Flagged as an impediment",IF(AND($I359&lt;&gt;"",$I359&lt;AsOf),"Past due since "&amp;TEXT($I359,"yyyy-mm-dd"),IF($M359="Unmapped","Status '"&amp;$C359&amp;"' is not in the Config map","No update in "&amp;$N359&amp;" days (limit "&amp;$O359&amp;")"))))</f>
        <v/>
      </c>
      <c r="R359" s="29" t="str">
        <f aca="false">IF(OR($P359="",$P359="Closed",$P359="On track"),"",IF($P359="Critical",3000,2000)+$N359+ROW()/100000)</f>
        <v/>
      </c>
      <c r="S359" s="29" t="str">
        <f aca="false">IF($R359="","","draft Jira update for "&amp;$A359)</f>
        <v/>
      </c>
      <c r="T359" s="29" t="str">
        <f aca="false">IF($A359="","",HYPERLINK(JiraSite&amp;"/browse/"&amp;$A359,"open"))</f>
        <v/>
      </c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7"/>
      <c r="H360" s="27"/>
      <c r="I360" s="27"/>
      <c r="J360" s="24"/>
      <c r="K360" s="24"/>
      <c r="L360" s="24"/>
      <c r="M360" s="29" t="str">
        <f aca="false">IF($A360="","",IFERROR(INDEX(MapStage,MATCH($C360,MapStatus,0)),"Unmapped"))</f>
        <v/>
      </c>
      <c r="N360" s="29" t="str">
        <f aca="false">IF($A360="","",AsOf-$H360)</f>
        <v/>
      </c>
      <c r="O360" s="29" t="str">
        <f aca="false">IF(OR($M360="",$M360="Closed",$M360="Unmapped"),"",INDEX(StageStale,MATCH($M360,StageName,0)))</f>
        <v/>
      </c>
      <c r="P360" s="29" t="str">
        <f aca="false">IF($A360="","",IF($M360="Closed","Closed",IF($J360="Y","Critical",IF(AND($I360&lt;&gt;"",$I360&lt;AsOf),"Critical",IF($M360="Unmapped","Warning",IF($N360&gt;2*$O360,"Critical",IF($N360&gt;$O360,"Warning","On track")))))))</f>
        <v/>
      </c>
      <c r="Q360" s="29" t="str">
        <f aca="false">IF(OR($P360="",$P360="Closed",$P360="On track"),"",IF($J360="Y","Flagged as an impediment",IF(AND($I360&lt;&gt;"",$I360&lt;AsOf),"Past due since "&amp;TEXT($I360,"yyyy-mm-dd"),IF($M360="Unmapped","Status '"&amp;$C360&amp;"' is not in the Config map","No update in "&amp;$N360&amp;" days (limit "&amp;$O360&amp;")"))))</f>
        <v/>
      </c>
      <c r="R360" s="29" t="str">
        <f aca="false">IF(OR($P360="",$P360="Closed",$P360="On track"),"",IF($P360="Critical",3000,2000)+$N360+ROW()/100000)</f>
        <v/>
      </c>
      <c r="S360" s="29" t="str">
        <f aca="false">IF($R360="","","draft Jira update for "&amp;$A360)</f>
        <v/>
      </c>
      <c r="T360" s="29" t="str">
        <f aca="false">IF($A360="","",HYPERLINK(JiraSite&amp;"/browse/"&amp;$A360,"open"))</f>
        <v/>
      </c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7"/>
      <c r="H361" s="27"/>
      <c r="I361" s="27"/>
      <c r="J361" s="24"/>
      <c r="K361" s="24"/>
      <c r="L361" s="24"/>
      <c r="M361" s="29" t="str">
        <f aca="false">IF($A361="","",IFERROR(INDEX(MapStage,MATCH($C361,MapStatus,0)),"Unmapped"))</f>
        <v/>
      </c>
      <c r="N361" s="29" t="str">
        <f aca="false">IF($A361="","",AsOf-$H361)</f>
        <v/>
      </c>
      <c r="O361" s="29" t="str">
        <f aca="false">IF(OR($M361="",$M361="Closed",$M361="Unmapped"),"",INDEX(StageStale,MATCH($M361,StageName,0)))</f>
        <v/>
      </c>
      <c r="P361" s="29" t="str">
        <f aca="false">IF($A361="","",IF($M361="Closed","Closed",IF($J361="Y","Critical",IF(AND($I361&lt;&gt;"",$I361&lt;AsOf),"Critical",IF($M361="Unmapped","Warning",IF($N361&gt;2*$O361,"Critical",IF($N361&gt;$O361,"Warning","On track")))))))</f>
        <v/>
      </c>
      <c r="Q361" s="29" t="str">
        <f aca="false">IF(OR($P361="",$P361="Closed",$P361="On track"),"",IF($J361="Y","Flagged as an impediment",IF(AND($I361&lt;&gt;"",$I361&lt;AsOf),"Past due since "&amp;TEXT($I361,"yyyy-mm-dd"),IF($M361="Unmapped","Status '"&amp;$C361&amp;"' is not in the Config map","No update in "&amp;$N361&amp;" days (limit "&amp;$O361&amp;")"))))</f>
        <v/>
      </c>
      <c r="R361" s="29" t="str">
        <f aca="false">IF(OR($P361="",$P361="Closed",$P361="On track"),"",IF($P361="Critical",3000,2000)+$N361+ROW()/100000)</f>
        <v/>
      </c>
      <c r="S361" s="29" t="str">
        <f aca="false">IF($R361="","","draft Jira update for "&amp;$A361)</f>
        <v/>
      </c>
      <c r="T361" s="29" t="str">
        <f aca="false">IF($A361="","",HYPERLINK(JiraSite&amp;"/browse/"&amp;$A361,"open"))</f>
        <v/>
      </c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7"/>
      <c r="H362" s="27"/>
      <c r="I362" s="27"/>
      <c r="J362" s="24"/>
      <c r="K362" s="24"/>
      <c r="L362" s="24"/>
      <c r="M362" s="29" t="str">
        <f aca="false">IF($A362="","",IFERROR(INDEX(MapStage,MATCH($C362,MapStatus,0)),"Unmapped"))</f>
        <v/>
      </c>
      <c r="N362" s="29" t="str">
        <f aca="false">IF($A362="","",AsOf-$H362)</f>
        <v/>
      </c>
      <c r="O362" s="29" t="str">
        <f aca="false">IF(OR($M362="",$M362="Closed",$M362="Unmapped"),"",INDEX(StageStale,MATCH($M362,StageName,0)))</f>
        <v/>
      </c>
      <c r="P362" s="29" t="str">
        <f aca="false">IF($A362="","",IF($M362="Closed","Closed",IF($J362="Y","Critical",IF(AND($I362&lt;&gt;"",$I362&lt;AsOf),"Critical",IF($M362="Unmapped","Warning",IF($N362&gt;2*$O362,"Critical",IF($N362&gt;$O362,"Warning","On track")))))))</f>
        <v/>
      </c>
      <c r="Q362" s="29" t="str">
        <f aca="false">IF(OR($P362="",$P362="Closed",$P362="On track"),"",IF($J362="Y","Flagged as an impediment",IF(AND($I362&lt;&gt;"",$I362&lt;AsOf),"Past due since "&amp;TEXT($I362,"yyyy-mm-dd"),IF($M362="Unmapped","Status '"&amp;$C362&amp;"' is not in the Config map","No update in "&amp;$N362&amp;" days (limit "&amp;$O362&amp;")"))))</f>
        <v/>
      </c>
      <c r="R362" s="29" t="str">
        <f aca="false">IF(OR($P362="",$P362="Closed",$P362="On track"),"",IF($P362="Critical",3000,2000)+$N362+ROW()/100000)</f>
        <v/>
      </c>
      <c r="S362" s="29" t="str">
        <f aca="false">IF($R362="","","draft Jira update for "&amp;$A362)</f>
        <v/>
      </c>
      <c r="T362" s="29" t="str">
        <f aca="false">IF($A362="","",HYPERLINK(JiraSite&amp;"/browse/"&amp;$A362,"open"))</f>
        <v/>
      </c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7"/>
      <c r="H363" s="27"/>
      <c r="I363" s="27"/>
      <c r="J363" s="24"/>
      <c r="K363" s="24"/>
      <c r="L363" s="24"/>
      <c r="M363" s="29" t="str">
        <f aca="false">IF($A363="","",IFERROR(INDEX(MapStage,MATCH($C363,MapStatus,0)),"Unmapped"))</f>
        <v/>
      </c>
      <c r="N363" s="29" t="str">
        <f aca="false">IF($A363="","",AsOf-$H363)</f>
        <v/>
      </c>
      <c r="O363" s="29" t="str">
        <f aca="false">IF(OR($M363="",$M363="Closed",$M363="Unmapped"),"",INDEX(StageStale,MATCH($M363,StageName,0)))</f>
        <v/>
      </c>
      <c r="P363" s="29" t="str">
        <f aca="false">IF($A363="","",IF($M363="Closed","Closed",IF($J363="Y","Critical",IF(AND($I363&lt;&gt;"",$I363&lt;AsOf),"Critical",IF($M363="Unmapped","Warning",IF($N363&gt;2*$O363,"Critical",IF($N363&gt;$O363,"Warning","On track")))))))</f>
        <v/>
      </c>
      <c r="Q363" s="29" t="str">
        <f aca="false">IF(OR($P363="",$P363="Closed",$P363="On track"),"",IF($J363="Y","Flagged as an impediment",IF(AND($I363&lt;&gt;"",$I363&lt;AsOf),"Past due since "&amp;TEXT($I363,"yyyy-mm-dd"),IF($M363="Unmapped","Status '"&amp;$C363&amp;"' is not in the Config map","No update in "&amp;$N363&amp;" days (limit "&amp;$O363&amp;")"))))</f>
        <v/>
      </c>
      <c r="R363" s="29" t="str">
        <f aca="false">IF(OR($P363="",$P363="Closed",$P363="On track"),"",IF($P363="Critical",3000,2000)+$N363+ROW()/100000)</f>
        <v/>
      </c>
      <c r="S363" s="29" t="str">
        <f aca="false">IF($R363="","","draft Jira update for "&amp;$A363)</f>
        <v/>
      </c>
      <c r="T363" s="29" t="str">
        <f aca="false">IF($A363="","",HYPERLINK(JiraSite&amp;"/browse/"&amp;$A363,"open"))</f>
        <v/>
      </c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7"/>
      <c r="H364" s="27"/>
      <c r="I364" s="27"/>
      <c r="J364" s="24"/>
      <c r="K364" s="24"/>
      <c r="L364" s="24"/>
      <c r="M364" s="29" t="str">
        <f aca="false">IF($A364="","",IFERROR(INDEX(MapStage,MATCH($C364,MapStatus,0)),"Unmapped"))</f>
        <v/>
      </c>
      <c r="N364" s="29" t="str">
        <f aca="false">IF($A364="","",AsOf-$H364)</f>
        <v/>
      </c>
      <c r="O364" s="29" t="str">
        <f aca="false">IF(OR($M364="",$M364="Closed",$M364="Unmapped"),"",INDEX(StageStale,MATCH($M364,StageName,0)))</f>
        <v/>
      </c>
      <c r="P364" s="29" t="str">
        <f aca="false">IF($A364="","",IF($M364="Closed","Closed",IF($J364="Y","Critical",IF(AND($I364&lt;&gt;"",$I364&lt;AsOf),"Critical",IF($M364="Unmapped","Warning",IF($N364&gt;2*$O364,"Critical",IF($N364&gt;$O364,"Warning","On track")))))))</f>
        <v/>
      </c>
      <c r="Q364" s="29" t="str">
        <f aca="false">IF(OR($P364="",$P364="Closed",$P364="On track"),"",IF($J364="Y","Flagged as an impediment",IF(AND($I364&lt;&gt;"",$I364&lt;AsOf),"Past due since "&amp;TEXT($I364,"yyyy-mm-dd"),IF($M364="Unmapped","Status '"&amp;$C364&amp;"' is not in the Config map","No update in "&amp;$N364&amp;" days (limit "&amp;$O364&amp;")"))))</f>
        <v/>
      </c>
      <c r="R364" s="29" t="str">
        <f aca="false">IF(OR($P364="",$P364="Closed",$P364="On track"),"",IF($P364="Critical",3000,2000)+$N364+ROW()/100000)</f>
        <v/>
      </c>
      <c r="S364" s="29" t="str">
        <f aca="false">IF($R364="","","draft Jira update for "&amp;$A364)</f>
        <v/>
      </c>
      <c r="T364" s="29" t="str">
        <f aca="false">IF($A364="","",HYPERLINK(JiraSite&amp;"/browse/"&amp;$A364,"open"))</f>
        <v/>
      </c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7"/>
      <c r="H365" s="27"/>
      <c r="I365" s="27"/>
      <c r="J365" s="24"/>
      <c r="K365" s="24"/>
      <c r="L365" s="24"/>
      <c r="M365" s="29" t="str">
        <f aca="false">IF($A365="","",IFERROR(INDEX(MapStage,MATCH($C365,MapStatus,0)),"Unmapped"))</f>
        <v/>
      </c>
      <c r="N365" s="29" t="str">
        <f aca="false">IF($A365="","",AsOf-$H365)</f>
        <v/>
      </c>
      <c r="O365" s="29" t="str">
        <f aca="false">IF(OR($M365="",$M365="Closed",$M365="Unmapped"),"",INDEX(StageStale,MATCH($M365,StageName,0)))</f>
        <v/>
      </c>
      <c r="P365" s="29" t="str">
        <f aca="false">IF($A365="","",IF($M365="Closed","Closed",IF($J365="Y","Critical",IF(AND($I365&lt;&gt;"",$I365&lt;AsOf),"Critical",IF($M365="Unmapped","Warning",IF($N365&gt;2*$O365,"Critical",IF($N365&gt;$O365,"Warning","On track")))))))</f>
        <v/>
      </c>
      <c r="Q365" s="29" t="str">
        <f aca="false">IF(OR($P365="",$P365="Closed",$P365="On track"),"",IF($J365="Y","Flagged as an impediment",IF(AND($I365&lt;&gt;"",$I365&lt;AsOf),"Past due since "&amp;TEXT($I365,"yyyy-mm-dd"),IF($M365="Unmapped","Status '"&amp;$C365&amp;"' is not in the Config map","No update in "&amp;$N365&amp;" days (limit "&amp;$O365&amp;")"))))</f>
        <v/>
      </c>
      <c r="R365" s="29" t="str">
        <f aca="false">IF(OR($P365="",$P365="Closed",$P365="On track"),"",IF($P365="Critical",3000,2000)+$N365+ROW()/100000)</f>
        <v/>
      </c>
      <c r="S365" s="29" t="str">
        <f aca="false">IF($R365="","","draft Jira update for "&amp;$A365)</f>
        <v/>
      </c>
      <c r="T365" s="29" t="str">
        <f aca="false">IF($A365="","",HYPERLINK(JiraSite&amp;"/browse/"&amp;$A365,"open"))</f>
        <v/>
      </c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7"/>
      <c r="H366" s="27"/>
      <c r="I366" s="27"/>
      <c r="J366" s="24"/>
      <c r="K366" s="24"/>
      <c r="L366" s="24"/>
      <c r="M366" s="29" t="str">
        <f aca="false">IF($A366="","",IFERROR(INDEX(MapStage,MATCH($C366,MapStatus,0)),"Unmapped"))</f>
        <v/>
      </c>
      <c r="N366" s="29" t="str">
        <f aca="false">IF($A366="","",AsOf-$H366)</f>
        <v/>
      </c>
      <c r="O366" s="29" t="str">
        <f aca="false">IF(OR($M366="",$M366="Closed",$M366="Unmapped"),"",INDEX(StageStale,MATCH($M366,StageName,0)))</f>
        <v/>
      </c>
      <c r="P366" s="29" t="str">
        <f aca="false">IF($A366="","",IF($M366="Closed","Closed",IF($J366="Y","Critical",IF(AND($I366&lt;&gt;"",$I366&lt;AsOf),"Critical",IF($M366="Unmapped","Warning",IF($N366&gt;2*$O366,"Critical",IF($N366&gt;$O366,"Warning","On track")))))))</f>
        <v/>
      </c>
      <c r="Q366" s="29" t="str">
        <f aca="false">IF(OR($P366="",$P366="Closed",$P366="On track"),"",IF($J366="Y","Flagged as an impediment",IF(AND($I366&lt;&gt;"",$I366&lt;AsOf),"Past due since "&amp;TEXT($I366,"yyyy-mm-dd"),IF($M366="Unmapped","Status '"&amp;$C366&amp;"' is not in the Config map","No update in "&amp;$N366&amp;" days (limit "&amp;$O366&amp;")"))))</f>
        <v/>
      </c>
      <c r="R366" s="29" t="str">
        <f aca="false">IF(OR($P366="",$P366="Closed",$P366="On track"),"",IF($P366="Critical",3000,2000)+$N366+ROW()/100000)</f>
        <v/>
      </c>
      <c r="S366" s="29" t="str">
        <f aca="false">IF($R366="","","draft Jira update for "&amp;$A366)</f>
        <v/>
      </c>
      <c r="T366" s="29" t="str">
        <f aca="false">IF($A366="","",HYPERLINK(JiraSite&amp;"/browse/"&amp;$A366,"open"))</f>
        <v/>
      </c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7"/>
      <c r="H367" s="27"/>
      <c r="I367" s="27"/>
      <c r="J367" s="24"/>
      <c r="K367" s="24"/>
      <c r="L367" s="24"/>
      <c r="M367" s="29" t="str">
        <f aca="false">IF($A367="","",IFERROR(INDEX(MapStage,MATCH($C367,MapStatus,0)),"Unmapped"))</f>
        <v/>
      </c>
      <c r="N367" s="29" t="str">
        <f aca="false">IF($A367="","",AsOf-$H367)</f>
        <v/>
      </c>
      <c r="O367" s="29" t="str">
        <f aca="false">IF(OR($M367="",$M367="Closed",$M367="Unmapped"),"",INDEX(StageStale,MATCH($M367,StageName,0)))</f>
        <v/>
      </c>
      <c r="P367" s="29" t="str">
        <f aca="false">IF($A367="","",IF($M367="Closed","Closed",IF($J367="Y","Critical",IF(AND($I367&lt;&gt;"",$I367&lt;AsOf),"Critical",IF($M367="Unmapped","Warning",IF($N367&gt;2*$O367,"Critical",IF($N367&gt;$O367,"Warning","On track")))))))</f>
        <v/>
      </c>
      <c r="Q367" s="29" t="str">
        <f aca="false">IF(OR($P367="",$P367="Closed",$P367="On track"),"",IF($J367="Y","Flagged as an impediment",IF(AND($I367&lt;&gt;"",$I367&lt;AsOf),"Past due since "&amp;TEXT($I367,"yyyy-mm-dd"),IF($M367="Unmapped","Status '"&amp;$C367&amp;"' is not in the Config map","No update in "&amp;$N367&amp;" days (limit "&amp;$O367&amp;")"))))</f>
        <v/>
      </c>
      <c r="R367" s="29" t="str">
        <f aca="false">IF(OR($P367="",$P367="Closed",$P367="On track"),"",IF($P367="Critical",3000,2000)+$N367+ROW()/100000)</f>
        <v/>
      </c>
      <c r="S367" s="29" t="str">
        <f aca="false">IF($R367="","","draft Jira update for "&amp;$A367)</f>
        <v/>
      </c>
      <c r="T367" s="29" t="str">
        <f aca="false">IF($A367="","",HYPERLINK(JiraSite&amp;"/browse/"&amp;$A367,"open"))</f>
        <v/>
      </c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7"/>
      <c r="H368" s="27"/>
      <c r="I368" s="27"/>
      <c r="J368" s="24"/>
      <c r="K368" s="24"/>
      <c r="L368" s="24"/>
      <c r="M368" s="29" t="str">
        <f aca="false">IF($A368="","",IFERROR(INDEX(MapStage,MATCH($C368,MapStatus,0)),"Unmapped"))</f>
        <v/>
      </c>
      <c r="N368" s="29" t="str">
        <f aca="false">IF($A368="","",AsOf-$H368)</f>
        <v/>
      </c>
      <c r="O368" s="29" t="str">
        <f aca="false">IF(OR($M368="",$M368="Closed",$M368="Unmapped"),"",INDEX(StageStale,MATCH($M368,StageName,0)))</f>
        <v/>
      </c>
      <c r="P368" s="29" t="str">
        <f aca="false">IF($A368="","",IF($M368="Closed","Closed",IF($J368="Y","Critical",IF(AND($I368&lt;&gt;"",$I368&lt;AsOf),"Critical",IF($M368="Unmapped","Warning",IF($N368&gt;2*$O368,"Critical",IF($N368&gt;$O368,"Warning","On track")))))))</f>
        <v/>
      </c>
      <c r="Q368" s="29" t="str">
        <f aca="false">IF(OR($P368="",$P368="Closed",$P368="On track"),"",IF($J368="Y","Flagged as an impediment",IF(AND($I368&lt;&gt;"",$I368&lt;AsOf),"Past due since "&amp;TEXT($I368,"yyyy-mm-dd"),IF($M368="Unmapped","Status '"&amp;$C368&amp;"' is not in the Config map","No update in "&amp;$N368&amp;" days (limit "&amp;$O368&amp;")"))))</f>
        <v/>
      </c>
      <c r="R368" s="29" t="str">
        <f aca="false">IF(OR($P368="",$P368="Closed",$P368="On track"),"",IF($P368="Critical",3000,2000)+$N368+ROW()/100000)</f>
        <v/>
      </c>
      <c r="S368" s="29" t="str">
        <f aca="false">IF($R368="","","draft Jira update for "&amp;$A368)</f>
        <v/>
      </c>
      <c r="T368" s="29" t="str">
        <f aca="false">IF($A368="","",HYPERLINK(JiraSite&amp;"/browse/"&amp;$A368,"open"))</f>
        <v/>
      </c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7"/>
      <c r="H369" s="27"/>
      <c r="I369" s="27"/>
      <c r="J369" s="24"/>
      <c r="K369" s="24"/>
      <c r="L369" s="24"/>
      <c r="M369" s="29" t="str">
        <f aca="false">IF($A369="","",IFERROR(INDEX(MapStage,MATCH($C369,MapStatus,0)),"Unmapped"))</f>
        <v/>
      </c>
      <c r="N369" s="29" t="str">
        <f aca="false">IF($A369="","",AsOf-$H369)</f>
        <v/>
      </c>
      <c r="O369" s="29" t="str">
        <f aca="false">IF(OR($M369="",$M369="Closed",$M369="Unmapped"),"",INDEX(StageStale,MATCH($M369,StageName,0)))</f>
        <v/>
      </c>
      <c r="P369" s="29" t="str">
        <f aca="false">IF($A369="","",IF($M369="Closed","Closed",IF($J369="Y","Critical",IF(AND($I369&lt;&gt;"",$I369&lt;AsOf),"Critical",IF($M369="Unmapped","Warning",IF($N369&gt;2*$O369,"Critical",IF($N369&gt;$O369,"Warning","On track")))))))</f>
        <v/>
      </c>
      <c r="Q369" s="29" t="str">
        <f aca="false">IF(OR($P369="",$P369="Closed",$P369="On track"),"",IF($J369="Y","Flagged as an impediment",IF(AND($I369&lt;&gt;"",$I369&lt;AsOf),"Past due since "&amp;TEXT($I369,"yyyy-mm-dd"),IF($M369="Unmapped","Status '"&amp;$C369&amp;"' is not in the Config map","No update in "&amp;$N369&amp;" days (limit "&amp;$O369&amp;")"))))</f>
        <v/>
      </c>
      <c r="R369" s="29" t="str">
        <f aca="false">IF(OR($P369="",$P369="Closed",$P369="On track"),"",IF($P369="Critical",3000,2000)+$N369+ROW()/100000)</f>
        <v/>
      </c>
      <c r="S369" s="29" t="str">
        <f aca="false">IF($R369="","","draft Jira update for "&amp;$A369)</f>
        <v/>
      </c>
      <c r="T369" s="29" t="str">
        <f aca="false">IF($A369="","",HYPERLINK(JiraSite&amp;"/browse/"&amp;$A369,"open"))</f>
        <v/>
      </c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7"/>
      <c r="H370" s="27"/>
      <c r="I370" s="27"/>
      <c r="J370" s="24"/>
      <c r="K370" s="24"/>
      <c r="L370" s="24"/>
      <c r="M370" s="29" t="str">
        <f aca="false">IF($A370="","",IFERROR(INDEX(MapStage,MATCH($C370,MapStatus,0)),"Unmapped"))</f>
        <v/>
      </c>
      <c r="N370" s="29" t="str">
        <f aca="false">IF($A370="","",AsOf-$H370)</f>
        <v/>
      </c>
      <c r="O370" s="29" t="str">
        <f aca="false">IF(OR($M370="",$M370="Closed",$M370="Unmapped"),"",INDEX(StageStale,MATCH($M370,StageName,0)))</f>
        <v/>
      </c>
      <c r="P370" s="29" t="str">
        <f aca="false">IF($A370="","",IF($M370="Closed","Closed",IF($J370="Y","Critical",IF(AND($I370&lt;&gt;"",$I370&lt;AsOf),"Critical",IF($M370="Unmapped","Warning",IF($N370&gt;2*$O370,"Critical",IF($N370&gt;$O370,"Warning","On track")))))))</f>
        <v/>
      </c>
      <c r="Q370" s="29" t="str">
        <f aca="false">IF(OR($P370="",$P370="Closed",$P370="On track"),"",IF($J370="Y","Flagged as an impediment",IF(AND($I370&lt;&gt;"",$I370&lt;AsOf),"Past due since "&amp;TEXT($I370,"yyyy-mm-dd"),IF($M370="Unmapped","Status '"&amp;$C370&amp;"' is not in the Config map","No update in "&amp;$N370&amp;" days (limit "&amp;$O370&amp;")"))))</f>
        <v/>
      </c>
      <c r="R370" s="29" t="str">
        <f aca="false">IF(OR($P370="",$P370="Closed",$P370="On track"),"",IF($P370="Critical",3000,2000)+$N370+ROW()/100000)</f>
        <v/>
      </c>
      <c r="S370" s="29" t="str">
        <f aca="false">IF($R370="","","draft Jira update for "&amp;$A370)</f>
        <v/>
      </c>
      <c r="T370" s="29" t="str">
        <f aca="false">IF($A370="","",HYPERLINK(JiraSite&amp;"/browse/"&amp;$A370,"open"))</f>
        <v/>
      </c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7"/>
      <c r="H371" s="27"/>
      <c r="I371" s="27"/>
      <c r="J371" s="24"/>
      <c r="K371" s="24"/>
      <c r="L371" s="24"/>
      <c r="M371" s="29" t="str">
        <f aca="false">IF($A371="","",IFERROR(INDEX(MapStage,MATCH($C371,MapStatus,0)),"Unmapped"))</f>
        <v/>
      </c>
      <c r="N371" s="29" t="str">
        <f aca="false">IF($A371="","",AsOf-$H371)</f>
        <v/>
      </c>
      <c r="O371" s="29" t="str">
        <f aca="false">IF(OR($M371="",$M371="Closed",$M371="Unmapped"),"",INDEX(StageStale,MATCH($M371,StageName,0)))</f>
        <v/>
      </c>
      <c r="P371" s="29" t="str">
        <f aca="false">IF($A371="","",IF($M371="Closed","Closed",IF($J371="Y","Critical",IF(AND($I371&lt;&gt;"",$I371&lt;AsOf),"Critical",IF($M371="Unmapped","Warning",IF($N371&gt;2*$O371,"Critical",IF($N371&gt;$O371,"Warning","On track")))))))</f>
        <v/>
      </c>
      <c r="Q371" s="29" t="str">
        <f aca="false">IF(OR($P371="",$P371="Closed",$P371="On track"),"",IF($J371="Y","Flagged as an impediment",IF(AND($I371&lt;&gt;"",$I371&lt;AsOf),"Past due since "&amp;TEXT($I371,"yyyy-mm-dd"),IF($M371="Unmapped","Status '"&amp;$C371&amp;"' is not in the Config map","No update in "&amp;$N371&amp;" days (limit "&amp;$O371&amp;")"))))</f>
        <v/>
      </c>
      <c r="R371" s="29" t="str">
        <f aca="false">IF(OR($P371="",$P371="Closed",$P371="On track"),"",IF($P371="Critical",3000,2000)+$N371+ROW()/100000)</f>
        <v/>
      </c>
      <c r="S371" s="29" t="str">
        <f aca="false">IF($R371="","","draft Jira update for "&amp;$A371)</f>
        <v/>
      </c>
      <c r="T371" s="29" t="str">
        <f aca="false">IF($A371="","",HYPERLINK(JiraSite&amp;"/browse/"&amp;$A371,"open"))</f>
        <v/>
      </c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7"/>
      <c r="H372" s="27"/>
      <c r="I372" s="27"/>
      <c r="J372" s="24"/>
      <c r="K372" s="24"/>
      <c r="L372" s="24"/>
      <c r="M372" s="29" t="str">
        <f aca="false">IF($A372="","",IFERROR(INDEX(MapStage,MATCH($C372,MapStatus,0)),"Unmapped"))</f>
        <v/>
      </c>
      <c r="N372" s="29" t="str">
        <f aca="false">IF($A372="","",AsOf-$H372)</f>
        <v/>
      </c>
      <c r="O372" s="29" t="str">
        <f aca="false">IF(OR($M372="",$M372="Closed",$M372="Unmapped"),"",INDEX(StageStale,MATCH($M372,StageName,0)))</f>
        <v/>
      </c>
      <c r="P372" s="29" t="str">
        <f aca="false">IF($A372="","",IF($M372="Closed","Closed",IF($J372="Y","Critical",IF(AND($I372&lt;&gt;"",$I372&lt;AsOf),"Critical",IF($M372="Unmapped","Warning",IF($N372&gt;2*$O372,"Critical",IF($N372&gt;$O372,"Warning","On track")))))))</f>
        <v/>
      </c>
      <c r="Q372" s="29" t="str">
        <f aca="false">IF(OR($P372="",$P372="Closed",$P372="On track"),"",IF($J372="Y","Flagged as an impediment",IF(AND($I372&lt;&gt;"",$I372&lt;AsOf),"Past due since "&amp;TEXT($I372,"yyyy-mm-dd"),IF($M372="Unmapped","Status '"&amp;$C372&amp;"' is not in the Config map","No update in "&amp;$N372&amp;" days (limit "&amp;$O372&amp;")"))))</f>
        <v/>
      </c>
      <c r="R372" s="29" t="str">
        <f aca="false">IF(OR($P372="",$P372="Closed",$P372="On track"),"",IF($P372="Critical",3000,2000)+$N372+ROW()/100000)</f>
        <v/>
      </c>
      <c r="S372" s="29" t="str">
        <f aca="false">IF($R372="","","draft Jira update for "&amp;$A372)</f>
        <v/>
      </c>
      <c r="T372" s="29" t="str">
        <f aca="false">IF($A372="","",HYPERLINK(JiraSite&amp;"/browse/"&amp;$A372,"open"))</f>
        <v/>
      </c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7"/>
      <c r="H373" s="27"/>
      <c r="I373" s="27"/>
      <c r="J373" s="24"/>
      <c r="K373" s="24"/>
      <c r="L373" s="24"/>
      <c r="M373" s="29" t="str">
        <f aca="false">IF($A373="","",IFERROR(INDEX(MapStage,MATCH($C373,MapStatus,0)),"Unmapped"))</f>
        <v/>
      </c>
      <c r="N373" s="29" t="str">
        <f aca="false">IF($A373="","",AsOf-$H373)</f>
        <v/>
      </c>
      <c r="O373" s="29" t="str">
        <f aca="false">IF(OR($M373="",$M373="Closed",$M373="Unmapped"),"",INDEX(StageStale,MATCH($M373,StageName,0)))</f>
        <v/>
      </c>
      <c r="P373" s="29" t="str">
        <f aca="false">IF($A373="","",IF($M373="Closed","Closed",IF($J373="Y","Critical",IF(AND($I373&lt;&gt;"",$I373&lt;AsOf),"Critical",IF($M373="Unmapped","Warning",IF($N373&gt;2*$O373,"Critical",IF($N373&gt;$O373,"Warning","On track")))))))</f>
        <v/>
      </c>
      <c r="Q373" s="29" t="str">
        <f aca="false">IF(OR($P373="",$P373="Closed",$P373="On track"),"",IF($J373="Y","Flagged as an impediment",IF(AND($I373&lt;&gt;"",$I373&lt;AsOf),"Past due since "&amp;TEXT($I373,"yyyy-mm-dd"),IF($M373="Unmapped","Status '"&amp;$C373&amp;"' is not in the Config map","No update in "&amp;$N373&amp;" days (limit "&amp;$O373&amp;")"))))</f>
        <v/>
      </c>
      <c r="R373" s="29" t="str">
        <f aca="false">IF(OR($P373="",$P373="Closed",$P373="On track"),"",IF($P373="Critical",3000,2000)+$N373+ROW()/100000)</f>
        <v/>
      </c>
      <c r="S373" s="29" t="str">
        <f aca="false">IF($R373="","","draft Jira update for "&amp;$A373)</f>
        <v/>
      </c>
      <c r="T373" s="29" t="str">
        <f aca="false">IF($A373="","",HYPERLINK(JiraSite&amp;"/browse/"&amp;$A373,"open"))</f>
        <v/>
      </c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7"/>
      <c r="H374" s="27"/>
      <c r="I374" s="27"/>
      <c r="J374" s="24"/>
      <c r="K374" s="24"/>
      <c r="L374" s="24"/>
      <c r="M374" s="29" t="str">
        <f aca="false">IF($A374="","",IFERROR(INDEX(MapStage,MATCH($C374,MapStatus,0)),"Unmapped"))</f>
        <v/>
      </c>
      <c r="N374" s="29" t="str">
        <f aca="false">IF($A374="","",AsOf-$H374)</f>
        <v/>
      </c>
      <c r="O374" s="29" t="str">
        <f aca="false">IF(OR($M374="",$M374="Closed",$M374="Unmapped"),"",INDEX(StageStale,MATCH($M374,StageName,0)))</f>
        <v/>
      </c>
      <c r="P374" s="29" t="str">
        <f aca="false">IF($A374="","",IF($M374="Closed","Closed",IF($J374="Y","Critical",IF(AND($I374&lt;&gt;"",$I374&lt;AsOf),"Critical",IF($M374="Unmapped","Warning",IF($N374&gt;2*$O374,"Critical",IF($N374&gt;$O374,"Warning","On track")))))))</f>
        <v/>
      </c>
      <c r="Q374" s="29" t="str">
        <f aca="false">IF(OR($P374="",$P374="Closed",$P374="On track"),"",IF($J374="Y","Flagged as an impediment",IF(AND($I374&lt;&gt;"",$I374&lt;AsOf),"Past due since "&amp;TEXT($I374,"yyyy-mm-dd"),IF($M374="Unmapped","Status '"&amp;$C374&amp;"' is not in the Config map","No update in "&amp;$N374&amp;" days (limit "&amp;$O374&amp;")"))))</f>
        <v/>
      </c>
      <c r="R374" s="29" t="str">
        <f aca="false">IF(OR($P374="",$P374="Closed",$P374="On track"),"",IF($P374="Critical",3000,2000)+$N374+ROW()/100000)</f>
        <v/>
      </c>
      <c r="S374" s="29" t="str">
        <f aca="false">IF($R374="","","draft Jira update for "&amp;$A374)</f>
        <v/>
      </c>
      <c r="T374" s="29" t="str">
        <f aca="false">IF($A374="","",HYPERLINK(JiraSite&amp;"/browse/"&amp;$A374,"open"))</f>
        <v/>
      </c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7"/>
      <c r="H375" s="27"/>
      <c r="I375" s="27"/>
      <c r="J375" s="24"/>
      <c r="K375" s="24"/>
      <c r="L375" s="24"/>
      <c r="M375" s="29" t="str">
        <f aca="false">IF($A375="","",IFERROR(INDEX(MapStage,MATCH($C375,MapStatus,0)),"Unmapped"))</f>
        <v/>
      </c>
      <c r="N375" s="29" t="str">
        <f aca="false">IF($A375="","",AsOf-$H375)</f>
        <v/>
      </c>
      <c r="O375" s="29" t="str">
        <f aca="false">IF(OR($M375="",$M375="Closed",$M375="Unmapped"),"",INDEX(StageStale,MATCH($M375,StageName,0)))</f>
        <v/>
      </c>
      <c r="P375" s="29" t="str">
        <f aca="false">IF($A375="","",IF($M375="Closed","Closed",IF($J375="Y","Critical",IF(AND($I375&lt;&gt;"",$I375&lt;AsOf),"Critical",IF($M375="Unmapped","Warning",IF($N375&gt;2*$O375,"Critical",IF($N375&gt;$O375,"Warning","On track")))))))</f>
        <v/>
      </c>
      <c r="Q375" s="29" t="str">
        <f aca="false">IF(OR($P375="",$P375="Closed",$P375="On track"),"",IF($J375="Y","Flagged as an impediment",IF(AND($I375&lt;&gt;"",$I375&lt;AsOf),"Past due since "&amp;TEXT($I375,"yyyy-mm-dd"),IF($M375="Unmapped","Status '"&amp;$C375&amp;"' is not in the Config map","No update in "&amp;$N375&amp;" days (limit "&amp;$O375&amp;")"))))</f>
        <v/>
      </c>
      <c r="R375" s="29" t="str">
        <f aca="false">IF(OR($P375="",$P375="Closed",$P375="On track"),"",IF($P375="Critical",3000,2000)+$N375+ROW()/100000)</f>
        <v/>
      </c>
      <c r="S375" s="29" t="str">
        <f aca="false">IF($R375="","","draft Jira update for "&amp;$A375)</f>
        <v/>
      </c>
      <c r="T375" s="29" t="str">
        <f aca="false">IF($A375="","",HYPERLINK(JiraSite&amp;"/browse/"&amp;$A375,"open"))</f>
        <v/>
      </c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7"/>
      <c r="H376" s="27"/>
      <c r="I376" s="27"/>
      <c r="J376" s="24"/>
      <c r="K376" s="24"/>
      <c r="L376" s="24"/>
      <c r="M376" s="29" t="str">
        <f aca="false">IF($A376="","",IFERROR(INDEX(MapStage,MATCH($C376,MapStatus,0)),"Unmapped"))</f>
        <v/>
      </c>
      <c r="N376" s="29" t="str">
        <f aca="false">IF($A376="","",AsOf-$H376)</f>
        <v/>
      </c>
      <c r="O376" s="29" t="str">
        <f aca="false">IF(OR($M376="",$M376="Closed",$M376="Unmapped"),"",INDEX(StageStale,MATCH($M376,StageName,0)))</f>
        <v/>
      </c>
      <c r="P376" s="29" t="str">
        <f aca="false">IF($A376="","",IF($M376="Closed","Closed",IF($J376="Y","Critical",IF(AND($I376&lt;&gt;"",$I376&lt;AsOf),"Critical",IF($M376="Unmapped","Warning",IF($N376&gt;2*$O376,"Critical",IF($N376&gt;$O376,"Warning","On track")))))))</f>
        <v/>
      </c>
      <c r="Q376" s="29" t="str">
        <f aca="false">IF(OR($P376="",$P376="Closed",$P376="On track"),"",IF($J376="Y","Flagged as an impediment",IF(AND($I376&lt;&gt;"",$I376&lt;AsOf),"Past due since "&amp;TEXT($I376,"yyyy-mm-dd"),IF($M376="Unmapped","Status '"&amp;$C376&amp;"' is not in the Config map","No update in "&amp;$N376&amp;" days (limit "&amp;$O376&amp;")"))))</f>
        <v/>
      </c>
      <c r="R376" s="29" t="str">
        <f aca="false">IF(OR($P376="",$P376="Closed",$P376="On track"),"",IF($P376="Critical",3000,2000)+$N376+ROW()/100000)</f>
        <v/>
      </c>
      <c r="S376" s="29" t="str">
        <f aca="false">IF($R376="","","draft Jira update for "&amp;$A376)</f>
        <v/>
      </c>
      <c r="T376" s="29" t="str">
        <f aca="false">IF($A376="","",HYPERLINK(JiraSite&amp;"/browse/"&amp;$A376,"open"))</f>
        <v/>
      </c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7"/>
      <c r="H377" s="27"/>
      <c r="I377" s="27"/>
      <c r="J377" s="24"/>
      <c r="K377" s="24"/>
      <c r="L377" s="24"/>
      <c r="M377" s="29" t="str">
        <f aca="false">IF($A377="","",IFERROR(INDEX(MapStage,MATCH($C377,MapStatus,0)),"Unmapped"))</f>
        <v/>
      </c>
      <c r="N377" s="29" t="str">
        <f aca="false">IF($A377="","",AsOf-$H377)</f>
        <v/>
      </c>
      <c r="O377" s="29" t="str">
        <f aca="false">IF(OR($M377="",$M377="Closed",$M377="Unmapped"),"",INDEX(StageStale,MATCH($M377,StageName,0)))</f>
        <v/>
      </c>
      <c r="P377" s="29" t="str">
        <f aca="false">IF($A377="","",IF($M377="Closed","Closed",IF($J377="Y","Critical",IF(AND($I377&lt;&gt;"",$I377&lt;AsOf),"Critical",IF($M377="Unmapped","Warning",IF($N377&gt;2*$O377,"Critical",IF($N377&gt;$O377,"Warning","On track")))))))</f>
        <v/>
      </c>
      <c r="Q377" s="29" t="str">
        <f aca="false">IF(OR($P377="",$P377="Closed",$P377="On track"),"",IF($J377="Y","Flagged as an impediment",IF(AND($I377&lt;&gt;"",$I377&lt;AsOf),"Past due since "&amp;TEXT($I377,"yyyy-mm-dd"),IF($M377="Unmapped","Status '"&amp;$C377&amp;"' is not in the Config map","No update in "&amp;$N377&amp;" days (limit "&amp;$O377&amp;")"))))</f>
        <v/>
      </c>
      <c r="R377" s="29" t="str">
        <f aca="false">IF(OR($P377="",$P377="Closed",$P377="On track"),"",IF($P377="Critical",3000,2000)+$N377+ROW()/100000)</f>
        <v/>
      </c>
      <c r="S377" s="29" t="str">
        <f aca="false">IF($R377="","","draft Jira update for "&amp;$A377)</f>
        <v/>
      </c>
      <c r="T377" s="29" t="str">
        <f aca="false">IF($A377="","",HYPERLINK(JiraSite&amp;"/browse/"&amp;$A377,"open"))</f>
        <v/>
      </c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7"/>
      <c r="H378" s="27"/>
      <c r="I378" s="27"/>
      <c r="J378" s="24"/>
      <c r="K378" s="24"/>
      <c r="L378" s="24"/>
      <c r="M378" s="29" t="str">
        <f aca="false">IF($A378="","",IFERROR(INDEX(MapStage,MATCH($C378,MapStatus,0)),"Unmapped"))</f>
        <v/>
      </c>
      <c r="N378" s="29" t="str">
        <f aca="false">IF($A378="","",AsOf-$H378)</f>
        <v/>
      </c>
      <c r="O378" s="29" t="str">
        <f aca="false">IF(OR($M378="",$M378="Closed",$M378="Unmapped"),"",INDEX(StageStale,MATCH($M378,StageName,0)))</f>
        <v/>
      </c>
      <c r="P378" s="29" t="str">
        <f aca="false">IF($A378="","",IF($M378="Closed","Closed",IF($J378="Y","Critical",IF(AND($I378&lt;&gt;"",$I378&lt;AsOf),"Critical",IF($M378="Unmapped","Warning",IF($N378&gt;2*$O378,"Critical",IF($N378&gt;$O378,"Warning","On track")))))))</f>
        <v/>
      </c>
      <c r="Q378" s="29" t="str">
        <f aca="false">IF(OR($P378="",$P378="Closed",$P378="On track"),"",IF($J378="Y","Flagged as an impediment",IF(AND($I378&lt;&gt;"",$I378&lt;AsOf),"Past due since "&amp;TEXT($I378,"yyyy-mm-dd"),IF($M378="Unmapped","Status '"&amp;$C378&amp;"' is not in the Config map","No update in "&amp;$N378&amp;" days (limit "&amp;$O378&amp;")"))))</f>
        <v/>
      </c>
      <c r="R378" s="29" t="str">
        <f aca="false">IF(OR($P378="",$P378="Closed",$P378="On track"),"",IF($P378="Critical",3000,2000)+$N378+ROW()/100000)</f>
        <v/>
      </c>
      <c r="S378" s="29" t="str">
        <f aca="false">IF($R378="","","draft Jira update for "&amp;$A378)</f>
        <v/>
      </c>
      <c r="T378" s="29" t="str">
        <f aca="false">IF($A378="","",HYPERLINK(JiraSite&amp;"/browse/"&amp;$A378,"open"))</f>
        <v/>
      </c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7"/>
      <c r="H379" s="27"/>
      <c r="I379" s="27"/>
      <c r="J379" s="24"/>
      <c r="K379" s="24"/>
      <c r="L379" s="24"/>
      <c r="M379" s="29" t="str">
        <f aca="false">IF($A379="","",IFERROR(INDEX(MapStage,MATCH($C379,MapStatus,0)),"Unmapped"))</f>
        <v/>
      </c>
      <c r="N379" s="29" t="str">
        <f aca="false">IF($A379="","",AsOf-$H379)</f>
        <v/>
      </c>
      <c r="O379" s="29" t="str">
        <f aca="false">IF(OR($M379="",$M379="Closed",$M379="Unmapped"),"",INDEX(StageStale,MATCH($M379,StageName,0)))</f>
        <v/>
      </c>
      <c r="P379" s="29" t="str">
        <f aca="false">IF($A379="","",IF($M379="Closed","Closed",IF($J379="Y","Critical",IF(AND($I379&lt;&gt;"",$I379&lt;AsOf),"Critical",IF($M379="Unmapped","Warning",IF($N379&gt;2*$O379,"Critical",IF($N379&gt;$O379,"Warning","On track")))))))</f>
        <v/>
      </c>
      <c r="Q379" s="29" t="str">
        <f aca="false">IF(OR($P379="",$P379="Closed",$P379="On track"),"",IF($J379="Y","Flagged as an impediment",IF(AND($I379&lt;&gt;"",$I379&lt;AsOf),"Past due since "&amp;TEXT($I379,"yyyy-mm-dd"),IF($M379="Unmapped","Status '"&amp;$C379&amp;"' is not in the Config map","No update in "&amp;$N379&amp;" days (limit "&amp;$O379&amp;")"))))</f>
        <v/>
      </c>
      <c r="R379" s="29" t="str">
        <f aca="false">IF(OR($P379="",$P379="Closed",$P379="On track"),"",IF($P379="Critical",3000,2000)+$N379+ROW()/100000)</f>
        <v/>
      </c>
      <c r="S379" s="29" t="str">
        <f aca="false">IF($R379="","","draft Jira update for "&amp;$A379)</f>
        <v/>
      </c>
      <c r="T379" s="29" t="str">
        <f aca="false">IF($A379="","",HYPERLINK(JiraSite&amp;"/browse/"&amp;$A379,"open"))</f>
        <v/>
      </c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7"/>
      <c r="H380" s="27"/>
      <c r="I380" s="27"/>
      <c r="J380" s="24"/>
      <c r="K380" s="24"/>
      <c r="L380" s="24"/>
      <c r="M380" s="29" t="str">
        <f aca="false">IF($A380="","",IFERROR(INDEX(MapStage,MATCH($C380,MapStatus,0)),"Unmapped"))</f>
        <v/>
      </c>
      <c r="N380" s="29" t="str">
        <f aca="false">IF($A380="","",AsOf-$H380)</f>
        <v/>
      </c>
      <c r="O380" s="29" t="str">
        <f aca="false">IF(OR($M380="",$M380="Closed",$M380="Unmapped"),"",INDEX(StageStale,MATCH($M380,StageName,0)))</f>
        <v/>
      </c>
      <c r="P380" s="29" t="str">
        <f aca="false">IF($A380="","",IF($M380="Closed","Closed",IF($J380="Y","Critical",IF(AND($I380&lt;&gt;"",$I380&lt;AsOf),"Critical",IF($M380="Unmapped","Warning",IF($N380&gt;2*$O380,"Critical",IF($N380&gt;$O380,"Warning","On track")))))))</f>
        <v/>
      </c>
      <c r="Q380" s="29" t="str">
        <f aca="false">IF(OR($P380="",$P380="Closed",$P380="On track"),"",IF($J380="Y","Flagged as an impediment",IF(AND($I380&lt;&gt;"",$I380&lt;AsOf),"Past due since "&amp;TEXT($I380,"yyyy-mm-dd"),IF($M380="Unmapped","Status '"&amp;$C380&amp;"' is not in the Config map","No update in "&amp;$N380&amp;" days (limit "&amp;$O380&amp;")"))))</f>
        <v/>
      </c>
      <c r="R380" s="29" t="str">
        <f aca="false">IF(OR($P380="",$P380="Closed",$P380="On track"),"",IF($P380="Critical",3000,2000)+$N380+ROW()/100000)</f>
        <v/>
      </c>
      <c r="S380" s="29" t="str">
        <f aca="false">IF($R380="","","draft Jira update for "&amp;$A380)</f>
        <v/>
      </c>
      <c r="T380" s="29" t="str">
        <f aca="false">IF($A380="","",HYPERLINK(JiraSite&amp;"/browse/"&amp;$A380,"open"))</f>
        <v/>
      </c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7"/>
      <c r="H381" s="27"/>
      <c r="I381" s="27"/>
      <c r="J381" s="24"/>
      <c r="K381" s="24"/>
      <c r="L381" s="24"/>
      <c r="M381" s="29" t="str">
        <f aca="false">IF($A381="","",IFERROR(INDEX(MapStage,MATCH($C381,MapStatus,0)),"Unmapped"))</f>
        <v/>
      </c>
      <c r="N381" s="29" t="str">
        <f aca="false">IF($A381="","",AsOf-$H381)</f>
        <v/>
      </c>
      <c r="O381" s="29" t="str">
        <f aca="false">IF(OR($M381="",$M381="Closed",$M381="Unmapped"),"",INDEX(StageStale,MATCH($M381,StageName,0)))</f>
        <v/>
      </c>
      <c r="P381" s="29" t="str">
        <f aca="false">IF($A381="","",IF($M381="Closed","Closed",IF($J381="Y","Critical",IF(AND($I381&lt;&gt;"",$I381&lt;AsOf),"Critical",IF($M381="Unmapped","Warning",IF($N381&gt;2*$O381,"Critical",IF($N381&gt;$O381,"Warning","On track")))))))</f>
        <v/>
      </c>
      <c r="Q381" s="29" t="str">
        <f aca="false">IF(OR($P381="",$P381="Closed",$P381="On track"),"",IF($J381="Y","Flagged as an impediment",IF(AND($I381&lt;&gt;"",$I381&lt;AsOf),"Past due since "&amp;TEXT($I381,"yyyy-mm-dd"),IF($M381="Unmapped","Status '"&amp;$C381&amp;"' is not in the Config map","No update in "&amp;$N381&amp;" days (limit "&amp;$O381&amp;")"))))</f>
        <v/>
      </c>
      <c r="R381" s="29" t="str">
        <f aca="false">IF(OR($P381="",$P381="Closed",$P381="On track"),"",IF($P381="Critical",3000,2000)+$N381+ROW()/100000)</f>
        <v/>
      </c>
      <c r="S381" s="29" t="str">
        <f aca="false">IF($R381="","","draft Jira update for "&amp;$A381)</f>
        <v/>
      </c>
      <c r="T381" s="29" t="str">
        <f aca="false">IF($A381="","",HYPERLINK(JiraSite&amp;"/browse/"&amp;$A381,"open"))</f>
        <v/>
      </c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7"/>
      <c r="H382" s="27"/>
      <c r="I382" s="27"/>
      <c r="J382" s="24"/>
      <c r="K382" s="24"/>
      <c r="L382" s="24"/>
      <c r="M382" s="29" t="str">
        <f aca="false">IF($A382="","",IFERROR(INDEX(MapStage,MATCH($C382,MapStatus,0)),"Unmapped"))</f>
        <v/>
      </c>
      <c r="N382" s="29" t="str">
        <f aca="false">IF($A382="","",AsOf-$H382)</f>
        <v/>
      </c>
      <c r="O382" s="29" t="str">
        <f aca="false">IF(OR($M382="",$M382="Closed",$M382="Unmapped"),"",INDEX(StageStale,MATCH($M382,StageName,0)))</f>
        <v/>
      </c>
      <c r="P382" s="29" t="str">
        <f aca="false">IF($A382="","",IF($M382="Closed","Closed",IF($J382="Y","Critical",IF(AND($I382&lt;&gt;"",$I382&lt;AsOf),"Critical",IF($M382="Unmapped","Warning",IF($N382&gt;2*$O382,"Critical",IF($N382&gt;$O382,"Warning","On track")))))))</f>
        <v/>
      </c>
      <c r="Q382" s="29" t="str">
        <f aca="false">IF(OR($P382="",$P382="Closed",$P382="On track"),"",IF($J382="Y","Flagged as an impediment",IF(AND($I382&lt;&gt;"",$I382&lt;AsOf),"Past due since "&amp;TEXT($I382,"yyyy-mm-dd"),IF($M382="Unmapped","Status '"&amp;$C382&amp;"' is not in the Config map","No update in "&amp;$N382&amp;" days (limit "&amp;$O382&amp;")"))))</f>
        <v/>
      </c>
      <c r="R382" s="29" t="str">
        <f aca="false">IF(OR($P382="",$P382="Closed",$P382="On track"),"",IF($P382="Critical",3000,2000)+$N382+ROW()/100000)</f>
        <v/>
      </c>
      <c r="S382" s="29" t="str">
        <f aca="false">IF($R382="","","draft Jira update for "&amp;$A382)</f>
        <v/>
      </c>
      <c r="T382" s="29" t="str">
        <f aca="false">IF($A382="","",HYPERLINK(JiraSite&amp;"/browse/"&amp;$A382,"open"))</f>
        <v/>
      </c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7"/>
      <c r="H383" s="27"/>
      <c r="I383" s="27"/>
      <c r="J383" s="24"/>
      <c r="K383" s="24"/>
      <c r="L383" s="24"/>
      <c r="M383" s="29" t="str">
        <f aca="false">IF($A383="","",IFERROR(INDEX(MapStage,MATCH($C383,MapStatus,0)),"Unmapped"))</f>
        <v/>
      </c>
      <c r="N383" s="29" t="str">
        <f aca="false">IF($A383="","",AsOf-$H383)</f>
        <v/>
      </c>
      <c r="O383" s="29" t="str">
        <f aca="false">IF(OR($M383="",$M383="Closed",$M383="Unmapped"),"",INDEX(StageStale,MATCH($M383,StageName,0)))</f>
        <v/>
      </c>
      <c r="P383" s="29" t="str">
        <f aca="false">IF($A383="","",IF($M383="Closed","Closed",IF($J383="Y","Critical",IF(AND($I383&lt;&gt;"",$I383&lt;AsOf),"Critical",IF($M383="Unmapped","Warning",IF($N383&gt;2*$O383,"Critical",IF($N383&gt;$O383,"Warning","On track")))))))</f>
        <v/>
      </c>
      <c r="Q383" s="29" t="str">
        <f aca="false">IF(OR($P383="",$P383="Closed",$P383="On track"),"",IF($J383="Y","Flagged as an impediment",IF(AND($I383&lt;&gt;"",$I383&lt;AsOf),"Past due since "&amp;TEXT($I383,"yyyy-mm-dd"),IF($M383="Unmapped","Status '"&amp;$C383&amp;"' is not in the Config map","No update in "&amp;$N383&amp;" days (limit "&amp;$O383&amp;")"))))</f>
        <v/>
      </c>
      <c r="R383" s="29" t="str">
        <f aca="false">IF(OR($P383="",$P383="Closed",$P383="On track"),"",IF($P383="Critical",3000,2000)+$N383+ROW()/100000)</f>
        <v/>
      </c>
      <c r="S383" s="29" t="str">
        <f aca="false">IF($R383="","","draft Jira update for "&amp;$A383)</f>
        <v/>
      </c>
      <c r="T383" s="29" t="str">
        <f aca="false">IF($A383="","",HYPERLINK(JiraSite&amp;"/browse/"&amp;$A383,"open"))</f>
        <v/>
      </c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7"/>
      <c r="H384" s="27"/>
      <c r="I384" s="27"/>
      <c r="J384" s="24"/>
      <c r="K384" s="24"/>
      <c r="L384" s="24"/>
      <c r="M384" s="29" t="str">
        <f aca="false">IF($A384="","",IFERROR(INDEX(MapStage,MATCH($C384,MapStatus,0)),"Unmapped"))</f>
        <v/>
      </c>
      <c r="N384" s="29" t="str">
        <f aca="false">IF($A384="","",AsOf-$H384)</f>
        <v/>
      </c>
      <c r="O384" s="29" t="str">
        <f aca="false">IF(OR($M384="",$M384="Closed",$M384="Unmapped"),"",INDEX(StageStale,MATCH($M384,StageName,0)))</f>
        <v/>
      </c>
      <c r="P384" s="29" t="str">
        <f aca="false">IF($A384="","",IF($M384="Closed","Closed",IF($J384="Y","Critical",IF(AND($I384&lt;&gt;"",$I384&lt;AsOf),"Critical",IF($M384="Unmapped","Warning",IF($N384&gt;2*$O384,"Critical",IF($N384&gt;$O384,"Warning","On track")))))))</f>
        <v/>
      </c>
      <c r="Q384" s="29" t="str">
        <f aca="false">IF(OR($P384="",$P384="Closed",$P384="On track"),"",IF($J384="Y","Flagged as an impediment",IF(AND($I384&lt;&gt;"",$I384&lt;AsOf),"Past due since "&amp;TEXT($I384,"yyyy-mm-dd"),IF($M384="Unmapped","Status '"&amp;$C384&amp;"' is not in the Config map","No update in "&amp;$N384&amp;" days (limit "&amp;$O384&amp;")"))))</f>
        <v/>
      </c>
      <c r="R384" s="29" t="str">
        <f aca="false">IF(OR($P384="",$P384="Closed",$P384="On track"),"",IF($P384="Critical",3000,2000)+$N384+ROW()/100000)</f>
        <v/>
      </c>
      <c r="S384" s="29" t="str">
        <f aca="false">IF($R384="","","draft Jira update for "&amp;$A384)</f>
        <v/>
      </c>
      <c r="T384" s="29" t="str">
        <f aca="false">IF($A384="","",HYPERLINK(JiraSite&amp;"/browse/"&amp;$A384,"open"))</f>
        <v/>
      </c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7"/>
      <c r="H385" s="27"/>
      <c r="I385" s="27"/>
      <c r="J385" s="24"/>
      <c r="K385" s="24"/>
      <c r="L385" s="24"/>
      <c r="M385" s="29" t="str">
        <f aca="false">IF($A385="","",IFERROR(INDEX(MapStage,MATCH($C385,MapStatus,0)),"Unmapped"))</f>
        <v/>
      </c>
      <c r="N385" s="29" t="str">
        <f aca="false">IF($A385="","",AsOf-$H385)</f>
        <v/>
      </c>
      <c r="O385" s="29" t="str">
        <f aca="false">IF(OR($M385="",$M385="Closed",$M385="Unmapped"),"",INDEX(StageStale,MATCH($M385,StageName,0)))</f>
        <v/>
      </c>
      <c r="P385" s="29" t="str">
        <f aca="false">IF($A385="","",IF($M385="Closed","Closed",IF($J385="Y","Critical",IF(AND($I385&lt;&gt;"",$I385&lt;AsOf),"Critical",IF($M385="Unmapped","Warning",IF($N385&gt;2*$O385,"Critical",IF($N385&gt;$O385,"Warning","On track")))))))</f>
        <v/>
      </c>
      <c r="Q385" s="29" t="str">
        <f aca="false">IF(OR($P385="",$P385="Closed",$P385="On track"),"",IF($J385="Y","Flagged as an impediment",IF(AND($I385&lt;&gt;"",$I385&lt;AsOf),"Past due since "&amp;TEXT($I385,"yyyy-mm-dd"),IF($M385="Unmapped","Status '"&amp;$C385&amp;"' is not in the Config map","No update in "&amp;$N385&amp;" days (limit "&amp;$O385&amp;")"))))</f>
        <v/>
      </c>
      <c r="R385" s="29" t="str">
        <f aca="false">IF(OR($P385="",$P385="Closed",$P385="On track"),"",IF($P385="Critical",3000,2000)+$N385+ROW()/100000)</f>
        <v/>
      </c>
      <c r="S385" s="29" t="str">
        <f aca="false">IF($R385="","","draft Jira update for "&amp;$A385)</f>
        <v/>
      </c>
      <c r="T385" s="29" t="str">
        <f aca="false">IF($A385="","",HYPERLINK(JiraSite&amp;"/browse/"&amp;$A385,"open"))</f>
        <v/>
      </c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7"/>
      <c r="H386" s="27"/>
      <c r="I386" s="27"/>
      <c r="J386" s="24"/>
      <c r="K386" s="24"/>
      <c r="L386" s="24"/>
      <c r="M386" s="29" t="str">
        <f aca="false">IF($A386="","",IFERROR(INDEX(MapStage,MATCH($C386,MapStatus,0)),"Unmapped"))</f>
        <v/>
      </c>
      <c r="N386" s="29" t="str">
        <f aca="false">IF($A386="","",AsOf-$H386)</f>
        <v/>
      </c>
      <c r="O386" s="29" t="str">
        <f aca="false">IF(OR($M386="",$M386="Closed",$M386="Unmapped"),"",INDEX(StageStale,MATCH($M386,StageName,0)))</f>
        <v/>
      </c>
      <c r="P386" s="29" t="str">
        <f aca="false">IF($A386="","",IF($M386="Closed","Closed",IF($J386="Y","Critical",IF(AND($I386&lt;&gt;"",$I386&lt;AsOf),"Critical",IF($M386="Unmapped","Warning",IF($N386&gt;2*$O386,"Critical",IF($N386&gt;$O386,"Warning","On track")))))))</f>
        <v/>
      </c>
      <c r="Q386" s="29" t="str">
        <f aca="false">IF(OR($P386="",$P386="Closed",$P386="On track"),"",IF($J386="Y","Flagged as an impediment",IF(AND($I386&lt;&gt;"",$I386&lt;AsOf),"Past due since "&amp;TEXT($I386,"yyyy-mm-dd"),IF($M386="Unmapped","Status '"&amp;$C386&amp;"' is not in the Config map","No update in "&amp;$N386&amp;" days (limit "&amp;$O386&amp;")"))))</f>
        <v/>
      </c>
      <c r="R386" s="29" t="str">
        <f aca="false">IF(OR($P386="",$P386="Closed",$P386="On track"),"",IF($P386="Critical",3000,2000)+$N386+ROW()/100000)</f>
        <v/>
      </c>
      <c r="S386" s="29" t="str">
        <f aca="false">IF($R386="","","draft Jira update for "&amp;$A386)</f>
        <v/>
      </c>
      <c r="T386" s="29" t="str">
        <f aca="false">IF($A386="","",HYPERLINK(JiraSite&amp;"/browse/"&amp;$A386,"open"))</f>
        <v/>
      </c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7"/>
      <c r="H387" s="27"/>
      <c r="I387" s="27"/>
      <c r="J387" s="24"/>
      <c r="K387" s="24"/>
      <c r="L387" s="24"/>
      <c r="M387" s="29" t="str">
        <f aca="false">IF($A387="","",IFERROR(INDEX(MapStage,MATCH($C387,MapStatus,0)),"Unmapped"))</f>
        <v/>
      </c>
      <c r="N387" s="29" t="str">
        <f aca="false">IF($A387="","",AsOf-$H387)</f>
        <v/>
      </c>
      <c r="O387" s="29" t="str">
        <f aca="false">IF(OR($M387="",$M387="Closed",$M387="Unmapped"),"",INDEX(StageStale,MATCH($M387,StageName,0)))</f>
        <v/>
      </c>
      <c r="P387" s="29" t="str">
        <f aca="false">IF($A387="","",IF($M387="Closed","Closed",IF($J387="Y","Critical",IF(AND($I387&lt;&gt;"",$I387&lt;AsOf),"Critical",IF($M387="Unmapped","Warning",IF($N387&gt;2*$O387,"Critical",IF($N387&gt;$O387,"Warning","On track")))))))</f>
        <v/>
      </c>
      <c r="Q387" s="29" t="str">
        <f aca="false">IF(OR($P387="",$P387="Closed",$P387="On track"),"",IF($J387="Y","Flagged as an impediment",IF(AND($I387&lt;&gt;"",$I387&lt;AsOf),"Past due since "&amp;TEXT($I387,"yyyy-mm-dd"),IF($M387="Unmapped","Status '"&amp;$C387&amp;"' is not in the Config map","No update in "&amp;$N387&amp;" days (limit "&amp;$O387&amp;")"))))</f>
        <v/>
      </c>
      <c r="R387" s="29" t="str">
        <f aca="false">IF(OR($P387="",$P387="Closed",$P387="On track"),"",IF($P387="Critical",3000,2000)+$N387+ROW()/100000)</f>
        <v/>
      </c>
      <c r="S387" s="29" t="str">
        <f aca="false">IF($R387="","","draft Jira update for "&amp;$A387)</f>
        <v/>
      </c>
      <c r="T387" s="29" t="str">
        <f aca="false">IF($A387="","",HYPERLINK(JiraSite&amp;"/browse/"&amp;$A387,"open"))</f>
        <v/>
      </c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7"/>
      <c r="H388" s="27"/>
      <c r="I388" s="27"/>
      <c r="J388" s="24"/>
      <c r="K388" s="24"/>
      <c r="L388" s="24"/>
      <c r="M388" s="29" t="str">
        <f aca="false">IF($A388="","",IFERROR(INDEX(MapStage,MATCH($C388,MapStatus,0)),"Unmapped"))</f>
        <v/>
      </c>
      <c r="N388" s="29" t="str">
        <f aca="false">IF($A388="","",AsOf-$H388)</f>
        <v/>
      </c>
      <c r="O388" s="29" t="str">
        <f aca="false">IF(OR($M388="",$M388="Closed",$M388="Unmapped"),"",INDEX(StageStale,MATCH($M388,StageName,0)))</f>
        <v/>
      </c>
      <c r="P388" s="29" t="str">
        <f aca="false">IF($A388="","",IF($M388="Closed","Closed",IF($J388="Y","Critical",IF(AND($I388&lt;&gt;"",$I388&lt;AsOf),"Critical",IF($M388="Unmapped","Warning",IF($N388&gt;2*$O388,"Critical",IF($N388&gt;$O388,"Warning","On track")))))))</f>
        <v/>
      </c>
      <c r="Q388" s="29" t="str">
        <f aca="false">IF(OR($P388="",$P388="Closed",$P388="On track"),"",IF($J388="Y","Flagged as an impediment",IF(AND($I388&lt;&gt;"",$I388&lt;AsOf),"Past due since "&amp;TEXT($I388,"yyyy-mm-dd"),IF($M388="Unmapped","Status '"&amp;$C388&amp;"' is not in the Config map","No update in "&amp;$N388&amp;" days (limit "&amp;$O388&amp;")"))))</f>
        <v/>
      </c>
      <c r="R388" s="29" t="str">
        <f aca="false">IF(OR($P388="",$P388="Closed",$P388="On track"),"",IF($P388="Critical",3000,2000)+$N388+ROW()/100000)</f>
        <v/>
      </c>
      <c r="S388" s="29" t="str">
        <f aca="false">IF($R388="","","draft Jira update for "&amp;$A388)</f>
        <v/>
      </c>
      <c r="T388" s="29" t="str">
        <f aca="false">IF($A388="","",HYPERLINK(JiraSite&amp;"/browse/"&amp;$A388,"open"))</f>
        <v/>
      </c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7"/>
      <c r="H389" s="27"/>
      <c r="I389" s="27"/>
      <c r="J389" s="24"/>
      <c r="K389" s="24"/>
      <c r="L389" s="24"/>
      <c r="M389" s="29" t="str">
        <f aca="false">IF($A389="","",IFERROR(INDEX(MapStage,MATCH($C389,MapStatus,0)),"Unmapped"))</f>
        <v/>
      </c>
      <c r="N389" s="29" t="str">
        <f aca="false">IF($A389="","",AsOf-$H389)</f>
        <v/>
      </c>
      <c r="O389" s="29" t="str">
        <f aca="false">IF(OR($M389="",$M389="Closed",$M389="Unmapped"),"",INDEX(StageStale,MATCH($M389,StageName,0)))</f>
        <v/>
      </c>
      <c r="P389" s="29" t="str">
        <f aca="false">IF($A389="","",IF($M389="Closed","Closed",IF($J389="Y","Critical",IF(AND($I389&lt;&gt;"",$I389&lt;AsOf),"Critical",IF($M389="Unmapped","Warning",IF($N389&gt;2*$O389,"Critical",IF($N389&gt;$O389,"Warning","On track")))))))</f>
        <v/>
      </c>
      <c r="Q389" s="29" t="str">
        <f aca="false">IF(OR($P389="",$P389="Closed",$P389="On track"),"",IF($J389="Y","Flagged as an impediment",IF(AND($I389&lt;&gt;"",$I389&lt;AsOf),"Past due since "&amp;TEXT($I389,"yyyy-mm-dd"),IF($M389="Unmapped","Status '"&amp;$C389&amp;"' is not in the Config map","No update in "&amp;$N389&amp;" days (limit "&amp;$O389&amp;")"))))</f>
        <v/>
      </c>
      <c r="R389" s="29" t="str">
        <f aca="false">IF(OR($P389="",$P389="Closed",$P389="On track"),"",IF($P389="Critical",3000,2000)+$N389+ROW()/100000)</f>
        <v/>
      </c>
      <c r="S389" s="29" t="str">
        <f aca="false">IF($R389="","","draft Jira update for "&amp;$A389)</f>
        <v/>
      </c>
      <c r="T389" s="29" t="str">
        <f aca="false">IF($A389="","",HYPERLINK(JiraSite&amp;"/browse/"&amp;$A389,"open"))</f>
        <v/>
      </c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7"/>
      <c r="H390" s="27"/>
      <c r="I390" s="27"/>
      <c r="J390" s="24"/>
      <c r="K390" s="24"/>
      <c r="L390" s="24"/>
      <c r="M390" s="29" t="str">
        <f aca="false">IF($A390="","",IFERROR(INDEX(MapStage,MATCH($C390,MapStatus,0)),"Unmapped"))</f>
        <v/>
      </c>
      <c r="N390" s="29" t="str">
        <f aca="false">IF($A390="","",AsOf-$H390)</f>
        <v/>
      </c>
      <c r="O390" s="29" t="str">
        <f aca="false">IF(OR($M390="",$M390="Closed",$M390="Unmapped"),"",INDEX(StageStale,MATCH($M390,StageName,0)))</f>
        <v/>
      </c>
      <c r="P390" s="29" t="str">
        <f aca="false">IF($A390="","",IF($M390="Closed","Closed",IF($J390="Y","Critical",IF(AND($I390&lt;&gt;"",$I390&lt;AsOf),"Critical",IF($M390="Unmapped","Warning",IF($N390&gt;2*$O390,"Critical",IF($N390&gt;$O390,"Warning","On track")))))))</f>
        <v/>
      </c>
      <c r="Q390" s="29" t="str">
        <f aca="false">IF(OR($P390="",$P390="Closed",$P390="On track"),"",IF($J390="Y","Flagged as an impediment",IF(AND($I390&lt;&gt;"",$I390&lt;AsOf),"Past due since "&amp;TEXT($I390,"yyyy-mm-dd"),IF($M390="Unmapped","Status '"&amp;$C390&amp;"' is not in the Config map","No update in "&amp;$N390&amp;" days (limit "&amp;$O390&amp;")"))))</f>
        <v/>
      </c>
      <c r="R390" s="29" t="str">
        <f aca="false">IF(OR($P390="",$P390="Closed",$P390="On track"),"",IF($P390="Critical",3000,2000)+$N390+ROW()/100000)</f>
        <v/>
      </c>
      <c r="S390" s="29" t="str">
        <f aca="false">IF($R390="","","draft Jira update for "&amp;$A390)</f>
        <v/>
      </c>
      <c r="T390" s="29" t="str">
        <f aca="false">IF($A390="","",HYPERLINK(JiraSite&amp;"/browse/"&amp;$A390,"open"))</f>
        <v/>
      </c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7"/>
      <c r="H391" s="27"/>
      <c r="I391" s="27"/>
      <c r="J391" s="24"/>
      <c r="K391" s="24"/>
      <c r="L391" s="24"/>
      <c r="M391" s="29" t="str">
        <f aca="false">IF($A391="","",IFERROR(INDEX(MapStage,MATCH($C391,MapStatus,0)),"Unmapped"))</f>
        <v/>
      </c>
      <c r="N391" s="29" t="str">
        <f aca="false">IF($A391="","",AsOf-$H391)</f>
        <v/>
      </c>
      <c r="O391" s="29" t="str">
        <f aca="false">IF(OR($M391="",$M391="Closed",$M391="Unmapped"),"",INDEX(StageStale,MATCH($M391,StageName,0)))</f>
        <v/>
      </c>
      <c r="P391" s="29" t="str">
        <f aca="false">IF($A391="","",IF($M391="Closed","Closed",IF($J391="Y","Critical",IF(AND($I391&lt;&gt;"",$I391&lt;AsOf),"Critical",IF($M391="Unmapped","Warning",IF($N391&gt;2*$O391,"Critical",IF($N391&gt;$O391,"Warning","On track")))))))</f>
        <v/>
      </c>
      <c r="Q391" s="29" t="str">
        <f aca="false">IF(OR($P391="",$P391="Closed",$P391="On track"),"",IF($J391="Y","Flagged as an impediment",IF(AND($I391&lt;&gt;"",$I391&lt;AsOf),"Past due since "&amp;TEXT($I391,"yyyy-mm-dd"),IF($M391="Unmapped","Status '"&amp;$C391&amp;"' is not in the Config map","No update in "&amp;$N391&amp;" days (limit "&amp;$O391&amp;")"))))</f>
        <v/>
      </c>
      <c r="R391" s="29" t="str">
        <f aca="false">IF(OR($P391="",$P391="Closed",$P391="On track"),"",IF($P391="Critical",3000,2000)+$N391+ROW()/100000)</f>
        <v/>
      </c>
      <c r="S391" s="29" t="str">
        <f aca="false">IF($R391="","","draft Jira update for "&amp;$A391)</f>
        <v/>
      </c>
      <c r="T391" s="29" t="str">
        <f aca="false">IF($A391="","",HYPERLINK(JiraSite&amp;"/browse/"&amp;$A391,"open"))</f>
        <v/>
      </c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7"/>
      <c r="H392" s="27"/>
      <c r="I392" s="27"/>
      <c r="J392" s="24"/>
      <c r="K392" s="24"/>
      <c r="L392" s="24"/>
      <c r="M392" s="29" t="str">
        <f aca="false">IF($A392="","",IFERROR(INDEX(MapStage,MATCH($C392,MapStatus,0)),"Unmapped"))</f>
        <v/>
      </c>
      <c r="N392" s="29" t="str">
        <f aca="false">IF($A392="","",AsOf-$H392)</f>
        <v/>
      </c>
      <c r="O392" s="29" t="str">
        <f aca="false">IF(OR($M392="",$M392="Closed",$M392="Unmapped"),"",INDEX(StageStale,MATCH($M392,StageName,0)))</f>
        <v/>
      </c>
      <c r="P392" s="29" t="str">
        <f aca="false">IF($A392="","",IF($M392="Closed","Closed",IF($J392="Y","Critical",IF(AND($I392&lt;&gt;"",$I392&lt;AsOf),"Critical",IF($M392="Unmapped","Warning",IF($N392&gt;2*$O392,"Critical",IF($N392&gt;$O392,"Warning","On track")))))))</f>
        <v/>
      </c>
      <c r="Q392" s="29" t="str">
        <f aca="false">IF(OR($P392="",$P392="Closed",$P392="On track"),"",IF($J392="Y","Flagged as an impediment",IF(AND($I392&lt;&gt;"",$I392&lt;AsOf),"Past due since "&amp;TEXT($I392,"yyyy-mm-dd"),IF($M392="Unmapped","Status '"&amp;$C392&amp;"' is not in the Config map","No update in "&amp;$N392&amp;" days (limit "&amp;$O392&amp;")"))))</f>
        <v/>
      </c>
      <c r="R392" s="29" t="str">
        <f aca="false">IF(OR($P392="",$P392="Closed",$P392="On track"),"",IF($P392="Critical",3000,2000)+$N392+ROW()/100000)</f>
        <v/>
      </c>
      <c r="S392" s="29" t="str">
        <f aca="false">IF($R392="","","draft Jira update for "&amp;$A392)</f>
        <v/>
      </c>
      <c r="T392" s="29" t="str">
        <f aca="false">IF($A392="","",HYPERLINK(JiraSite&amp;"/browse/"&amp;$A392,"open"))</f>
        <v/>
      </c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7"/>
      <c r="H393" s="27"/>
      <c r="I393" s="27"/>
      <c r="J393" s="24"/>
      <c r="K393" s="24"/>
      <c r="L393" s="24"/>
      <c r="M393" s="29" t="str">
        <f aca="false">IF($A393="","",IFERROR(INDEX(MapStage,MATCH($C393,MapStatus,0)),"Unmapped"))</f>
        <v/>
      </c>
      <c r="N393" s="29" t="str">
        <f aca="false">IF($A393="","",AsOf-$H393)</f>
        <v/>
      </c>
      <c r="O393" s="29" t="str">
        <f aca="false">IF(OR($M393="",$M393="Closed",$M393="Unmapped"),"",INDEX(StageStale,MATCH($M393,StageName,0)))</f>
        <v/>
      </c>
      <c r="P393" s="29" t="str">
        <f aca="false">IF($A393="","",IF($M393="Closed","Closed",IF($J393="Y","Critical",IF(AND($I393&lt;&gt;"",$I393&lt;AsOf),"Critical",IF($M393="Unmapped","Warning",IF($N393&gt;2*$O393,"Critical",IF($N393&gt;$O393,"Warning","On track")))))))</f>
        <v/>
      </c>
      <c r="Q393" s="29" t="str">
        <f aca="false">IF(OR($P393="",$P393="Closed",$P393="On track"),"",IF($J393="Y","Flagged as an impediment",IF(AND($I393&lt;&gt;"",$I393&lt;AsOf),"Past due since "&amp;TEXT($I393,"yyyy-mm-dd"),IF($M393="Unmapped","Status '"&amp;$C393&amp;"' is not in the Config map","No update in "&amp;$N393&amp;" days (limit "&amp;$O393&amp;")"))))</f>
        <v/>
      </c>
      <c r="R393" s="29" t="str">
        <f aca="false">IF(OR($P393="",$P393="Closed",$P393="On track"),"",IF($P393="Critical",3000,2000)+$N393+ROW()/100000)</f>
        <v/>
      </c>
      <c r="S393" s="29" t="str">
        <f aca="false">IF($R393="","","draft Jira update for "&amp;$A393)</f>
        <v/>
      </c>
      <c r="T393" s="29" t="str">
        <f aca="false">IF($A393="","",HYPERLINK(JiraSite&amp;"/browse/"&amp;$A393,"open"))</f>
        <v/>
      </c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7"/>
      <c r="H394" s="27"/>
      <c r="I394" s="27"/>
      <c r="J394" s="24"/>
      <c r="K394" s="24"/>
      <c r="L394" s="24"/>
      <c r="M394" s="29" t="str">
        <f aca="false">IF($A394="","",IFERROR(INDEX(MapStage,MATCH($C394,MapStatus,0)),"Unmapped"))</f>
        <v/>
      </c>
      <c r="N394" s="29" t="str">
        <f aca="false">IF($A394="","",AsOf-$H394)</f>
        <v/>
      </c>
      <c r="O394" s="29" t="str">
        <f aca="false">IF(OR($M394="",$M394="Closed",$M394="Unmapped"),"",INDEX(StageStale,MATCH($M394,StageName,0)))</f>
        <v/>
      </c>
      <c r="P394" s="29" t="str">
        <f aca="false">IF($A394="","",IF($M394="Closed","Closed",IF($J394="Y","Critical",IF(AND($I394&lt;&gt;"",$I394&lt;AsOf),"Critical",IF($M394="Unmapped","Warning",IF($N394&gt;2*$O394,"Critical",IF($N394&gt;$O394,"Warning","On track")))))))</f>
        <v/>
      </c>
      <c r="Q394" s="29" t="str">
        <f aca="false">IF(OR($P394="",$P394="Closed",$P394="On track"),"",IF($J394="Y","Flagged as an impediment",IF(AND($I394&lt;&gt;"",$I394&lt;AsOf),"Past due since "&amp;TEXT($I394,"yyyy-mm-dd"),IF($M394="Unmapped","Status '"&amp;$C394&amp;"' is not in the Config map","No update in "&amp;$N394&amp;" days (limit "&amp;$O394&amp;")"))))</f>
        <v/>
      </c>
      <c r="R394" s="29" t="str">
        <f aca="false">IF(OR($P394="",$P394="Closed",$P394="On track"),"",IF($P394="Critical",3000,2000)+$N394+ROW()/100000)</f>
        <v/>
      </c>
      <c r="S394" s="29" t="str">
        <f aca="false">IF($R394="","","draft Jira update for "&amp;$A394)</f>
        <v/>
      </c>
      <c r="T394" s="29" t="str">
        <f aca="false">IF($A394="","",HYPERLINK(JiraSite&amp;"/browse/"&amp;$A394,"open"))</f>
        <v/>
      </c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7"/>
      <c r="H395" s="27"/>
      <c r="I395" s="27"/>
      <c r="J395" s="24"/>
      <c r="K395" s="24"/>
      <c r="L395" s="24"/>
      <c r="M395" s="29" t="str">
        <f aca="false">IF($A395="","",IFERROR(INDEX(MapStage,MATCH($C395,MapStatus,0)),"Unmapped"))</f>
        <v/>
      </c>
      <c r="N395" s="29" t="str">
        <f aca="false">IF($A395="","",AsOf-$H395)</f>
        <v/>
      </c>
      <c r="O395" s="29" t="str">
        <f aca="false">IF(OR($M395="",$M395="Closed",$M395="Unmapped"),"",INDEX(StageStale,MATCH($M395,StageName,0)))</f>
        <v/>
      </c>
      <c r="P395" s="29" t="str">
        <f aca="false">IF($A395="","",IF($M395="Closed","Closed",IF($J395="Y","Critical",IF(AND($I395&lt;&gt;"",$I395&lt;AsOf),"Critical",IF($M395="Unmapped","Warning",IF($N395&gt;2*$O395,"Critical",IF($N395&gt;$O395,"Warning","On track")))))))</f>
        <v/>
      </c>
      <c r="Q395" s="29" t="str">
        <f aca="false">IF(OR($P395="",$P395="Closed",$P395="On track"),"",IF($J395="Y","Flagged as an impediment",IF(AND($I395&lt;&gt;"",$I395&lt;AsOf),"Past due since "&amp;TEXT($I395,"yyyy-mm-dd"),IF($M395="Unmapped","Status '"&amp;$C395&amp;"' is not in the Config map","No update in "&amp;$N395&amp;" days (limit "&amp;$O395&amp;")"))))</f>
        <v/>
      </c>
      <c r="R395" s="29" t="str">
        <f aca="false">IF(OR($P395="",$P395="Closed",$P395="On track"),"",IF($P395="Critical",3000,2000)+$N395+ROW()/100000)</f>
        <v/>
      </c>
      <c r="S395" s="29" t="str">
        <f aca="false">IF($R395="","","draft Jira update for "&amp;$A395)</f>
        <v/>
      </c>
      <c r="T395" s="29" t="str">
        <f aca="false">IF($A395="","",HYPERLINK(JiraSite&amp;"/browse/"&amp;$A395,"open"))</f>
        <v/>
      </c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7"/>
      <c r="H396" s="27"/>
      <c r="I396" s="27"/>
      <c r="J396" s="24"/>
      <c r="K396" s="24"/>
      <c r="L396" s="24"/>
      <c r="M396" s="29" t="str">
        <f aca="false">IF($A396="","",IFERROR(INDEX(MapStage,MATCH($C396,MapStatus,0)),"Unmapped"))</f>
        <v/>
      </c>
      <c r="N396" s="29" t="str">
        <f aca="false">IF($A396="","",AsOf-$H396)</f>
        <v/>
      </c>
      <c r="O396" s="29" t="str">
        <f aca="false">IF(OR($M396="",$M396="Closed",$M396="Unmapped"),"",INDEX(StageStale,MATCH($M396,StageName,0)))</f>
        <v/>
      </c>
      <c r="P396" s="29" t="str">
        <f aca="false">IF($A396="","",IF($M396="Closed","Closed",IF($J396="Y","Critical",IF(AND($I396&lt;&gt;"",$I396&lt;AsOf),"Critical",IF($M396="Unmapped","Warning",IF($N396&gt;2*$O396,"Critical",IF($N396&gt;$O396,"Warning","On track")))))))</f>
        <v/>
      </c>
      <c r="Q396" s="29" t="str">
        <f aca="false">IF(OR($P396="",$P396="Closed",$P396="On track"),"",IF($J396="Y","Flagged as an impediment",IF(AND($I396&lt;&gt;"",$I396&lt;AsOf),"Past due since "&amp;TEXT($I396,"yyyy-mm-dd"),IF($M396="Unmapped","Status '"&amp;$C396&amp;"' is not in the Config map","No update in "&amp;$N396&amp;" days (limit "&amp;$O396&amp;")"))))</f>
        <v/>
      </c>
      <c r="R396" s="29" t="str">
        <f aca="false">IF(OR($P396="",$P396="Closed",$P396="On track"),"",IF($P396="Critical",3000,2000)+$N396+ROW()/100000)</f>
        <v/>
      </c>
      <c r="S396" s="29" t="str">
        <f aca="false">IF($R396="","","draft Jira update for "&amp;$A396)</f>
        <v/>
      </c>
      <c r="T396" s="29" t="str">
        <f aca="false">IF($A396="","",HYPERLINK(JiraSite&amp;"/browse/"&amp;$A396,"open"))</f>
        <v/>
      </c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7"/>
      <c r="H397" s="27"/>
      <c r="I397" s="27"/>
      <c r="J397" s="24"/>
      <c r="K397" s="24"/>
      <c r="L397" s="24"/>
      <c r="M397" s="29" t="str">
        <f aca="false">IF($A397="","",IFERROR(INDEX(MapStage,MATCH($C397,MapStatus,0)),"Unmapped"))</f>
        <v/>
      </c>
      <c r="N397" s="29" t="str">
        <f aca="false">IF($A397="","",AsOf-$H397)</f>
        <v/>
      </c>
      <c r="O397" s="29" t="str">
        <f aca="false">IF(OR($M397="",$M397="Closed",$M397="Unmapped"),"",INDEX(StageStale,MATCH($M397,StageName,0)))</f>
        <v/>
      </c>
      <c r="P397" s="29" t="str">
        <f aca="false">IF($A397="","",IF($M397="Closed","Closed",IF($J397="Y","Critical",IF(AND($I397&lt;&gt;"",$I397&lt;AsOf),"Critical",IF($M397="Unmapped","Warning",IF($N397&gt;2*$O397,"Critical",IF($N397&gt;$O397,"Warning","On track")))))))</f>
        <v/>
      </c>
      <c r="Q397" s="29" t="str">
        <f aca="false">IF(OR($P397="",$P397="Closed",$P397="On track"),"",IF($J397="Y","Flagged as an impediment",IF(AND($I397&lt;&gt;"",$I397&lt;AsOf),"Past due since "&amp;TEXT($I397,"yyyy-mm-dd"),IF($M397="Unmapped","Status '"&amp;$C397&amp;"' is not in the Config map","No update in "&amp;$N397&amp;" days (limit "&amp;$O397&amp;")"))))</f>
        <v/>
      </c>
      <c r="R397" s="29" t="str">
        <f aca="false">IF(OR($P397="",$P397="Closed",$P397="On track"),"",IF($P397="Critical",3000,2000)+$N397+ROW()/100000)</f>
        <v/>
      </c>
      <c r="S397" s="29" t="str">
        <f aca="false">IF($R397="","","draft Jira update for "&amp;$A397)</f>
        <v/>
      </c>
      <c r="T397" s="29" t="str">
        <f aca="false">IF($A397="","",HYPERLINK(JiraSite&amp;"/browse/"&amp;$A397,"open"))</f>
        <v/>
      </c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7"/>
      <c r="H398" s="27"/>
      <c r="I398" s="27"/>
      <c r="J398" s="24"/>
      <c r="K398" s="24"/>
      <c r="L398" s="24"/>
      <c r="M398" s="29" t="str">
        <f aca="false">IF($A398="","",IFERROR(INDEX(MapStage,MATCH($C398,MapStatus,0)),"Unmapped"))</f>
        <v/>
      </c>
      <c r="N398" s="29" t="str">
        <f aca="false">IF($A398="","",AsOf-$H398)</f>
        <v/>
      </c>
      <c r="O398" s="29" t="str">
        <f aca="false">IF(OR($M398="",$M398="Closed",$M398="Unmapped"),"",INDEX(StageStale,MATCH($M398,StageName,0)))</f>
        <v/>
      </c>
      <c r="P398" s="29" t="str">
        <f aca="false">IF($A398="","",IF($M398="Closed","Closed",IF($J398="Y","Critical",IF(AND($I398&lt;&gt;"",$I398&lt;AsOf),"Critical",IF($M398="Unmapped","Warning",IF($N398&gt;2*$O398,"Critical",IF($N398&gt;$O398,"Warning","On track")))))))</f>
        <v/>
      </c>
      <c r="Q398" s="29" t="str">
        <f aca="false">IF(OR($P398="",$P398="Closed",$P398="On track"),"",IF($J398="Y","Flagged as an impediment",IF(AND($I398&lt;&gt;"",$I398&lt;AsOf),"Past due since "&amp;TEXT($I398,"yyyy-mm-dd"),IF($M398="Unmapped","Status '"&amp;$C398&amp;"' is not in the Config map","No update in "&amp;$N398&amp;" days (limit "&amp;$O398&amp;")"))))</f>
        <v/>
      </c>
      <c r="R398" s="29" t="str">
        <f aca="false">IF(OR($P398="",$P398="Closed",$P398="On track"),"",IF($P398="Critical",3000,2000)+$N398+ROW()/100000)</f>
        <v/>
      </c>
      <c r="S398" s="29" t="str">
        <f aca="false">IF($R398="","","draft Jira update for "&amp;$A398)</f>
        <v/>
      </c>
      <c r="T398" s="29" t="str">
        <f aca="false">IF($A398="","",HYPERLINK(JiraSite&amp;"/browse/"&amp;$A398,"open"))</f>
        <v/>
      </c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7"/>
      <c r="H399" s="27"/>
      <c r="I399" s="27"/>
      <c r="J399" s="24"/>
      <c r="K399" s="24"/>
      <c r="L399" s="24"/>
      <c r="M399" s="29" t="str">
        <f aca="false">IF($A399="","",IFERROR(INDEX(MapStage,MATCH($C399,MapStatus,0)),"Unmapped"))</f>
        <v/>
      </c>
      <c r="N399" s="29" t="str">
        <f aca="false">IF($A399="","",AsOf-$H399)</f>
        <v/>
      </c>
      <c r="O399" s="29" t="str">
        <f aca="false">IF(OR($M399="",$M399="Closed",$M399="Unmapped"),"",INDEX(StageStale,MATCH($M399,StageName,0)))</f>
        <v/>
      </c>
      <c r="P399" s="29" t="str">
        <f aca="false">IF($A399="","",IF($M399="Closed","Closed",IF($J399="Y","Critical",IF(AND($I399&lt;&gt;"",$I399&lt;AsOf),"Critical",IF($M399="Unmapped","Warning",IF($N399&gt;2*$O399,"Critical",IF($N399&gt;$O399,"Warning","On track")))))))</f>
        <v/>
      </c>
      <c r="Q399" s="29" t="str">
        <f aca="false">IF(OR($P399="",$P399="Closed",$P399="On track"),"",IF($J399="Y","Flagged as an impediment",IF(AND($I399&lt;&gt;"",$I399&lt;AsOf),"Past due since "&amp;TEXT($I399,"yyyy-mm-dd"),IF($M399="Unmapped","Status '"&amp;$C399&amp;"' is not in the Config map","No update in "&amp;$N399&amp;" days (limit "&amp;$O399&amp;")"))))</f>
        <v/>
      </c>
      <c r="R399" s="29" t="str">
        <f aca="false">IF(OR($P399="",$P399="Closed",$P399="On track"),"",IF($P399="Critical",3000,2000)+$N399+ROW()/100000)</f>
        <v/>
      </c>
      <c r="S399" s="29" t="str">
        <f aca="false">IF($R399="","","draft Jira update for "&amp;$A399)</f>
        <v/>
      </c>
      <c r="T399" s="29" t="str">
        <f aca="false">IF($A399="","",HYPERLINK(JiraSite&amp;"/browse/"&amp;$A399,"open"))</f>
        <v/>
      </c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7"/>
      <c r="H400" s="27"/>
      <c r="I400" s="27"/>
      <c r="J400" s="24"/>
      <c r="K400" s="24"/>
      <c r="L400" s="24"/>
      <c r="M400" s="29" t="str">
        <f aca="false">IF($A400="","",IFERROR(INDEX(MapStage,MATCH($C400,MapStatus,0)),"Unmapped"))</f>
        <v/>
      </c>
      <c r="N400" s="29" t="str">
        <f aca="false">IF($A400="","",AsOf-$H400)</f>
        <v/>
      </c>
      <c r="O400" s="29" t="str">
        <f aca="false">IF(OR($M400="",$M400="Closed",$M400="Unmapped"),"",INDEX(StageStale,MATCH($M400,StageName,0)))</f>
        <v/>
      </c>
      <c r="P400" s="29" t="str">
        <f aca="false">IF($A400="","",IF($M400="Closed","Closed",IF($J400="Y","Critical",IF(AND($I400&lt;&gt;"",$I400&lt;AsOf),"Critical",IF($M400="Unmapped","Warning",IF($N400&gt;2*$O400,"Critical",IF($N400&gt;$O400,"Warning","On track")))))))</f>
        <v/>
      </c>
      <c r="Q400" s="29" t="str">
        <f aca="false">IF(OR($P400="",$P400="Closed",$P400="On track"),"",IF($J400="Y","Flagged as an impediment",IF(AND($I400&lt;&gt;"",$I400&lt;AsOf),"Past due since "&amp;TEXT($I400,"yyyy-mm-dd"),IF($M400="Unmapped","Status '"&amp;$C400&amp;"' is not in the Config map","No update in "&amp;$N400&amp;" days (limit "&amp;$O400&amp;")"))))</f>
        <v/>
      </c>
      <c r="R400" s="29" t="str">
        <f aca="false">IF(OR($P400="",$P400="Closed",$P400="On track"),"",IF($P400="Critical",3000,2000)+$N400+ROW()/100000)</f>
        <v/>
      </c>
      <c r="S400" s="29" t="str">
        <f aca="false">IF($R400="","","draft Jira update for "&amp;$A400)</f>
        <v/>
      </c>
      <c r="T400" s="29" t="str">
        <f aca="false">IF($A400="","",HYPERLINK(JiraSite&amp;"/browse/"&amp;$A400,"open"))</f>
        <v/>
      </c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7"/>
      <c r="H401" s="27"/>
      <c r="I401" s="27"/>
      <c r="J401" s="24"/>
      <c r="K401" s="24"/>
      <c r="L401" s="24"/>
      <c r="M401" s="29" t="str">
        <f aca="false">IF($A401="","",IFERROR(INDEX(MapStage,MATCH($C401,MapStatus,0)),"Unmapped"))</f>
        <v/>
      </c>
      <c r="N401" s="29" t="str">
        <f aca="false">IF($A401="","",AsOf-$H401)</f>
        <v/>
      </c>
      <c r="O401" s="29" t="str">
        <f aca="false">IF(OR($M401="",$M401="Closed",$M401="Unmapped"),"",INDEX(StageStale,MATCH($M401,StageName,0)))</f>
        <v/>
      </c>
      <c r="P401" s="29" t="str">
        <f aca="false">IF($A401="","",IF($M401="Closed","Closed",IF($J401="Y","Critical",IF(AND($I401&lt;&gt;"",$I401&lt;AsOf),"Critical",IF($M401="Unmapped","Warning",IF($N401&gt;2*$O401,"Critical",IF($N401&gt;$O401,"Warning","On track")))))))</f>
        <v/>
      </c>
      <c r="Q401" s="29" t="str">
        <f aca="false">IF(OR($P401="",$P401="Closed",$P401="On track"),"",IF($J401="Y","Flagged as an impediment",IF(AND($I401&lt;&gt;"",$I401&lt;AsOf),"Past due since "&amp;TEXT($I401,"yyyy-mm-dd"),IF($M401="Unmapped","Status '"&amp;$C401&amp;"' is not in the Config map","No update in "&amp;$N401&amp;" days (limit "&amp;$O401&amp;")"))))</f>
        <v/>
      </c>
      <c r="R401" s="29" t="str">
        <f aca="false">IF(OR($P401="",$P401="Closed",$P401="On track"),"",IF($P401="Critical",3000,2000)+$N401+ROW()/100000)</f>
        <v/>
      </c>
      <c r="S401" s="29" t="str">
        <f aca="false">IF($R401="","","draft Jira update for "&amp;$A401)</f>
        <v/>
      </c>
      <c r="T401" s="29" t="str">
        <f aca="false">IF($A401="","",HYPERLINK(JiraSite&amp;"/browse/"&amp;$A401,"open"))</f>
        <v/>
      </c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7"/>
      <c r="H402" s="27"/>
      <c r="I402" s="27"/>
      <c r="J402" s="24"/>
      <c r="K402" s="24"/>
      <c r="L402" s="24"/>
      <c r="M402" s="29" t="str">
        <f aca="false">IF($A402="","",IFERROR(INDEX(MapStage,MATCH($C402,MapStatus,0)),"Unmapped"))</f>
        <v/>
      </c>
      <c r="N402" s="29" t="str">
        <f aca="false">IF($A402="","",AsOf-$H402)</f>
        <v/>
      </c>
      <c r="O402" s="29" t="str">
        <f aca="false">IF(OR($M402="",$M402="Closed",$M402="Unmapped"),"",INDEX(StageStale,MATCH($M402,StageName,0)))</f>
        <v/>
      </c>
      <c r="P402" s="29" t="str">
        <f aca="false">IF($A402="","",IF($M402="Closed","Closed",IF($J402="Y","Critical",IF(AND($I402&lt;&gt;"",$I402&lt;AsOf),"Critical",IF($M402="Unmapped","Warning",IF($N402&gt;2*$O402,"Critical",IF($N402&gt;$O402,"Warning","On track")))))))</f>
        <v/>
      </c>
      <c r="Q402" s="29" t="str">
        <f aca="false">IF(OR($P402="",$P402="Closed",$P402="On track"),"",IF($J402="Y","Flagged as an impediment",IF(AND($I402&lt;&gt;"",$I402&lt;AsOf),"Past due since "&amp;TEXT($I402,"yyyy-mm-dd"),IF($M402="Unmapped","Status '"&amp;$C402&amp;"' is not in the Config map","No update in "&amp;$N402&amp;" days (limit "&amp;$O402&amp;")"))))</f>
        <v/>
      </c>
      <c r="R402" s="29" t="str">
        <f aca="false">IF(OR($P402="",$P402="Closed",$P402="On track"),"",IF($P402="Critical",3000,2000)+$N402+ROW()/100000)</f>
        <v/>
      </c>
      <c r="S402" s="29" t="str">
        <f aca="false">IF($R402="","","draft Jira update for "&amp;$A402)</f>
        <v/>
      </c>
      <c r="T402" s="29" t="str">
        <f aca="false">IF($A402="","",HYPERLINK(JiraSite&amp;"/browse/"&amp;$A402,"open"))</f>
        <v/>
      </c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7"/>
      <c r="H403" s="27"/>
      <c r="I403" s="27"/>
      <c r="J403" s="24"/>
      <c r="K403" s="24"/>
      <c r="L403" s="24"/>
      <c r="M403" s="29" t="str">
        <f aca="false">IF($A403="","",IFERROR(INDEX(MapStage,MATCH($C403,MapStatus,0)),"Unmapped"))</f>
        <v/>
      </c>
      <c r="N403" s="29" t="str">
        <f aca="false">IF($A403="","",AsOf-$H403)</f>
        <v/>
      </c>
      <c r="O403" s="29" t="str">
        <f aca="false">IF(OR($M403="",$M403="Closed",$M403="Unmapped"),"",INDEX(StageStale,MATCH($M403,StageName,0)))</f>
        <v/>
      </c>
      <c r="P403" s="29" t="str">
        <f aca="false">IF($A403="","",IF($M403="Closed","Closed",IF($J403="Y","Critical",IF(AND($I403&lt;&gt;"",$I403&lt;AsOf),"Critical",IF($M403="Unmapped","Warning",IF($N403&gt;2*$O403,"Critical",IF($N403&gt;$O403,"Warning","On track")))))))</f>
        <v/>
      </c>
      <c r="Q403" s="29" t="str">
        <f aca="false">IF(OR($P403="",$P403="Closed",$P403="On track"),"",IF($J403="Y","Flagged as an impediment",IF(AND($I403&lt;&gt;"",$I403&lt;AsOf),"Past due since "&amp;TEXT($I403,"yyyy-mm-dd"),IF($M403="Unmapped","Status '"&amp;$C403&amp;"' is not in the Config map","No update in "&amp;$N403&amp;" days (limit "&amp;$O403&amp;")"))))</f>
        <v/>
      </c>
      <c r="R403" s="29" t="str">
        <f aca="false">IF(OR($P403="",$P403="Closed",$P403="On track"),"",IF($P403="Critical",3000,2000)+$N403+ROW()/100000)</f>
        <v/>
      </c>
      <c r="S403" s="29" t="str">
        <f aca="false">IF($R403="","","draft Jira update for "&amp;$A403)</f>
        <v/>
      </c>
      <c r="T403" s="29" t="str">
        <f aca="false">IF($A403="","",HYPERLINK(JiraSite&amp;"/browse/"&amp;$A403,"open"))</f>
        <v/>
      </c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7"/>
      <c r="H404" s="27"/>
      <c r="I404" s="27"/>
      <c r="J404" s="24"/>
      <c r="K404" s="24"/>
      <c r="L404" s="24"/>
      <c r="M404" s="29" t="str">
        <f aca="false">IF($A404="","",IFERROR(INDEX(MapStage,MATCH($C404,MapStatus,0)),"Unmapped"))</f>
        <v/>
      </c>
      <c r="N404" s="29" t="str">
        <f aca="false">IF($A404="","",AsOf-$H404)</f>
        <v/>
      </c>
      <c r="O404" s="29" t="str">
        <f aca="false">IF(OR($M404="",$M404="Closed",$M404="Unmapped"),"",INDEX(StageStale,MATCH($M404,StageName,0)))</f>
        <v/>
      </c>
      <c r="P404" s="29" t="str">
        <f aca="false">IF($A404="","",IF($M404="Closed","Closed",IF($J404="Y","Critical",IF(AND($I404&lt;&gt;"",$I404&lt;AsOf),"Critical",IF($M404="Unmapped","Warning",IF($N404&gt;2*$O404,"Critical",IF($N404&gt;$O404,"Warning","On track")))))))</f>
        <v/>
      </c>
      <c r="Q404" s="29" t="str">
        <f aca="false">IF(OR($P404="",$P404="Closed",$P404="On track"),"",IF($J404="Y","Flagged as an impediment",IF(AND($I404&lt;&gt;"",$I404&lt;AsOf),"Past due since "&amp;TEXT($I404,"yyyy-mm-dd"),IF($M404="Unmapped","Status '"&amp;$C404&amp;"' is not in the Config map","No update in "&amp;$N404&amp;" days (limit "&amp;$O404&amp;")"))))</f>
        <v/>
      </c>
      <c r="R404" s="29" t="str">
        <f aca="false">IF(OR($P404="",$P404="Closed",$P404="On track"),"",IF($P404="Critical",3000,2000)+$N404+ROW()/100000)</f>
        <v/>
      </c>
      <c r="S404" s="29" t="str">
        <f aca="false">IF($R404="","","draft Jira update for "&amp;$A404)</f>
        <v/>
      </c>
      <c r="T404" s="29" t="str">
        <f aca="false">IF($A404="","",HYPERLINK(JiraSite&amp;"/browse/"&amp;$A404,"open"))</f>
        <v/>
      </c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7"/>
      <c r="H405" s="27"/>
      <c r="I405" s="27"/>
      <c r="J405" s="24"/>
      <c r="K405" s="24"/>
      <c r="L405" s="24"/>
      <c r="M405" s="29" t="str">
        <f aca="false">IF($A405="","",IFERROR(INDEX(MapStage,MATCH($C405,MapStatus,0)),"Unmapped"))</f>
        <v/>
      </c>
      <c r="N405" s="29" t="str">
        <f aca="false">IF($A405="","",AsOf-$H405)</f>
        <v/>
      </c>
      <c r="O405" s="29" t="str">
        <f aca="false">IF(OR($M405="",$M405="Closed",$M405="Unmapped"),"",INDEX(StageStale,MATCH($M405,StageName,0)))</f>
        <v/>
      </c>
      <c r="P405" s="29" t="str">
        <f aca="false">IF($A405="","",IF($M405="Closed","Closed",IF($J405="Y","Critical",IF(AND($I405&lt;&gt;"",$I405&lt;AsOf),"Critical",IF($M405="Unmapped","Warning",IF($N405&gt;2*$O405,"Critical",IF($N405&gt;$O405,"Warning","On track")))))))</f>
        <v/>
      </c>
      <c r="Q405" s="29" t="str">
        <f aca="false">IF(OR($P405="",$P405="Closed",$P405="On track"),"",IF($J405="Y","Flagged as an impediment",IF(AND($I405&lt;&gt;"",$I405&lt;AsOf),"Past due since "&amp;TEXT($I405,"yyyy-mm-dd"),IF($M405="Unmapped","Status '"&amp;$C405&amp;"' is not in the Config map","No update in "&amp;$N405&amp;" days (limit "&amp;$O405&amp;")"))))</f>
        <v/>
      </c>
      <c r="R405" s="29" t="str">
        <f aca="false">IF(OR($P405="",$P405="Closed",$P405="On track"),"",IF($P405="Critical",3000,2000)+$N405+ROW()/100000)</f>
        <v/>
      </c>
      <c r="S405" s="29" t="str">
        <f aca="false">IF($R405="","","draft Jira update for "&amp;$A405)</f>
        <v/>
      </c>
      <c r="T405" s="29" t="str">
        <f aca="false">IF($A405="","",HYPERLINK(JiraSite&amp;"/browse/"&amp;$A405,"open"))</f>
        <v/>
      </c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7"/>
      <c r="H406" s="27"/>
      <c r="I406" s="27"/>
      <c r="J406" s="24"/>
      <c r="K406" s="24"/>
      <c r="L406" s="24"/>
      <c r="M406" s="29" t="str">
        <f aca="false">IF($A406="","",IFERROR(INDEX(MapStage,MATCH($C406,MapStatus,0)),"Unmapped"))</f>
        <v/>
      </c>
      <c r="N406" s="29" t="str">
        <f aca="false">IF($A406="","",AsOf-$H406)</f>
        <v/>
      </c>
      <c r="O406" s="29" t="str">
        <f aca="false">IF(OR($M406="",$M406="Closed",$M406="Unmapped"),"",INDEX(StageStale,MATCH($M406,StageName,0)))</f>
        <v/>
      </c>
      <c r="P406" s="29" t="str">
        <f aca="false">IF($A406="","",IF($M406="Closed","Closed",IF($J406="Y","Critical",IF(AND($I406&lt;&gt;"",$I406&lt;AsOf),"Critical",IF($M406="Unmapped","Warning",IF($N406&gt;2*$O406,"Critical",IF($N406&gt;$O406,"Warning","On track")))))))</f>
        <v/>
      </c>
      <c r="Q406" s="29" t="str">
        <f aca="false">IF(OR($P406="",$P406="Closed",$P406="On track"),"",IF($J406="Y","Flagged as an impediment",IF(AND($I406&lt;&gt;"",$I406&lt;AsOf),"Past due since "&amp;TEXT($I406,"yyyy-mm-dd"),IF($M406="Unmapped","Status '"&amp;$C406&amp;"' is not in the Config map","No update in "&amp;$N406&amp;" days (limit "&amp;$O406&amp;")"))))</f>
        <v/>
      </c>
      <c r="R406" s="29" t="str">
        <f aca="false">IF(OR($P406="",$P406="Closed",$P406="On track"),"",IF($P406="Critical",3000,2000)+$N406+ROW()/100000)</f>
        <v/>
      </c>
      <c r="S406" s="29" t="str">
        <f aca="false">IF($R406="","","draft Jira update for "&amp;$A406)</f>
        <v/>
      </c>
      <c r="T406" s="29" t="str">
        <f aca="false">IF($A406="","",HYPERLINK(JiraSite&amp;"/browse/"&amp;$A406,"open"))</f>
        <v/>
      </c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7"/>
      <c r="H407" s="27"/>
      <c r="I407" s="27"/>
      <c r="J407" s="24"/>
      <c r="K407" s="24"/>
      <c r="L407" s="24"/>
      <c r="M407" s="29" t="str">
        <f aca="false">IF($A407="","",IFERROR(INDEX(MapStage,MATCH($C407,MapStatus,0)),"Unmapped"))</f>
        <v/>
      </c>
      <c r="N407" s="29" t="str">
        <f aca="false">IF($A407="","",AsOf-$H407)</f>
        <v/>
      </c>
      <c r="O407" s="29" t="str">
        <f aca="false">IF(OR($M407="",$M407="Closed",$M407="Unmapped"),"",INDEX(StageStale,MATCH($M407,StageName,0)))</f>
        <v/>
      </c>
      <c r="P407" s="29" t="str">
        <f aca="false">IF($A407="","",IF($M407="Closed","Closed",IF($J407="Y","Critical",IF(AND($I407&lt;&gt;"",$I407&lt;AsOf),"Critical",IF($M407="Unmapped","Warning",IF($N407&gt;2*$O407,"Critical",IF($N407&gt;$O407,"Warning","On track")))))))</f>
        <v/>
      </c>
      <c r="Q407" s="29" t="str">
        <f aca="false">IF(OR($P407="",$P407="Closed",$P407="On track"),"",IF($J407="Y","Flagged as an impediment",IF(AND($I407&lt;&gt;"",$I407&lt;AsOf),"Past due since "&amp;TEXT($I407,"yyyy-mm-dd"),IF($M407="Unmapped","Status '"&amp;$C407&amp;"' is not in the Config map","No update in "&amp;$N407&amp;" days (limit "&amp;$O407&amp;")"))))</f>
        <v/>
      </c>
      <c r="R407" s="29" t="str">
        <f aca="false">IF(OR($P407="",$P407="Closed",$P407="On track"),"",IF($P407="Critical",3000,2000)+$N407+ROW()/100000)</f>
        <v/>
      </c>
      <c r="S407" s="29" t="str">
        <f aca="false">IF($R407="","","draft Jira update for "&amp;$A407)</f>
        <v/>
      </c>
      <c r="T407" s="29" t="str">
        <f aca="false">IF($A407="","",HYPERLINK(JiraSite&amp;"/browse/"&amp;$A407,"open"))</f>
        <v/>
      </c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7"/>
      <c r="H408" s="27"/>
      <c r="I408" s="27"/>
      <c r="J408" s="24"/>
      <c r="K408" s="24"/>
      <c r="L408" s="24"/>
      <c r="M408" s="29" t="str">
        <f aca="false">IF($A408="","",IFERROR(INDEX(MapStage,MATCH($C408,MapStatus,0)),"Unmapped"))</f>
        <v/>
      </c>
      <c r="N408" s="29" t="str">
        <f aca="false">IF($A408="","",AsOf-$H408)</f>
        <v/>
      </c>
      <c r="O408" s="29" t="str">
        <f aca="false">IF(OR($M408="",$M408="Closed",$M408="Unmapped"),"",INDEX(StageStale,MATCH($M408,StageName,0)))</f>
        <v/>
      </c>
      <c r="P408" s="29" t="str">
        <f aca="false">IF($A408="","",IF($M408="Closed","Closed",IF($J408="Y","Critical",IF(AND($I408&lt;&gt;"",$I408&lt;AsOf),"Critical",IF($M408="Unmapped","Warning",IF($N408&gt;2*$O408,"Critical",IF($N408&gt;$O408,"Warning","On track")))))))</f>
        <v/>
      </c>
      <c r="Q408" s="29" t="str">
        <f aca="false">IF(OR($P408="",$P408="Closed",$P408="On track"),"",IF($J408="Y","Flagged as an impediment",IF(AND($I408&lt;&gt;"",$I408&lt;AsOf),"Past due since "&amp;TEXT($I408,"yyyy-mm-dd"),IF($M408="Unmapped","Status '"&amp;$C408&amp;"' is not in the Config map","No update in "&amp;$N408&amp;" days (limit "&amp;$O408&amp;")"))))</f>
        <v/>
      </c>
      <c r="R408" s="29" t="str">
        <f aca="false">IF(OR($P408="",$P408="Closed",$P408="On track"),"",IF($P408="Critical",3000,2000)+$N408+ROW()/100000)</f>
        <v/>
      </c>
      <c r="S408" s="29" t="str">
        <f aca="false">IF($R408="","","draft Jira update for "&amp;$A408)</f>
        <v/>
      </c>
      <c r="T408" s="29" t="str">
        <f aca="false">IF($A408="","",HYPERLINK(JiraSite&amp;"/browse/"&amp;$A408,"open"))</f>
        <v/>
      </c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7"/>
      <c r="H409" s="27"/>
      <c r="I409" s="27"/>
      <c r="J409" s="24"/>
      <c r="K409" s="24"/>
      <c r="L409" s="24"/>
      <c r="M409" s="29" t="str">
        <f aca="false">IF($A409="","",IFERROR(INDEX(MapStage,MATCH($C409,MapStatus,0)),"Unmapped"))</f>
        <v/>
      </c>
      <c r="N409" s="29" t="str">
        <f aca="false">IF($A409="","",AsOf-$H409)</f>
        <v/>
      </c>
      <c r="O409" s="29" t="str">
        <f aca="false">IF(OR($M409="",$M409="Closed",$M409="Unmapped"),"",INDEX(StageStale,MATCH($M409,StageName,0)))</f>
        <v/>
      </c>
      <c r="P409" s="29" t="str">
        <f aca="false">IF($A409="","",IF($M409="Closed","Closed",IF($J409="Y","Critical",IF(AND($I409&lt;&gt;"",$I409&lt;AsOf),"Critical",IF($M409="Unmapped","Warning",IF($N409&gt;2*$O409,"Critical",IF($N409&gt;$O409,"Warning","On track")))))))</f>
        <v/>
      </c>
      <c r="Q409" s="29" t="str">
        <f aca="false">IF(OR($P409="",$P409="Closed",$P409="On track"),"",IF($J409="Y","Flagged as an impediment",IF(AND($I409&lt;&gt;"",$I409&lt;AsOf),"Past due since "&amp;TEXT($I409,"yyyy-mm-dd"),IF($M409="Unmapped","Status '"&amp;$C409&amp;"' is not in the Config map","No update in "&amp;$N409&amp;" days (limit "&amp;$O409&amp;")"))))</f>
        <v/>
      </c>
      <c r="R409" s="29" t="str">
        <f aca="false">IF(OR($P409="",$P409="Closed",$P409="On track"),"",IF($P409="Critical",3000,2000)+$N409+ROW()/100000)</f>
        <v/>
      </c>
      <c r="S409" s="29" t="str">
        <f aca="false">IF($R409="","","draft Jira update for "&amp;$A409)</f>
        <v/>
      </c>
      <c r="T409" s="29" t="str">
        <f aca="false">IF($A409="","",HYPERLINK(JiraSite&amp;"/browse/"&amp;$A409,"open"))</f>
        <v/>
      </c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7"/>
      <c r="H410" s="27"/>
      <c r="I410" s="27"/>
      <c r="J410" s="24"/>
      <c r="K410" s="24"/>
      <c r="L410" s="24"/>
      <c r="M410" s="29" t="str">
        <f aca="false">IF($A410="","",IFERROR(INDEX(MapStage,MATCH($C410,MapStatus,0)),"Unmapped"))</f>
        <v/>
      </c>
      <c r="N410" s="29" t="str">
        <f aca="false">IF($A410="","",AsOf-$H410)</f>
        <v/>
      </c>
      <c r="O410" s="29" t="str">
        <f aca="false">IF(OR($M410="",$M410="Closed",$M410="Unmapped"),"",INDEX(StageStale,MATCH($M410,StageName,0)))</f>
        <v/>
      </c>
      <c r="P410" s="29" t="str">
        <f aca="false">IF($A410="","",IF($M410="Closed","Closed",IF($J410="Y","Critical",IF(AND($I410&lt;&gt;"",$I410&lt;AsOf),"Critical",IF($M410="Unmapped","Warning",IF($N410&gt;2*$O410,"Critical",IF($N410&gt;$O410,"Warning","On track")))))))</f>
        <v/>
      </c>
      <c r="Q410" s="29" t="str">
        <f aca="false">IF(OR($P410="",$P410="Closed",$P410="On track"),"",IF($J410="Y","Flagged as an impediment",IF(AND($I410&lt;&gt;"",$I410&lt;AsOf),"Past due since "&amp;TEXT($I410,"yyyy-mm-dd"),IF($M410="Unmapped","Status '"&amp;$C410&amp;"' is not in the Config map","No update in "&amp;$N410&amp;" days (limit "&amp;$O410&amp;")"))))</f>
        <v/>
      </c>
      <c r="R410" s="29" t="str">
        <f aca="false">IF(OR($P410="",$P410="Closed",$P410="On track"),"",IF($P410="Critical",3000,2000)+$N410+ROW()/100000)</f>
        <v/>
      </c>
      <c r="S410" s="29" t="str">
        <f aca="false">IF($R410="","","draft Jira update for "&amp;$A410)</f>
        <v/>
      </c>
      <c r="T410" s="29" t="str">
        <f aca="false">IF($A410="","",HYPERLINK(JiraSite&amp;"/browse/"&amp;$A410,"open"))</f>
        <v/>
      </c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7"/>
      <c r="H411" s="27"/>
      <c r="I411" s="27"/>
      <c r="J411" s="24"/>
      <c r="K411" s="24"/>
      <c r="L411" s="24"/>
      <c r="M411" s="29" t="str">
        <f aca="false">IF($A411="","",IFERROR(INDEX(MapStage,MATCH($C411,MapStatus,0)),"Unmapped"))</f>
        <v/>
      </c>
      <c r="N411" s="29" t="str">
        <f aca="false">IF($A411="","",AsOf-$H411)</f>
        <v/>
      </c>
      <c r="O411" s="29" t="str">
        <f aca="false">IF(OR($M411="",$M411="Closed",$M411="Unmapped"),"",INDEX(StageStale,MATCH($M411,StageName,0)))</f>
        <v/>
      </c>
      <c r="P411" s="29" t="str">
        <f aca="false">IF($A411="","",IF($M411="Closed","Closed",IF($J411="Y","Critical",IF(AND($I411&lt;&gt;"",$I411&lt;AsOf),"Critical",IF($M411="Unmapped","Warning",IF($N411&gt;2*$O411,"Critical",IF($N411&gt;$O411,"Warning","On track")))))))</f>
        <v/>
      </c>
      <c r="Q411" s="29" t="str">
        <f aca="false">IF(OR($P411="",$P411="Closed",$P411="On track"),"",IF($J411="Y","Flagged as an impediment",IF(AND($I411&lt;&gt;"",$I411&lt;AsOf),"Past due since "&amp;TEXT($I411,"yyyy-mm-dd"),IF($M411="Unmapped","Status '"&amp;$C411&amp;"' is not in the Config map","No update in "&amp;$N411&amp;" days (limit "&amp;$O411&amp;")"))))</f>
        <v/>
      </c>
      <c r="R411" s="29" t="str">
        <f aca="false">IF(OR($P411="",$P411="Closed",$P411="On track"),"",IF($P411="Critical",3000,2000)+$N411+ROW()/100000)</f>
        <v/>
      </c>
      <c r="S411" s="29" t="str">
        <f aca="false">IF($R411="","","draft Jira update for "&amp;$A411)</f>
        <v/>
      </c>
      <c r="T411" s="29" t="str">
        <f aca="false">IF($A411="","",HYPERLINK(JiraSite&amp;"/browse/"&amp;$A411,"open"))</f>
        <v/>
      </c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7"/>
      <c r="H412" s="27"/>
      <c r="I412" s="27"/>
      <c r="J412" s="24"/>
      <c r="K412" s="24"/>
      <c r="L412" s="24"/>
      <c r="M412" s="29" t="str">
        <f aca="false">IF($A412="","",IFERROR(INDEX(MapStage,MATCH($C412,MapStatus,0)),"Unmapped"))</f>
        <v/>
      </c>
      <c r="N412" s="29" t="str">
        <f aca="false">IF($A412="","",AsOf-$H412)</f>
        <v/>
      </c>
      <c r="O412" s="29" t="str">
        <f aca="false">IF(OR($M412="",$M412="Closed",$M412="Unmapped"),"",INDEX(StageStale,MATCH($M412,StageName,0)))</f>
        <v/>
      </c>
      <c r="P412" s="29" t="str">
        <f aca="false">IF($A412="","",IF($M412="Closed","Closed",IF($J412="Y","Critical",IF(AND($I412&lt;&gt;"",$I412&lt;AsOf),"Critical",IF($M412="Unmapped","Warning",IF($N412&gt;2*$O412,"Critical",IF($N412&gt;$O412,"Warning","On track")))))))</f>
        <v/>
      </c>
      <c r="Q412" s="29" t="str">
        <f aca="false">IF(OR($P412="",$P412="Closed",$P412="On track"),"",IF($J412="Y","Flagged as an impediment",IF(AND($I412&lt;&gt;"",$I412&lt;AsOf),"Past due since "&amp;TEXT($I412,"yyyy-mm-dd"),IF($M412="Unmapped","Status '"&amp;$C412&amp;"' is not in the Config map","No update in "&amp;$N412&amp;" days (limit "&amp;$O412&amp;")"))))</f>
        <v/>
      </c>
      <c r="R412" s="29" t="str">
        <f aca="false">IF(OR($P412="",$P412="Closed",$P412="On track"),"",IF($P412="Critical",3000,2000)+$N412+ROW()/100000)</f>
        <v/>
      </c>
      <c r="S412" s="29" t="str">
        <f aca="false">IF($R412="","","draft Jira update for "&amp;$A412)</f>
        <v/>
      </c>
      <c r="T412" s="29" t="str">
        <f aca="false">IF($A412="","",HYPERLINK(JiraSite&amp;"/browse/"&amp;$A412,"open"))</f>
        <v/>
      </c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7"/>
      <c r="H413" s="27"/>
      <c r="I413" s="27"/>
      <c r="J413" s="24"/>
      <c r="K413" s="24"/>
      <c r="L413" s="24"/>
      <c r="M413" s="29" t="str">
        <f aca="false">IF($A413="","",IFERROR(INDEX(MapStage,MATCH($C413,MapStatus,0)),"Unmapped"))</f>
        <v/>
      </c>
      <c r="N413" s="29" t="str">
        <f aca="false">IF($A413="","",AsOf-$H413)</f>
        <v/>
      </c>
      <c r="O413" s="29" t="str">
        <f aca="false">IF(OR($M413="",$M413="Closed",$M413="Unmapped"),"",INDEX(StageStale,MATCH($M413,StageName,0)))</f>
        <v/>
      </c>
      <c r="P413" s="29" t="str">
        <f aca="false">IF($A413="","",IF($M413="Closed","Closed",IF($J413="Y","Critical",IF(AND($I413&lt;&gt;"",$I413&lt;AsOf),"Critical",IF($M413="Unmapped","Warning",IF($N413&gt;2*$O413,"Critical",IF($N413&gt;$O413,"Warning","On track")))))))</f>
        <v/>
      </c>
      <c r="Q413" s="29" t="str">
        <f aca="false">IF(OR($P413="",$P413="Closed",$P413="On track"),"",IF($J413="Y","Flagged as an impediment",IF(AND($I413&lt;&gt;"",$I413&lt;AsOf),"Past due since "&amp;TEXT($I413,"yyyy-mm-dd"),IF($M413="Unmapped","Status '"&amp;$C413&amp;"' is not in the Config map","No update in "&amp;$N413&amp;" days (limit "&amp;$O413&amp;")"))))</f>
        <v/>
      </c>
      <c r="R413" s="29" t="str">
        <f aca="false">IF(OR($P413="",$P413="Closed",$P413="On track"),"",IF($P413="Critical",3000,2000)+$N413+ROW()/100000)</f>
        <v/>
      </c>
      <c r="S413" s="29" t="str">
        <f aca="false">IF($R413="","","draft Jira update for "&amp;$A413)</f>
        <v/>
      </c>
      <c r="T413" s="29" t="str">
        <f aca="false">IF($A413="","",HYPERLINK(JiraSite&amp;"/browse/"&amp;$A413,"open"))</f>
        <v/>
      </c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7"/>
      <c r="H414" s="27"/>
      <c r="I414" s="27"/>
      <c r="J414" s="24"/>
      <c r="K414" s="24"/>
      <c r="L414" s="24"/>
      <c r="M414" s="29" t="str">
        <f aca="false">IF($A414="","",IFERROR(INDEX(MapStage,MATCH($C414,MapStatus,0)),"Unmapped"))</f>
        <v/>
      </c>
      <c r="N414" s="29" t="str">
        <f aca="false">IF($A414="","",AsOf-$H414)</f>
        <v/>
      </c>
      <c r="O414" s="29" t="str">
        <f aca="false">IF(OR($M414="",$M414="Closed",$M414="Unmapped"),"",INDEX(StageStale,MATCH($M414,StageName,0)))</f>
        <v/>
      </c>
      <c r="P414" s="29" t="str">
        <f aca="false">IF($A414="","",IF($M414="Closed","Closed",IF($J414="Y","Critical",IF(AND($I414&lt;&gt;"",$I414&lt;AsOf),"Critical",IF($M414="Unmapped","Warning",IF($N414&gt;2*$O414,"Critical",IF($N414&gt;$O414,"Warning","On track")))))))</f>
        <v/>
      </c>
      <c r="Q414" s="29" t="str">
        <f aca="false">IF(OR($P414="",$P414="Closed",$P414="On track"),"",IF($J414="Y","Flagged as an impediment",IF(AND($I414&lt;&gt;"",$I414&lt;AsOf),"Past due since "&amp;TEXT($I414,"yyyy-mm-dd"),IF($M414="Unmapped","Status '"&amp;$C414&amp;"' is not in the Config map","No update in "&amp;$N414&amp;" days (limit "&amp;$O414&amp;")"))))</f>
        <v/>
      </c>
      <c r="R414" s="29" t="str">
        <f aca="false">IF(OR($P414="",$P414="Closed",$P414="On track"),"",IF($P414="Critical",3000,2000)+$N414+ROW()/100000)</f>
        <v/>
      </c>
      <c r="S414" s="29" t="str">
        <f aca="false">IF($R414="","","draft Jira update for "&amp;$A414)</f>
        <v/>
      </c>
      <c r="T414" s="29" t="str">
        <f aca="false">IF($A414="","",HYPERLINK(JiraSite&amp;"/browse/"&amp;$A414,"open"))</f>
        <v/>
      </c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7"/>
      <c r="H415" s="27"/>
      <c r="I415" s="27"/>
      <c r="J415" s="24"/>
      <c r="K415" s="24"/>
      <c r="L415" s="24"/>
      <c r="M415" s="29" t="str">
        <f aca="false">IF($A415="","",IFERROR(INDEX(MapStage,MATCH($C415,MapStatus,0)),"Unmapped"))</f>
        <v/>
      </c>
      <c r="N415" s="29" t="str">
        <f aca="false">IF($A415="","",AsOf-$H415)</f>
        <v/>
      </c>
      <c r="O415" s="29" t="str">
        <f aca="false">IF(OR($M415="",$M415="Closed",$M415="Unmapped"),"",INDEX(StageStale,MATCH($M415,StageName,0)))</f>
        <v/>
      </c>
      <c r="P415" s="29" t="str">
        <f aca="false">IF($A415="","",IF($M415="Closed","Closed",IF($J415="Y","Critical",IF(AND($I415&lt;&gt;"",$I415&lt;AsOf),"Critical",IF($M415="Unmapped","Warning",IF($N415&gt;2*$O415,"Critical",IF($N415&gt;$O415,"Warning","On track")))))))</f>
        <v/>
      </c>
      <c r="Q415" s="29" t="str">
        <f aca="false">IF(OR($P415="",$P415="Closed",$P415="On track"),"",IF($J415="Y","Flagged as an impediment",IF(AND($I415&lt;&gt;"",$I415&lt;AsOf),"Past due since "&amp;TEXT($I415,"yyyy-mm-dd"),IF($M415="Unmapped","Status '"&amp;$C415&amp;"' is not in the Config map","No update in "&amp;$N415&amp;" days (limit "&amp;$O415&amp;")"))))</f>
        <v/>
      </c>
      <c r="R415" s="29" t="str">
        <f aca="false">IF(OR($P415="",$P415="Closed",$P415="On track"),"",IF($P415="Critical",3000,2000)+$N415+ROW()/100000)</f>
        <v/>
      </c>
      <c r="S415" s="29" t="str">
        <f aca="false">IF($R415="","","draft Jira update for "&amp;$A415)</f>
        <v/>
      </c>
      <c r="T415" s="29" t="str">
        <f aca="false">IF($A415="","",HYPERLINK(JiraSite&amp;"/browse/"&amp;$A415,"open"))</f>
        <v/>
      </c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7"/>
      <c r="H416" s="27"/>
      <c r="I416" s="27"/>
      <c r="J416" s="24"/>
      <c r="K416" s="24"/>
      <c r="L416" s="24"/>
      <c r="M416" s="29" t="str">
        <f aca="false">IF($A416="","",IFERROR(INDEX(MapStage,MATCH($C416,MapStatus,0)),"Unmapped"))</f>
        <v/>
      </c>
      <c r="N416" s="29" t="str">
        <f aca="false">IF($A416="","",AsOf-$H416)</f>
        <v/>
      </c>
      <c r="O416" s="29" t="str">
        <f aca="false">IF(OR($M416="",$M416="Closed",$M416="Unmapped"),"",INDEX(StageStale,MATCH($M416,StageName,0)))</f>
        <v/>
      </c>
      <c r="P416" s="29" t="str">
        <f aca="false">IF($A416="","",IF($M416="Closed","Closed",IF($J416="Y","Critical",IF(AND($I416&lt;&gt;"",$I416&lt;AsOf),"Critical",IF($M416="Unmapped","Warning",IF($N416&gt;2*$O416,"Critical",IF($N416&gt;$O416,"Warning","On track")))))))</f>
        <v/>
      </c>
      <c r="Q416" s="29" t="str">
        <f aca="false">IF(OR($P416="",$P416="Closed",$P416="On track"),"",IF($J416="Y","Flagged as an impediment",IF(AND($I416&lt;&gt;"",$I416&lt;AsOf),"Past due since "&amp;TEXT($I416,"yyyy-mm-dd"),IF($M416="Unmapped","Status '"&amp;$C416&amp;"' is not in the Config map","No update in "&amp;$N416&amp;" days (limit "&amp;$O416&amp;")"))))</f>
        <v/>
      </c>
      <c r="R416" s="29" t="str">
        <f aca="false">IF(OR($P416="",$P416="Closed",$P416="On track"),"",IF($P416="Critical",3000,2000)+$N416+ROW()/100000)</f>
        <v/>
      </c>
      <c r="S416" s="29" t="str">
        <f aca="false">IF($R416="","","draft Jira update for "&amp;$A416)</f>
        <v/>
      </c>
      <c r="T416" s="29" t="str">
        <f aca="false">IF($A416="","",HYPERLINK(JiraSite&amp;"/browse/"&amp;$A416,"open"))</f>
        <v/>
      </c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7"/>
      <c r="H417" s="27"/>
      <c r="I417" s="27"/>
      <c r="J417" s="24"/>
      <c r="K417" s="24"/>
      <c r="L417" s="24"/>
      <c r="M417" s="29" t="str">
        <f aca="false">IF($A417="","",IFERROR(INDEX(MapStage,MATCH($C417,MapStatus,0)),"Unmapped"))</f>
        <v/>
      </c>
      <c r="N417" s="29" t="str">
        <f aca="false">IF($A417="","",AsOf-$H417)</f>
        <v/>
      </c>
      <c r="O417" s="29" t="str">
        <f aca="false">IF(OR($M417="",$M417="Closed",$M417="Unmapped"),"",INDEX(StageStale,MATCH($M417,StageName,0)))</f>
        <v/>
      </c>
      <c r="P417" s="29" t="str">
        <f aca="false">IF($A417="","",IF($M417="Closed","Closed",IF($J417="Y","Critical",IF(AND($I417&lt;&gt;"",$I417&lt;AsOf),"Critical",IF($M417="Unmapped","Warning",IF($N417&gt;2*$O417,"Critical",IF($N417&gt;$O417,"Warning","On track")))))))</f>
        <v/>
      </c>
      <c r="Q417" s="29" t="str">
        <f aca="false">IF(OR($P417="",$P417="Closed",$P417="On track"),"",IF($J417="Y","Flagged as an impediment",IF(AND($I417&lt;&gt;"",$I417&lt;AsOf),"Past due since "&amp;TEXT($I417,"yyyy-mm-dd"),IF($M417="Unmapped","Status '"&amp;$C417&amp;"' is not in the Config map","No update in "&amp;$N417&amp;" days (limit "&amp;$O417&amp;")"))))</f>
        <v/>
      </c>
      <c r="R417" s="29" t="str">
        <f aca="false">IF(OR($P417="",$P417="Closed",$P417="On track"),"",IF($P417="Critical",3000,2000)+$N417+ROW()/100000)</f>
        <v/>
      </c>
      <c r="S417" s="29" t="str">
        <f aca="false">IF($R417="","","draft Jira update for "&amp;$A417)</f>
        <v/>
      </c>
      <c r="T417" s="29" t="str">
        <f aca="false">IF($A417="","",HYPERLINK(JiraSite&amp;"/browse/"&amp;$A417,"open"))</f>
        <v/>
      </c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7"/>
      <c r="H418" s="27"/>
      <c r="I418" s="27"/>
      <c r="J418" s="24"/>
      <c r="K418" s="24"/>
      <c r="L418" s="24"/>
      <c r="M418" s="29" t="str">
        <f aca="false">IF($A418="","",IFERROR(INDEX(MapStage,MATCH($C418,MapStatus,0)),"Unmapped"))</f>
        <v/>
      </c>
      <c r="N418" s="29" t="str">
        <f aca="false">IF($A418="","",AsOf-$H418)</f>
        <v/>
      </c>
      <c r="O418" s="29" t="str">
        <f aca="false">IF(OR($M418="",$M418="Closed",$M418="Unmapped"),"",INDEX(StageStale,MATCH($M418,StageName,0)))</f>
        <v/>
      </c>
      <c r="P418" s="29" t="str">
        <f aca="false">IF($A418="","",IF($M418="Closed","Closed",IF($J418="Y","Critical",IF(AND($I418&lt;&gt;"",$I418&lt;AsOf),"Critical",IF($M418="Unmapped","Warning",IF($N418&gt;2*$O418,"Critical",IF($N418&gt;$O418,"Warning","On track")))))))</f>
        <v/>
      </c>
      <c r="Q418" s="29" t="str">
        <f aca="false">IF(OR($P418="",$P418="Closed",$P418="On track"),"",IF($J418="Y","Flagged as an impediment",IF(AND($I418&lt;&gt;"",$I418&lt;AsOf),"Past due since "&amp;TEXT($I418,"yyyy-mm-dd"),IF($M418="Unmapped","Status '"&amp;$C418&amp;"' is not in the Config map","No update in "&amp;$N418&amp;" days (limit "&amp;$O418&amp;")"))))</f>
        <v/>
      </c>
      <c r="R418" s="29" t="str">
        <f aca="false">IF(OR($P418="",$P418="Closed",$P418="On track"),"",IF($P418="Critical",3000,2000)+$N418+ROW()/100000)</f>
        <v/>
      </c>
      <c r="S418" s="29" t="str">
        <f aca="false">IF($R418="","","draft Jira update for "&amp;$A418)</f>
        <v/>
      </c>
      <c r="T418" s="29" t="str">
        <f aca="false">IF($A418="","",HYPERLINK(JiraSite&amp;"/browse/"&amp;$A418,"open"))</f>
        <v/>
      </c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7"/>
      <c r="H419" s="27"/>
      <c r="I419" s="27"/>
      <c r="J419" s="24"/>
      <c r="K419" s="24"/>
      <c r="L419" s="24"/>
      <c r="M419" s="29" t="str">
        <f aca="false">IF($A419="","",IFERROR(INDEX(MapStage,MATCH($C419,MapStatus,0)),"Unmapped"))</f>
        <v/>
      </c>
      <c r="N419" s="29" t="str">
        <f aca="false">IF($A419="","",AsOf-$H419)</f>
        <v/>
      </c>
      <c r="O419" s="29" t="str">
        <f aca="false">IF(OR($M419="",$M419="Closed",$M419="Unmapped"),"",INDEX(StageStale,MATCH($M419,StageName,0)))</f>
        <v/>
      </c>
      <c r="P419" s="29" t="str">
        <f aca="false">IF($A419="","",IF($M419="Closed","Closed",IF($J419="Y","Critical",IF(AND($I419&lt;&gt;"",$I419&lt;AsOf),"Critical",IF($M419="Unmapped","Warning",IF($N419&gt;2*$O419,"Critical",IF($N419&gt;$O419,"Warning","On track")))))))</f>
        <v/>
      </c>
      <c r="Q419" s="29" t="str">
        <f aca="false">IF(OR($P419="",$P419="Closed",$P419="On track"),"",IF($J419="Y","Flagged as an impediment",IF(AND($I419&lt;&gt;"",$I419&lt;AsOf),"Past due since "&amp;TEXT($I419,"yyyy-mm-dd"),IF($M419="Unmapped","Status '"&amp;$C419&amp;"' is not in the Config map","No update in "&amp;$N419&amp;" days (limit "&amp;$O419&amp;")"))))</f>
        <v/>
      </c>
      <c r="R419" s="29" t="str">
        <f aca="false">IF(OR($P419="",$P419="Closed",$P419="On track"),"",IF($P419="Critical",3000,2000)+$N419+ROW()/100000)</f>
        <v/>
      </c>
      <c r="S419" s="29" t="str">
        <f aca="false">IF($R419="","","draft Jira update for "&amp;$A419)</f>
        <v/>
      </c>
      <c r="T419" s="29" t="str">
        <f aca="false">IF($A419="","",HYPERLINK(JiraSite&amp;"/browse/"&amp;$A419,"open"))</f>
        <v/>
      </c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7"/>
      <c r="H420" s="27"/>
      <c r="I420" s="27"/>
      <c r="J420" s="24"/>
      <c r="K420" s="24"/>
      <c r="L420" s="24"/>
      <c r="M420" s="29" t="str">
        <f aca="false">IF($A420="","",IFERROR(INDEX(MapStage,MATCH($C420,MapStatus,0)),"Unmapped"))</f>
        <v/>
      </c>
      <c r="N420" s="29" t="str">
        <f aca="false">IF($A420="","",AsOf-$H420)</f>
        <v/>
      </c>
      <c r="O420" s="29" t="str">
        <f aca="false">IF(OR($M420="",$M420="Closed",$M420="Unmapped"),"",INDEX(StageStale,MATCH($M420,StageName,0)))</f>
        <v/>
      </c>
      <c r="P420" s="29" t="str">
        <f aca="false">IF($A420="","",IF($M420="Closed","Closed",IF($J420="Y","Critical",IF(AND($I420&lt;&gt;"",$I420&lt;AsOf),"Critical",IF($M420="Unmapped","Warning",IF($N420&gt;2*$O420,"Critical",IF($N420&gt;$O420,"Warning","On track")))))))</f>
        <v/>
      </c>
      <c r="Q420" s="29" t="str">
        <f aca="false">IF(OR($P420="",$P420="Closed",$P420="On track"),"",IF($J420="Y","Flagged as an impediment",IF(AND($I420&lt;&gt;"",$I420&lt;AsOf),"Past due since "&amp;TEXT($I420,"yyyy-mm-dd"),IF($M420="Unmapped","Status '"&amp;$C420&amp;"' is not in the Config map","No update in "&amp;$N420&amp;" days (limit "&amp;$O420&amp;")"))))</f>
        <v/>
      </c>
      <c r="R420" s="29" t="str">
        <f aca="false">IF(OR($P420="",$P420="Closed",$P420="On track"),"",IF($P420="Critical",3000,2000)+$N420+ROW()/100000)</f>
        <v/>
      </c>
      <c r="S420" s="29" t="str">
        <f aca="false">IF($R420="","","draft Jira update for "&amp;$A420)</f>
        <v/>
      </c>
      <c r="T420" s="29" t="str">
        <f aca="false">IF($A420="","",HYPERLINK(JiraSite&amp;"/browse/"&amp;$A420,"open"))</f>
        <v/>
      </c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7"/>
      <c r="H421" s="27"/>
      <c r="I421" s="27"/>
      <c r="J421" s="24"/>
      <c r="K421" s="24"/>
      <c r="L421" s="24"/>
      <c r="M421" s="29" t="str">
        <f aca="false">IF($A421="","",IFERROR(INDEX(MapStage,MATCH($C421,MapStatus,0)),"Unmapped"))</f>
        <v/>
      </c>
      <c r="N421" s="29" t="str">
        <f aca="false">IF($A421="","",AsOf-$H421)</f>
        <v/>
      </c>
      <c r="O421" s="29" t="str">
        <f aca="false">IF(OR($M421="",$M421="Closed",$M421="Unmapped"),"",INDEX(StageStale,MATCH($M421,StageName,0)))</f>
        <v/>
      </c>
      <c r="P421" s="29" t="str">
        <f aca="false">IF($A421="","",IF($M421="Closed","Closed",IF($J421="Y","Critical",IF(AND($I421&lt;&gt;"",$I421&lt;AsOf),"Critical",IF($M421="Unmapped","Warning",IF($N421&gt;2*$O421,"Critical",IF($N421&gt;$O421,"Warning","On track")))))))</f>
        <v/>
      </c>
      <c r="Q421" s="29" t="str">
        <f aca="false">IF(OR($P421="",$P421="Closed",$P421="On track"),"",IF($J421="Y","Flagged as an impediment",IF(AND($I421&lt;&gt;"",$I421&lt;AsOf),"Past due since "&amp;TEXT($I421,"yyyy-mm-dd"),IF($M421="Unmapped","Status '"&amp;$C421&amp;"' is not in the Config map","No update in "&amp;$N421&amp;" days (limit "&amp;$O421&amp;")"))))</f>
        <v/>
      </c>
      <c r="R421" s="29" t="str">
        <f aca="false">IF(OR($P421="",$P421="Closed",$P421="On track"),"",IF($P421="Critical",3000,2000)+$N421+ROW()/100000)</f>
        <v/>
      </c>
      <c r="S421" s="29" t="str">
        <f aca="false">IF($R421="","","draft Jira update for "&amp;$A421)</f>
        <v/>
      </c>
      <c r="T421" s="29" t="str">
        <f aca="false">IF($A421="","",HYPERLINK(JiraSite&amp;"/browse/"&amp;$A421,"open"))</f>
        <v/>
      </c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7"/>
      <c r="H422" s="27"/>
      <c r="I422" s="27"/>
      <c r="J422" s="24"/>
      <c r="K422" s="24"/>
      <c r="L422" s="24"/>
      <c r="M422" s="29" t="str">
        <f aca="false">IF($A422="","",IFERROR(INDEX(MapStage,MATCH($C422,MapStatus,0)),"Unmapped"))</f>
        <v/>
      </c>
      <c r="N422" s="29" t="str">
        <f aca="false">IF($A422="","",AsOf-$H422)</f>
        <v/>
      </c>
      <c r="O422" s="29" t="str">
        <f aca="false">IF(OR($M422="",$M422="Closed",$M422="Unmapped"),"",INDEX(StageStale,MATCH($M422,StageName,0)))</f>
        <v/>
      </c>
      <c r="P422" s="29" t="str">
        <f aca="false">IF($A422="","",IF($M422="Closed","Closed",IF($J422="Y","Critical",IF(AND($I422&lt;&gt;"",$I422&lt;AsOf),"Critical",IF($M422="Unmapped","Warning",IF($N422&gt;2*$O422,"Critical",IF($N422&gt;$O422,"Warning","On track")))))))</f>
        <v/>
      </c>
      <c r="Q422" s="29" t="str">
        <f aca="false">IF(OR($P422="",$P422="Closed",$P422="On track"),"",IF($J422="Y","Flagged as an impediment",IF(AND($I422&lt;&gt;"",$I422&lt;AsOf),"Past due since "&amp;TEXT($I422,"yyyy-mm-dd"),IF($M422="Unmapped","Status '"&amp;$C422&amp;"' is not in the Config map","No update in "&amp;$N422&amp;" days (limit "&amp;$O422&amp;")"))))</f>
        <v/>
      </c>
      <c r="R422" s="29" t="str">
        <f aca="false">IF(OR($P422="",$P422="Closed",$P422="On track"),"",IF($P422="Critical",3000,2000)+$N422+ROW()/100000)</f>
        <v/>
      </c>
      <c r="S422" s="29" t="str">
        <f aca="false">IF($R422="","","draft Jira update for "&amp;$A422)</f>
        <v/>
      </c>
      <c r="T422" s="29" t="str">
        <f aca="false">IF($A422="","",HYPERLINK(JiraSite&amp;"/browse/"&amp;$A422,"open"))</f>
        <v/>
      </c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7"/>
      <c r="H423" s="27"/>
      <c r="I423" s="27"/>
      <c r="J423" s="24"/>
      <c r="K423" s="24"/>
      <c r="L423" s="24"/>
      <c r="M423" s="29" t="str">
        <f aca="false">IF($A423="","",IFERROR(INDEX(MapStage,MATCH($C423,MapStatus,0)),"Unmapped"))</f>
        <v/>
      </c>
      <c r="N423" s="29" t="str">
        <f aca="false">IF($A423="","",AsOf-$H423)</f>
        <v/>
      </c>
      <c r="O423" s="29" t="str">
        <f aca="false">IF(OR($M423="",$M423="Closed",$M423="Unmapped"),"",INDEX(StageStale,MATCH($M423,StageName,0)))</f>
        <v/>
      </c>
      <c r="P423" s="29" t="str">
        <f aca="false">IF($A423="","",IF($M423="Closed","Closed",IF($J423="Y","Critical",IF(AND($I423&lt;&gt;"",$I423&lt;AsOf),"Critical",IF($M423="Unmapped","Warning",IF($N423&gt;2*$O423,"Critical",IF($N423&gt;$O423,"Warning","On track")))))))</f>
        <v/>
      </c>
      <c r="Q423" s="29" t="str">
        <f aca="false">IF(OR($P423="",$P423="Closed",$P423="On track"),"",IF($J423="Y","Flagged as an impediment",IF(AND($I423&lt;&gt;"",$I423&lt;AsOf),"Past due since "&amp;TEXT($I423,"yyyy-mm-dd"),IF($M423="Unmapped","Status '"&amp;$C423&amp;"' is not in the Config map","No update in "&amp;$N423&amp;" days (limit "&amp;$O423&amp;")"))))</f>
        <v/>
      </c>
      <c r="R423" s="29" t="str">
        <f aca="false">IF(OR($P423="",$P423="Closed",$P423="On track"),"",IF($P423="Critical",3000,2000)+$N423+ROW()/100000)</f>
        <v/>
      </c>
      <c r="S423" s="29" t="str">
        <f aca="false">IF($R423="","","draft Jira update for "&amp;$A423)</f>
        <v/>
      </c>
      <c r="T423" s="29" t="str">
        <f aca="false">IF($A423="","",HYPERLINK(JiraSite&amp;"/browse/"&amp;$A423,"open"))</f>
        <v/>
      </c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7"/>
      <c r="H424" s="27"/>
      <c r="I424" s="27"/>
      <c r="J424" s="24"/>
      <c r="K424" s="24"/>
      <c r="L424" s="24"/>
      <c r="M424" s="29" t="str">
        <f aca="false">IF($A424="","",IFERROR(INDEX(MapStage,MATCH($C424,MapStatus,0)),"Unmapped"))</f>
        <v/>
      </c>
      <c r="N424" s="29" t="str">
        <f aca="false">IF($A424="","",AsOf-$H424)</f>
        <v/>
      </c>
      <c r="O424" s="29" t="str">
        <f aca="false">IF(OR($M424="",$M424="Closed",$M424="Unmapped"),"",INDEX(StageStale,MATCH($M424,StageName,0)))</f>
        <v/>
      </c>
      <c r="P424" s="29" t="str">
        <f aca="false">IF($A424="","",IF($M424="Closed","Closed",IF($J424="Y","Critical",IF(AND($I424&lt;&gt;"",$I424&lt;AsOf),"Critical",IF($M424="Unmapped","Warning",IF($N424&gt;2*$O424,"Critical",IF($N424&gt;$O424,"Warning","On track")))))))</f>
        <v/>
      </c>
      <c r="Q424" s="29" t="str">
        <f aca="false">IF(OR($P424="",$P424="Closed",$P424="On track"),"",IF($J424="Y","Flagged as an impediment",IF(AND($I424&lt;&gt;"",$I424&lt;AsOf),"Past due since "&amp;TEXT($I424,"yyyy-mm-dd"),IF($M424="Unmapped","Status '"&amp;$C424&amp;"' is not in the Config map","No update in "&amp;$N424&amp;" days (limit "&amp;$O424&amp;")"))))</f>
        <v/>
      </c>
      <c r="R424" s="29" t="str">
        <f aca="false">IF(OR($P424="",$P424="Closed",$P424="On track"),"",IF($P424="Critical",3000,2000)+$N424+ROW()/100000)</f>
        <v/>
      </c>
      <c r="S424" s="29" t="str">
        <f aca="false">IF($R424="","","draft Jira update for "&amp;$A424)</f>
        <v/>
      </c>
      <c r="T424" s="29" t="str">
        <f aca="false">IF($A424="","",HYPERLINK(JiraSite&amp;"/browse/"&amp;$A424,"open"))</f>
        <v/>
      </c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7"/>
      <c r="H425" s="27"/>
      <c r="I425" s="27"/>
      <c r="J425" s="24"/>
      <c r="K425" s="24"/>
      <c r="L425" s="24"/>
      <c r="M425" s="29" t="str">
        <f aca="false">IF($A425="","",IFERROR(INDEX(MapStage,MATCH($C425,MapStatus,0)),"Unmapped"))</f>
        <v/>
      </c>
      <c r="N425" s="29" t="str">
        <f aca="false">IF($A425="","",AsOf-$H425)</f>
        <v/>
      </c>
      <c r="O425" s="29" t="str">
        <f aca="false">IF(OR($M425="",$M425="Closed",$M425="Unmapped"),"",INDEX(StageStale,MATCH($M425,StageName,0)))</f>
        <v/>
      </c>
      <c r="P425" s="29" t="str">
        <f aca="false">IF($A425="","",IF($M425="Closed","Closed",IF($J425="Y","Critical",IF(AND($I425&lt;&gt;"",$I425&lt;AsOf),"Critical",IF($M425="Unmapped","Warning",IF($N425&gt;2*$O425,"Critical",IF($N425&gt;$O425,"Warning","On track")))))))</f>
        <v/>
      </c>
      <c r="Q425" s="29" t="str">
        <f aca="false">IF(OR($P425="",$P425="Closed",$P425="On track"),"",IF($J425="Y","Flagged as an impediment",IF(AND($I425&lt;&gt;"",$I425&lt;AsOf),"Past due since "&amp;TEXT($I425,"yyyy-mm-dd"),IF($M425="Unmapped","Status '"&amp;$C425&amp;"' is not in the Config map","No update in "&amp;$N425&amp;" days (limit "&amp;$O425&amp;")"))))</f>
        <v/>
      </c>
      <c r="R425" s="29" t="str">
        <f aca="false">IF(OR($P425="",$P425="Closed",$P425="On track"),"",IF($P425="Critical",3000,2000)+$N425+ROW()/100000)</f>
        <v/>
      </c>
      <c r="S425" s="29" t="str">
        <f aca="false">IF($R425="","","draft Jira update for "&amp;$A425)</f>
        <v/>
      </c>
      <c r="T425" s="29" t="str">
        <f aca="false">IF($A425="","",HYPERLINK(JiraSite&amp;"/browse/"&amp;$A425,"open"))</f>
        <v/>
      </c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7"/>
      <c r="H426" s="27"/>
      <c r="I426" s="27"/>
      <c r="J426" s="24"/>
      <c r="K426" s="24"/>
      <c r="L426" s="24"/>
      <c r="M426" s="29" t="str">
        <f aca="false">IF($A426="","",IFERROR(INDEX(MapStage,MATCH($C426,MapStatus,0)),"Unmapped"))</f>
        <v/>
      </c>
      <c r="N426" s="29" t="str">
        <f aca="false">IF($A426="","",AsOf-$H426)</f>
        <v/>
      </c>
      <c r="O426" s="29" t="str">
        <f aca="false">IF(OR($M426="",$M426="Closed",$M426="Unmapped"),"",INDEX(StageStale,MATCH($M426,StageName,0)))</f>
        <v/>
      </c>
      <c r="P426" s="29" t="str">
        <f aca="false">IF($A426="","",IF($M426="Closed","Closed",IF($J426="Y","Critical",IF(AND($I426&lt;&gt;"",$I426&lt;AsOf),"Critical",IF($M426="Unmapped","Warning",IF($N426&gt;2*$O426,"Critical",IF($N426&gt;$O426,"Warning","On track")))))))</f>
        <v/>
      </c>
      <c r="Q426" s="29" t="str">
        <f aca="false">IF(OR($P426="",$P426="Closed",$P426="On track"),"",IF($J426="Y","Flagged as an impediment",IF(AND($I426&lt;&gt;"",$I426&lt;AsOf),"Past due since "&amp;TEXT($I426,"yyyy-mm-dd"),IF($M426="Unmapped","Status '"&amp;$C426&amp;"' is not in the Config map","No update in "&amp;$N426&amp;" days (limit "&amp;$O426&amp;")"))))</f>
        <v/>
      </c>
      <c r="R426" s="29" t="str">
        <f aca="false">IF(OR($P426="",$P426="Closed",$P426="On track"),"",IF($P426="Critical",3000,2000)+$N426+ROW()/100000)</f>
        <v/>
      </c>
      <c r="S426" s="29" t="str">
        <f aca="false">IF($R426="","","draft Jira update for "&amp;$A426)</f>
        <v/>
      </c>
      <c r="T426" s="29" t="str">
        <f aca="false">IF($A426="","",HYPERLINK(JiraSite&amp;"/browse/"&amp;$A426,"open"))</f>
        <v/>
      </c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7"/>
      <c r="H427" s="27"/>
      <c r="I427" s="27"/>
      <c r="J427" s="24"/>
      <c r="K427" s="24"/>
      <c r="L427" s="24"/>
      <c r="M427" s="29" t="str">
        <f aca="false">IF($A427="","",IFERROR(INDEX(MapStage,MATCH($C427,MapStatus,0)),"Unmapped"))</f>
        <v/>
      </c>
      <c r="N427" s="29" t="str">
        <f aca="false">IF($A427="","",AsOf-$H427)</f>
        <v/>
      </c>
      <c r="O427" s="29" t="str">
        <f aca="false">IF(OR($M427="",$M427="Closed",$M427="Unmapped"),"",INDEX(StageStale,MATCH($M427,StageName,0)))</f>
        <v/>
      </c>
      <c r="P427" s="29" t="str">
        <f aca="false">IF($A427="","",IF($M427="Closed","Closed",IF($J427="Y","Critical",IF(AND($I427&lt;&gt;"",$I427&lt;AsOf),"Critical",IF($M427="Unmapped","Warning",IF($N427&gt;2*$O427,"Critical",IF($N427&gt;$O427,"Warning","On track")))))))</f>
        <v/>
      </c>
      <c r="Q427" s="29" t="str">
        <f aca="false">IF(OR($P427="",$P427="Closed",$P427="On track"),"",IF($J427="Y","Flagged as an impediment",IF(AND($I427&lt;&gt;"",$I427&lt;AsOf),"Past due since "&amp;TEXT($I427,"yyyy-mm-dd"),IF($M427="Unmapped","Status '"&amp;$C427&amp;"' is not in the Config map","No update in "&amp;$N427&amp;" days (limit "&amp;$O427&amp;")"))))</f>
        <v/>
      </c>
      <c r="R427" s="29" t="str">
        <f aca="false">IF(OR($P427="",$P427="Closed",$P427="On track"),"",IF($P427="Critical",3000,2000)+$N427+ROW()/100000)</f>
        <v/>
      </c>
      <c r="S427" s="29" t="str">
        <f aca="false">IF($R427="","","draft Jira update for "&amp;$A427)</f>
        <v/>
      </c>
      <c r="T427" s="29" t="str">
        <f aca="false">IF($A427="","",HYPERLINK(JiraSite&amp;"/browse/"&amp;$A427,"open"))</f>
        <v/>
      </c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7"/>
      <c r="H428" s="27"/>
      <c r="I428" s="27"/>
      <c r="J428" s="24"/>
      <c r="K428" s="24"/>
      <c r="L428" s="24"/>
      <c r="M428" s="29" t="str">
        <f aca="false">IF($A428="","",IFERROR(INDEX(MapStage,MATCH($C428,MapStatus,0)),"Unmapped"))</f>
        <v/>
      </c>
      <c r="N428" s="29" t="str">
        <f aca="false">IF($A428="","",AsOf-$H428)</f>
        <v/>
      </c>
      <c r="O428" s="29" t="str">
        <f aca="false">IF(OR($M428="",$M428="Closed",$M428="Unmapped"),"",INDEX(StageStale,MATCH($M428,StageName,0)))</f>
        <v/>
      </c>
      <c r="P428" s="29" t="str">
        <f aca="false">IF($A428="","",IF($M428="Closed","Closed",IF($J428="Y","Critical",IF(AND($I428&lt;&gt;"",$I428&lt;AsOf),"Critical",IF($M428="Unmapped","Warning",IF($N428&gt;2*$O428,"Critical",IF($N428&gt;$O428,"Warning","On track")))))))</f>
        <v/>
      </c>
      <c r="Q428" s="29" t="str">
        <f aca="false">IF(OR($P428="",$P428="Closed",$P428="On track"),"",IF($J428="Y","Flagged as an impediment",IF(AND($I428&lt;&gt;"",$I428&lt;AsOf),"Past due since "&amp;TEXT($I428,"yyyy-mm-dd"),IF($M428="Unmapped","Status '"&amp;$C428&amp;"' is not in the Config map","No update in "&amp;$N428&amp;" days (limit "&amp;$O428&amp;")"))))</f>
        <v/>
      </c>
      <c r="R428" s="29" t="str">
        <f aca="false">IF(OR($P428="",$P428="Closed",$P428="On track"),"",IF($P428="Critical",3000,2000)+$N428+ROW()/100000)</f>
        <v/>
      </c>
      <c r="S428" s="29" t="str">
        <f aca="false">IF($R428="","","draft Jira update for "&amp;$A428)</f>
        <v/>
      </c>
      <c r="T428" s="29" t="str">
        <f aca="false">IF($A428="","",HYPERLINK(JiraSite&amp;"/browse/"&amp;$A428,"open"))</f>
        <v/>
      </c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7"/>
      <c r="H429" s="27"/>
      <c r="I429" s="27"/>
      <c r="J429" s="24"/>
      <c r="K429" s="24"/>
      <c r="L429" s="24"/>
      <c r="M429" s="29" t="str">
        <f aca="false">IF($A429="","",IFERROR(INDEX(MapStage,MATCH($C429,MapStatus,0)),"Unmapped"))</f>
        <v/>
      </c>
      <c r="N429" s="29" t="str">
        <f aca="false">IF($A429="","",AsOf-$H429)</f>
        <v/>
      </c>
      <c r="O429" s="29" t="str">
        <f aca="false">IF(OR($M429="",$M429="Closed",$M429="Unmapped"),"",INDEX(StageStale,MATCH($M429,StageName,0)))</f>
        <v/>
      </c>
      <c r="P429" s="29" t="str">
        <f aca="false">IF($A429="","",IF($M429="Closed","Closed",IF($J429="Y","Critical",IF(AND($I429&lt;&gt;"",$I429&lt;AsOf),"Critical",IF($M429="Unmapped","Warning",IF($N429&gt;2*$O429,"Critical",IF($N429&gt;$O429,"Warning","On track")))))))</f>
        <v/>
      </c>
      <c r="Q429" s="29" t="str">
        <f aca="false">IF(OR($P429="",$P429="Closed",$P429="On track"),"",IF($J429="Y","Flagged as an impediment",IF(AND($I429&lt;&gt;"",$I429&lt;AsOf),"Past due since "&amp;TEXT($I429,"yyyy-mm-dd"),IF($M429="Unmapped","Status '"&amp;$C429&amp;"' is not in the Config map","No update in "&amp;$N429&amp;" days (limit "&amp;$O429&amp;")"))))</f>
        <v/>
      </c>
      <c r="R429" s="29" t="str">
        <f aca="false">IF(OR($P429="",$P429="Closed",$P429="On track"),"",IF($P429="Critical",3000,2000)+$N429+ROW()/100000)</f>
        <v/>
      </c>
      <c r="S429" s="29" t="str">
        <f aca="false">IF($R429="","","draft Jira update for "&amp;$A429)</f>
        <v/>
      </c>
      <c r="T429" s="29" t="str">
        <f aca="false">IF($A429="","",HYPERLINK(JiraSite&amp;"/browse/"&amp;$A429,"open"))</f>
        <v/>
      </c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7"/>
      <c r="H430" s="27"/>
      <c r="I430" s="27"/>
      <c r="J430" s="24"/>
      <c r="K430" s="24"/>
      <c r="L430" s="24"/>
      <c r="M430" s="29" t="str">
        <f aca="false">IF($A430="","",IFERROR(INDEX(MapStage,MATCH($C430,MapStatus,0)),"Unmapped"))</f>
        <v/>
      </c>
      <c r="N430" s="29" t="str">
        <f aca="false">IF($A430="","",AsOf-$H430)</f>
        <v/>
      </c>
      <c r="O430" s="29" t="str">
        <f aca="false">IF(OR($M430="",$M430="Closed",$M430="Unmapped"),"",INDEX(StageStale,MATCH($M430,StageName,0)))</f>
        <v/>
      </c>
      <c r="P430" s="29" t="str">
        <f aca="false">IF($A430="","",IF($M430="Closed","Closed",IF($J430="Y","Critical",IF(AND($I430&lt;&gt;"",$I430&lt;AsOf),"Critical",IF($M430="Unmapped","Warning",IF($N430&gt;2*$O430,"Critical",IF($N430&gt;$O430,"Warning","On track")))))))</f>
        <v/>
      </c>
      <c r="Q430" s="29" t="str">
        <f aca="false">IF(OR($P430="",$P430="Closed",$P430="On track"),"",IF($J430="Y","Flagged as an impediment",IF(AND($I430&lt;&gt;"",$I430&lt;AsOf),"Past due since "&amp;TEXT($I430,"yyyy-mm-dd"),IF($M430="Unmapped","Status '"&amp;$C430&amp;"' is not in the Config map","No update in "&amp;$N430&amp;" days (limit "&amp;$O430&amp;")"))))</f>
        <v/>
      </c>
      <c r="R430" s="29" t="str">
        <f aca="false">IF(OR($P430="",$P430="Closed",$P430="On track"),"",IF($P430="Critical",3000,2000)+$N430+ROW()/100000)</f>
        <v/>
      </c>
      <c r="S430" s="29" t="str">
        <f aca="false">IF($R430="","","draft Jira update for "&amp;$A430)</f>
        <v/>
      </c>
      <c r="T430" s="29" t="str">
        <f aca="false">IF($A430="","",HYPERLINK(JiraSite&amp;"/browse/"&amp;$A430,"open"))</f>
        <v/>
      </c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7"/>
      <c r="H431" s="27"/>
      <c r="I431" s="27"/>
      <c r="J431" s="24"/>
      <c r="K431" s="24"/>
      <c r="L431" s="24"/>
      <c r="M431" s="29" t="str">
        <f aca="false">IF($A431="","",IFERROR(INDEX(MapStage,MATCH($C431,MapStatus,0)),"Unmapped"))</f>
        <v/>
      </c>
      <c r="N431" s="29" t="str">
        <f aca="false">IF($A431="","",AsOf-$H431)</f>
        <v/>
      </c>
      <c r="O431" s="29" t="str">
        <f aca="false">IF(OR($M431="",$M431="Closed",$M431="Unmapped"),"",INDEX(StageStale,MATCH($M431,StageName,0)))</f>
        <v/>
      </c>
      <c r="P431" s="29" t="str">
        <f aca="false">IF($A431="","",IF($M431="Closed","Closed",IF($J431="Y","Critical",IF(AND($I431&lt;&gt;"",$I431&lt;AsOf),"Critical",IF($M431="Unmapped","Warning",IF($N431&gt;2*$O431,"Critical",IF($N431&gt;$O431,"Warning","On track")))))))</f>
        <v/>
      </c>
      <c r="Q431" s="29" t="str">
        <f aca="false">IF(OR($P431="",$P431="Closed",$P431="On track"),"",IF($J431="Y","Flagged as an impediment",IF(AND($I431&lt;&gt;"",$I431&lt;AsOf),"Past due since "&amp;TEXT($I431,"yyyy-mm-dd"),IF($M431="Unmapped","Status '"&amp;$C431&amp;"' is not in the Config map","No update in "&amp;$N431&amp;" days (limit "&amp;$O431&amp;")"))))</f>
        <v/>
      </c>
      <c r="R431" s="29" t="str">
        <f aca="false">IF(OR($P431="",$P431="Closed",$P431="On track"),"",IF($P431="Critical",3000,2000)+$N431+ROW()/100000)</f>
        <v/>
      </c>
      <c r="S431" s="29" t="str">
        <f aca="false">IF($R431="","","draft Jira update for "&amp;$A431)</f>
        <v/>
      </c>
      <c r="T431" s="29" t="str">
        <f aca="false">IF($A431="","",HYPERLINK(JiraSite&amp;"/browse/"&amp;$A431,"open"))</f>
        <v/>
      </c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7"/>
      <c r="H432" s="27"/>
      <c r="I432" s="27"/>
      <c r="J432" s="24"/>
      <c r="K432" s="24"/>
      <c r="L432" s="24"/>
      <c r="M432" s="29" t="str">
        <f aca="false">IF($A432="","",IFERROR(INDEX(MapStage,MATCH($C432,MapStatus,0)),"Unmapped"))</f>
        <v/>
      </c>
      <c r="N432" s="29" t="str">
        <f aca="false">IF($A432="","",AsOf-$H432)</f>
        <v/>
      </c>
      <c r="O432" s="29" t="str">
        <f aca="false">IF(OR($M432="",$M432="Closed",$M432="Unmapped"),"",INDEX(StageStale,MATCH($M432,StageName,0)))</f>
        <v/>
      </c>
      <c r="P432" s="29" t="str">
        <f aca="false">IF($A432="","",IF($M432="Closed","Closed",IF($J432="Y","Critical",IF(AND($I432&lt;&gt;"",$I432&lt;AsOf),"Critical",IF($M432="Unmapped","Warning",IF($N432&gt;2*$O432,"Critical",IF($N432&gt;$O432,"Warning","On track")))))))</f>
        <v/>
      </c>
      <c r="Q432" s="29" t="str">
        <f aca="false">IF(OR($P432="",$P432="Closed",$P432="On track"),"",IF($J432="Y","Flagged as an impediment",IF(AND($I432&lt;&gt;"",$I432&lt;AsOf),"Past due since "&amp;TEXT($I432,"yyyy-mm-dd"),IF($M432="Unmapped","Status '"&amp;$C432&amp;"' is not in the Config map","No update in "&amp;$N432&amp;" days (limit "&amp;$O432&amp;")"))))</f>
        <v/>
      </c>
      <c r="R432" s="29" t="str">
        <f aca="false">IF(OR($P432="",$P432="Closed",$P432="On track"),"",IF($P432="Critical",3000,2000)+$N432+ROW()/100000)</f>
        <v/>
      </c>
      <c r="S432" s="29" t="str">
        <f aca="false">IF($R432="","","draft Jira update for "&amp;$A432)</f>
        <v/>
      </c>
      <c r="T432" s="29" t="str">
        <f aca="false">IF($A432="","",HYPERLINK(JiraSite&amp;"/browse/"&amp;$A432,"open"))</f>
        <v/>
      </c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7"/>
      <c r="H433" s="27"/>
      <c r="I433" s="27"/>
      <c r="J433" s="24"/>
      <c r="K433" s="24"/>
      <c r="L433" s="24"/>
      <c r="M433" s="29" t="str">
        <f aca="false">IF($A433="","",IFERROR(INDEX(MapStage,MATCH($C433,MapStatus,0)),"Unmapped"))</f>
        <v/>
      </c>
      <c r="N433" s="29" t="str">
        <f aca="false">IF($A433="","",AsOf-$H433)</f>
        <v/>
      </c>
      <c r="O433" s="29" t="str">
        <f aca="false">IF(OR($M433="",$M433="Closed",$M433="Unmapped"),"",INDEX(StageStale,MATCH($M433,StageName,0)))</f>
        <v/>
      </c>
      <c r="P433" s="29" t="str">
        <f aca="false">IF($A433="","",IF($M433="Closed","Closed",IF($J433="Y","Critical",IF(AND($I433&lt;&gt;"",$I433&lt;AsOf),"Critical",IF($M433="Unmapped","Warning",IF($N433&gt;2*$O433,"Critical",IF($N433&gt;$O433,"Warning","On track")))))))</f>
        <v/>
      </c>
      <c r="Q433" s="29" t="str">
        <f aca="false">IF(OR($P433="",$P433="Closed",$P433="On track"),"",IF($J433="Y","Flagged as an impediment",IF(AND($I433&lt;&gt;"",$I433&lt;AsOf),"Past due since "&amp;TEXT($I433,"yyyy-mm-dd"),IF($M433="Unmapped","Status '"&amp;$C433&amp;"' is not in the Config map","No update in "&amp;$N433&amp;" days (limit "&amp;$O433&amp;")"))))</f>
        <v/>
      </c>
      <c r="R433" s="29" t="str">
        <f aca="false">IF(OR($P433="",$P433="Closed",$P433="On track"),"",IF($P433="Critical",3000,2000)+$N433+ROW()/100000)</f>
        <v/>
      </c>
      <c r="S433" s="29" t="str">
        <f aca="false">IF($R433="","","draft Jira update for "&amp;$A433)</f>
        <v/>
      </c>
      <c r="T433" s="29" t="str">
        <f aca="false">IF($A433="","",HYPERLINK(JiraSite&amp;"/browse/"&amp;$A433,"open"))</f>
        <v/>
      </c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7"/>
      <c r="H434" s="27"/>
      <c r="I434" s="27"/>
      <c r="J434" s="24"/>
      <c r="K434" s="24"/>
      <c r="L434" s="24"/>
      <c r="M434" s="29" t="str">
        <f aca="false">IF($A434="","",IFERROR(INDEX(MapStage,MATCH($C434,MapStatus,0)),"Unmapped"))</f>
        <v/>
      </c>
      <c r="N434" s="29" t="str">
        <f aca="false">IF($A434="","",AsOf-$H434)</f>
        <v/>
      </c>
      <c r="O434" s="29" t="str">
        <f aca="false">IF(OR($M434="",$M434="Closed",$M434="Unmapped"),"",INDEX(StageStale,MATCH($M434,StageName,0)))</f>
        <v/>
      </c>
      <c r="P434" s="29" t="str">
        <f aca="false">IF($A434="","",IF($M434="Closed","Closed",IF($J434="Y","Critical",IF(AND($I434&lt;&gt;"",$I434&lt;AsOf),"Critical",IF($M434="Unmapped","Warning",IF($N434&gt;2*$O434,"Critical",IF($N434&gt;$O434,"Warning","On track")))))))</f>
        <v/>
      </c>
      <c r="Q434" s="29" t="str">
        <f aca="false">IF(OR($P434="",$P434="Closed",$P434="On track"),"",IF($J434="Y","Flagged as an impediment",IF(AND($I434&lt;&gt;"",$I434&lt;AsOf),"Past due since "&amp;TEXT($I434,"yyyy-mm-dd"),IF($M434="Unmapped","Status '"&amp;$C434&amp;"' is not in the Config map","No update in "&amp;$N434&amp;" days (limit "&amp;$O434&amp;")"))))</f>
        <v/>
      </c>
      <c r="R434" s="29" t="str">
        <f aca="false">IF(OR($P434="",$P434="Closed",$P434="On track"),"",IF($P434="Critical",3000,2000)+$N434+ROW()/100000)</f>
        <v/>
      </c>
      <c r="S434" s="29" t="str">
        <f aca="false">IF($R434="","","draft Jira update for "&amp;$A434)</f>
        <v/>
      </c>
      <c r="T434" s="29" t="str">
        <f aca="false">IF($A434="","",HYPERLINK(JiraSite&amp;"/browse/"&amp;$A434,"open"))</f>
        <v/>
      </c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7"/>
      <c r="H435" s="27"/>
      <c r="I435" s="27"/>
      <c r="J435" s="24"/>
      <c r="K435" s="24"/>
      <c r="L435" s="24"/>
      <c r="M435" s="29" t="str">
        <f aca="false">IF($A435="","",IFERROR(INDEX(MapStage,MATCH($C435,MapStatus,0)),"Unmapped"))</f>
        <v/>
      </c>
      <c r="N435" s="29" t="str">
        <f aca="false">IF($A435="","",AsOf-$H435)</f>
        <v/>
      </c>
      <c r="O435" s="29" t="str">
        <f aca="false">IF(OR($M435="",$M435="Closed",$M435="Unmapped"),"",INDEX(StageStale,MATCH($M435,StageName,0)))</f>
        <v/>
      </c>
      <c r="P435" s="29" t="str">
        <f aca="false">IF($A435="","",IF($M435="Closed","Closed",IF($J435="Y","Critical",IF(AND($I435&lt;&gt;"",$I435&lt;AsOf),"Critical",IF($M435="Unmapped","Warning",IF($N435&gt;2*$O435,"Critical",IF($N435&gt;$O435,"Warning","On track")))))))</f>
        <v/>
      </c>
      <c r="Q435" s="29" t="str">
        <f aca="false">IF(OR($P435="",$P435="Closed",$P435="On track"),"",IF($J435="Y","Flagged as an impediment",IF(AND($I435&lt;&gt;"",$I435&lt;AsOf),"Past due since "&amp;TEXT($I435,"yyyy-mm-dd"),IF($M435="Unmapped","Status '"&amp;$C435&amp;"' is not in the Config map","No update in "&amp;$N435&amp;" days (limit "&amp;$O435&amp;")"))))</f>
        <v/>
      </c>
      <c r="R435" s="29" t="str">
        <f aca="false">IF(OR($P435="",$P435="Closed",$P435="On track"),"",IF($P435="Critical",3000,2000)+$N435+ROW()/100000)</f>
        <v/>
      </c>
      <c r="S435" s="29" t="str">
        <f aca="false">IF($R435="","","draft Jira update for "&amp;$A435)</f>
        <v/>
      </c>
      <c r="T435" s="29" t="str">
        <f aca="false">IF($A435="","",HYPERLINK(JiraSite&amp;"/browse/"&amp;$A435,"open"))</f>
        <v/>
      </c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7"/>
      <c r="H436" s="27"/>
      <c r="I436" s="27"/>
      <c r="J436" s="24"/>
      <c r="K436" s="24"/>
      <c r="L436" s="24"/>
      <c r="M436" s="29" t="str">
        <f aca="false">IF($A436="","",IFERROR(INDEX(MapStage,MATCH($C436,MapStatus,0)),"Unmapped"))</f>
        <v/>
      </c>
      <c r="N436" s="29" t="str">
        <f aca="false">IF($A436="","",AsOf-$H436)</f>
        <v/>
      </c>
      <c r="O436" s="29" t="str">
        <f aca="false">IF(OR($M436="",$M436="Closed",$M436="Unmapped"),"",INDEX(StageStale,MATCH($M436,StageName,0)))</f>
        <v/>
      </c>
      <c r="P436" s="29" t="str">
        <f aca="false">IF($A436="","",IF($M436="Closed","Closed",IF($J436="Y","Critical",IF(AND($I436&lt;&gt;"",$I436&lt;AsOf),"Critical",IF($M436="Unmapped","Warning",IF($N436&gt;2*$O436,"Critical",IF($N436&gt;$O436,"Warning","On track")))))))</f>
        <v/>
      </c>
      <c r="Q436" s="29" t="str">
        <f aca="false">IF(OR($P436="",$P436="Closed",$P436="On track"),"",IF($J436="Y","Flagged as an impediment",IF(AND($I436&lt;&gt;"",$I436&lt;AsOf),"Past due since "&amp;TEXT($I436,"yyyy-mm-dd"),IF($M436="Unmapped","Status '"&amp;$C436&amp;"' is not in the Config map","No update in "&amp;$N436&amp;" days (limit "&amp;$O436&amp;")"))))</f>
        <v/>
      </c>
      <c r="R436" s="29" t="str">
        <f aca="false">IF(OR($P436="",$P436="Closed",$P436="On track"),"",IF($P436="Critical",3000,2000)+$N436+ROW()/100000)</f>
        <v/>
      </c>
      <c r="S436" s="29" t="str">
        <f aca="false">IF($R436="","","draft Jira update for "&amp;$A436)</f>
        <v/>
      </c>
      <c r="T436" s="29" t="str">
        <f aca="false">IF($A436="","",HYPERLINK(JiraSite&amp;"/browse/"&amp;$A436,"open"))</f>
        <v/>
      </c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7"/>
      <c r="H437" s="27"/>
      <c r="I437" s="27"/>
      <c r="J437" s="24"/>
      <c r="K437" s="24"/>
      <c r="L437" s="24"/>
      <c r="M437" s="29" t="str">
        <f aca="false">IF($A437="","",IFERROR(INDEX(MapStage,MATCH($C437,MapStatus,0)),"Unmapped"))</f>
        <v/>
      </c>
      <c r="N437" s="29" t="str">
        <f aca="false">IF($A437="","",AsOf-$H437)</f>
        <v/>
      </c>
      <c r="O437" s="29" t="str">
        <f aca="false">IF(OR($M437="",$M437="Closed",$M437="Unmapped"),"",INDEX(StageStale,MATCH($M437,StageName,0)))</f>
        <v/>
      </c>
      <c r="P437" s="29" t="str">
        <f aca="false">IF($A437="","",IF($M437="Closed","Closed",IF($J437="Y","Critical",IF(AND($I437&lt;&gt;"",$I437&lt;AsOf),"Critical",IF($M437="Unmapped","Warning",IF($N437&gt;2*$O437,"Critical",IF($N437&gt;$O437,"Warning","On track")))))))</f>
        <v/>
      </c>
      <c r="Q437" s="29" t="str">
        <f aca="false">IF(OR($P437="",$P437="Closed",$P437="On track"),"",IF($J437="Y","Flagged as an impediment",IF(AND($I437&lt;&gt;"",$I437&lt;AsOf),"Past due since "&amp;TEXT($I437,"yyyy-mm-dd"),IF($M437="Unmapped","Status '"&amp;$C437&amp;"' is not in the Config map","No update in "&amp;$N437&amp;" days (limit "&amp;$O437&amp;")"))))</f>
        <v/>
      </c>
      <c r="R437" s="29" t="str">
        <f aca="false">IF(OR($P437="",$P437="Closed",$P437="On track"),"",IF($P437="Critical",3000,2000)+$N437+ROW()/100000)</f>
        <v/>
      </c>
      <c r="S437" s="29" t="str">
        <f aca="false">IF($R437="","","draft Jira update for "&amp;$A437)</f>
        <v/>
      </c>
      <c r="T437" s="29" t="str">
        <f aca="false">IF($A437="","",HYPERLINK(JiraSite&amp;"/browse/"&amp;$A437,"open"))</f>
        <v/>
      </c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7"/>
      <c r="H438" s="27"/>
      <c r="I438" s="27"/>
      <c r="J438" s="24"/>
      <c r="K438" s="24"/>
      <c r="L438" s="24"/>
      <c r="M438" s="29" t="str">
        <f aca="false">IF($A438="","",IFERROR(INDEX(MapStage,MATCH($C438,MapStatus,0)),"Unmapped"))</f>
        <v/>
      </c>
      <c r="N438" s="29" t="str">
        <f aca="false">IF($A438="","",AsOf-$H438)</f>
        <v/>
      </c>
      <c r="O438" s="29" t="str">
        <f aca="false">IF(OR($M438="",$M438="Closed",$M438="Unmapped"),"",INDEX(StageStale,MATCH($M438,StageName,0)))</f>
        <v/>
      </c>
      <c r="P438" s="29" t="str">
        <f aca="false">IF($A438="","",IF($M438="Closed","Closed",IF($J438="Y","Critical",IF(AND($I438&lt;&gt;"",$I438&lt;AsOf),"Critical",IF($M438="Unmapped","Warning",IF($N438&gt;2*$O438,"Critical",IF($N438&gt;$O438,"Warning","On track")))))))</f>
        <v/>
      </c>
      <c r="Q438" s="29" t="str">
        <f aca="false">IF(OR($P438="",$P438="Closed",$P438="On track"),"",IF($J438="Y","Flagged as an impediment",IF(AND($I438&lt;&gt;"",$I438&lt;AsOf),"Past due since "&amp;TEXT($I438,"yyyy-mm-dd"),IF($M438="Unmapped","Status '"&amp;$C438&amp;"' is not in the Config map","No update in "&amp;$N438&amp;" days (limit "&amp;$O438&amp;")"))))</f>
        <v/>
      </c>
      <c r="R438" s="29" t="str">
        <f aca="false">IF(OR($P438="",$P438="Closed",$P438="On track"),"",IF($P438="Critical",3000,2000)+$N438+ROW()/100000)</f>
        <v/>
      </c>
      <c r="S438" s="29" t="str">
        <f aca="false">IF($R438="","","draft Jira update for "&amp;$A438)</f>
        <v/>
      </c>
      <c r="T438" s="29" t="str">
        <f aca="false">IF($A438="","",HYPERLINK(JiraSite&amp;"/browse/"&amp;$A438,"open"))</f>
        <v/>
      </c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7"/>
      <c r="H439" s="27"/>
      <c r="I439" s="27"/>
      <c r="J439" s="24"/>
      <c r="K439" s="24"/>
      <c r="L439" s="24"/>
      <c r="M439" s="29" t="str">
        <f aca="false">IF($A439="","",IFERROR(INDEX(MapStage,MATCH($C439,MapStatus,0)),"Unmapped"))</f>
        <v/>
      </c>
      <c r="N439" s="29" t="str">
        <f aca="false">IF($A439="","",AsOf-$H439)</f>
        <v/>
      </c>
      <c r="O439" s="29" t="str">
        <f aca="false">IF(OR($M439="",$M439="Closed",$M439="Unmapped"),"",INDEX(StageStale,MATCH($M439,StageName,0)))</f>
        <v/>
      </c>
      <c r="P439" s="29" t="str">
        <f aca="false">IF($A439="","",IF($M439="Closed","Closed",IF($J439="Y","Critical",IF(AND($I439&lt;&gt;"",$I439&lt;AsOf),"Critical",IF($M439="Unmapped","Warning",IF($N439&gt;2*$O439,"Critical",IF($N439&gt;$O439,"Warning","On track")))))))</f>
        <v/>
      </c>
      <c r="Q439" s="29" t="str">
        <f aca="false">IF(OR($P439="",$P439="Closed",$P439="On track"),"",IF($J439="Y","Flagged as an impediment",IF(AND($I439&lt;&gt;"",$I439&lt;AsOf),"Past due since "&amp;TEXT($I439,"yyyy-mm-dd"),IF($M439="Unmapped","Status '"&amp;$C439&amp;"' is not in the Config map","No update in "&amp;$N439&amp;" days (limit "&amp;$O439&amp;")"))))</f>
        <v/>
      </c>
      <c r="R439" s="29" t="str">
        <f aca="false">IF(OR($P439="",$P439="Closed",$P439="On track"),"",IF($P439="Critical",3000,2000)+$N439+ROW()/100000)</f>
        <v/>
      </c>
      <c r="S439" s="29" t="str">
        <f aca="false">IF($R439="","","draft Jira update for "&amp;$A439)</f>
        <v/>
      </c>
      <c r="T439" s="29" t="str">
        <f aca="false">IF($A439="","",HYPERLINK(JiraSite&amp;"/browse/"&amp;$A439,"open"))</f>
        <v/>
      </c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7"/>
      <c r="H440" s="27"/>
      <c r="I440" s="27"/>
      <c r="J440" s="24"/>
      <c r="K440" s="24"/>
      <c r="L440" s="24"/>
      <c r="M440" s="29" t="str">
        <f aca="false">IF($A440="","",IFERROR(INDEX(MapStage,MATCH($C440,MapStatus,0)),"Unmapped"))</f>
        <v/>
      </c>
      <c r="N440" s="29" t="str">
        <f aca="false">IF($A440="","",AsOf-$H440)</f>
        <v/>
      </c>
      <c r="O440" s="29" t="str">
        <f aca="false">IF(OR($M440="",$M440="Closed",$M440="Unmapped"),"",INDEX(StageStale,MATCH($M440,StageName,0)))</f>
        <v/>
      </c>
      <c r="P440" s="29" t="str">
        <f aca="false">IF($A440="","",IF($M440="Closed","Closed",IF($J440="Y","Critical",IF(AND($I440&lt;&gt;"",$I440&lt;AsOf),"Critical",IF($M440="Unmapped","Warning",IF($N440&gt;2*$O440,"Critical",IF($N440&gt;$O440,"Warning","On track")))))))</f>
        <v/>
      </c>
      <c r="Q440" s="29" t="str">
        <f aca="false">IF(OR($P440="",$P440="Closed",$P440="On track"),"",IF($J440="Y","Flagged as an impediment",IF(AND($I440&lt;&gt;"",$I440&lt;AsOf),"Past due since "&amp;TEXT($I440,"yyyy-mm-dd"),IF($M440="Unmapped","Status '"&amp;$C440&amp;"' is not in the Config map","No update in "&amp;$N440&amp;" days (limit "&amp;$O440&amp;")"))))</f>
        <v/>
      </c>
      <c r="R440" s="29" t="str">
        <f aca="false">IF(OR($P440="",$P440="Closed",$P440="On track"),"",IF($P440="Critical",3000,2000)+$N440+ROW()/100000)</f>
        <v/>
      </c>
      <c r="S440" s="29" t="str">
        <f aca="false">IF($R440="","","draft Jira update for "&amp;$A440)</f>
        <v/>
      </c>
      <c r="T440" s="29" t="str">
        <f aca="false">IF($A440="","",HYPERLINK(JiraSite&amp;"/browse/"&amp;$A440,"open"))</f>
        <v/>
      </c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7"/>
      <c r="H441" s="27"/>
      <c r="I441" s="27"/>
      <c r="J441" s="24"/>
      <c r="K441" s="24"/>
      <c r="L441" s="24"/>
      <c r="M441" s="29" t="str">
        <f aca="false">IF($A441="","",IFERROR(INDEX(MapStage,MATCH($C441,MapStatus,0)),"Unmapped"))</f>
        <v/>
      </c>
      <c r="N441" s="29" t="str">
        <f aca="false">IF($A441="","",AsOf-$H441)</f>
        <v/>
      </c>
      <c r="O441" s="29" t="str">
        <f aca="false">IF(OR($M441="",$M441="Closed",$M441="Unmapped"),"",INDEX(StageStale,MATCH($M441,StageName,0)))</f>
        <v/>
      </c>
      <c r="P441" s="29" t="str">
        <f aca="false">IF($A441="","",IF($M441="Closed","Closed",IF($J441="Y","Critical",IF(AND($I441&lt;&gt;"",$I441&lt;AsOf),"Critical",IF($M441="Unmapped","Warning",IF($N441&gt;2*$O441,"Critical",IF($N441&gt;$O441,"Warning","On track")))))))</f>
        <v/>
      </c>
      <c r="Q441" s="29" t="str">
        <f aca="false">IF(OR($P441="",$P441="Closed",$P441="On track"),"",IF($J441="Y","Flagged as an impediment",IF(AND($I441&lt;&gt;"",$I441&lt;AsOf),"Past due since "&amp;TEXT($I441,"yyyy-mm-dd"),IF($M441="Unmapped","Status '"&amp;$C441&amp;"' is not in the Config map","No update in "&amp;$N441&amp;" days (limit "&amp;$O441&amp;")"))))</f>
        <v/>
      </c>
      <c r="R441" s="29" t="str">
        <f aca="false">IF(OR($P441="",$P441="Closed",$P441="On track"),"",IF($P441="Critical",3000,2000)+$N441+ROW()/100000)</f>
        <v/>
      </c>
      <c r="S441" s="29" t="str">
        <f aca="false">IF($R441="","","draft Jira update for "&amp;$A441)</f>
        <v/>
      </c>
      <c r="T441" s="29" t="str">
        <f aca="false">IF($A441="","",HYPERLINK(JiraSite&amp;"/browse/"&amp;$A441,"open"))</f>
        <v/>
      </c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7"/>
      <c r="H442" s="27"/>
      <c r="I442" s="27"/>
      <c r="J442" s="24"/>
      <c r="K442" s="24"/>
      <c r="L442" s="24"/>
      <c r="M442" s="29" t="str">
        <f aca="false">IF($A442="","",IFERROR(INDEX(MapStage,MATCH($C442,MapStatus,0)),"Unmapped"))</f>
        <v/>
      </c>
      <c r="N442" s="29" t="str">
        <f aca="false">IF($A442="","",AsOf-$H442)</f>
        <v/>
      </c>
      <c r="O442" s="29" t="str">
        <f aca="false">IF(OR($M442="",$M442="Closed",$M442="Unmapped"),"",INDEX(StageStale,MATCH($M442,StageName,0)))</f>
        <v/>
      </c>
      <c r="P442" s="29" t="str">
        <f aca="false">IF($A442="","",IF($M442="Closed","Closed",IF($J442="Y","Critical",IF(AND($I442&lt;&gt;"",$I442&lt;AsOf),"Critical",IF($M442="Unmapped","Warning",IF($N442&gt;2*$O442,"Critical",IF($N442&gt;$O442,"Warning","On track")))))))</f>
        <v/>
      </c>
      <c r="Q442" s="29" t="str">
        <f aca="false">IF(OR($P442="",$P442="Closed",$P442="On track"),"",IF($J442="Y","Flagged as an impediment",IF(AND($I442&lt;&gt;"",$I442&lt;AsOf),"Past due since "&amp;TEXT($I442,"yyyy-mm-dd"),IF($M442="Unmapped","Status '"&amp;$C442&amp;"' is not in the Config map","No update in "&amp;$N442&amp;" days (limit "&amp;$O442&amp;")"))))</f>
        <v/>
      </c>
      <c r="R442" s="29" t="str">
        <f aca="false">IF(OR($P442="",$P442="Closed",$P442="On track"),"",IF($P442="Critical",3000,2000)+$N442+ROW()/100000)</f>
        <v/>
      </c>
      <c r="S442" s="29" t="str">
        <f aca="false">IF($R442="","","draft Jira update for "&amp;$A442)</f>
        <v/>
      </c>
      <c r="T442" s="29" t="str">
        <f aca="false">IF($A442="","",HYPERLINK(JiraSite&amp;"/browse/"&amp;$A442,"open"))</f>
        <v/>
      </c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7"/>
      <c r="H443" s="27"/>
      <c r="I443" s="27"/>
      <c r="J443" s="24"/>
      <c r="K443" s="24"/>
      <c r="L443" s="24"/>
      <c r="M443" s="29" t="str">
        <f aca="false">IF($A443="","",IFERROR(INDEX(MapStage,MATCH($C443,MapStatus,0)),"Unmapped"))</f>
        <v/>
      </c>
      <c r="N443" s="29" t="str">
        <f aca="false">IF($A443="","",AsOf-$H443)</f>
        <v/>
      </c>
      <c r="O443" s="29" t="str">
        <f aca="false">IF(OR($M443="",$M443="Closed",$M443="Unmapped"),"",INDEX(StageStale,MATCH($M443,StageName,0)))</f>
        <v/>
      </c>
      <c r="P443" s="29" t="str">
        <f aca="false">IF($A443="","",IF($M443="Closed","Closed",IF($J443="Y","Critical",IF(AND($I443&lt;&gt;"",$I443&lt;AsOf),"Critical",IF($M443="Unmapped","Warning",IF($N443&gt;2*$O443,"Critical",IF($N443&gt;$O443,"Warning","On track")))))))</f>
        <v/>
      </c>
      <c r="Q443" s="29" t="str">
        <f aca="false">IF(OR($P443="",$P443="Closed",$P443="On track"),"",IF($J443="Y","Flagged as an impediment",IF(AND($I443&lt;&gt;"",$I443&lt;AsOf),"Past due since "&amp;TEXT($I443,"yyyy-mm-dd"),IF($M443="Unmapped","Status '"&amp;$C443&amp;"' is not in the Config map","No update in "&amp;$N443&amp;" days (limit "&amp;$O443&amp;")"))))</f>
        <v/>
      </c>
      <c r="R443" s="29" t="str">
        <f aca="false">IF(OR($P443="",$P443="Closed",$P443="On track"),"",IF($P443="Critical",3000,2000)+$N443+ROW()/100000)</f>
        <v/>
      </c>
      <c r="S443" s="29" t="str">
        <f aca="false">IF($R443="","","draft Jira update for "&amp;$A443)</f>
        <v/>
      </c>
      <c r="T443" s="29" t="str">
        <f aca="false">IF($A443="","",HYPERLINK(JiraSite&amp;"/browse/"&amp;$A443,"open"))</f>
        <v/>
      </c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7"/>
      <c r="H444" s="27"/>
      <c r="I444" s="27"/>
      <c r="J444" s="24"/>
      <c r="K444" s="24"/>
      <c r="L444" s="24"/>
      <c r="M444" s="29" t="str">
        <f aca="false">IF($A444="","",IFERROR(INDEX(MapStage,MATCH($C444,MapStatus,0)),"Unmapped"))</f>
        <v/>
      </c>
      <c r="N444" s="29" t="str">
        <f aca="false">IF($A444="","",AsOf-$H444)</f>
        <v/>
      </c>
      <c r="O444" s="29" t="str">
        <f aca="false">IF(OR($M444="",$M444="Closed",$M444="Unmapped"),"",INDEX(StageStale,MATCH($M444,StageName,0)))</f>
        <v/>
      </c>
      <c r="P444" s="29" t="str">
        <f aca="false">IF($A444="","",IF($M444="Closed","Closed",IF($J444="Y","Critical",IF(AND($I444&lt;&gt;"",$I444&lt;AsOf),"Critical",IF($M444="Unmapped","Warning",IF($N444&gt;2*$O444,"Critical",IF($N444&gt;$O444,"Warning","On track")))))))</f>
        <v/>
      </c>
      <c r="Q444" s="29" t="str">
        <f aca="false">IF(OR($P444="",$P444="Closed",$P444="On track"),"",IF($J444="Y","Flagged as an impediment",IF(AND($I444&lt;&gt;"",$I444&lt;AsOf),"Past due since "&amp;TEXT($I444,"yyyy-mm-dd"),IF($M444="Unmapped","Status '"&amp;$C444&amp;"' is not in the Config map","No update in "&amp;$N444&amp;" days (limit "&amp;$O444&amp;")"))))</f>
        <v/>
      </c>
      <c r="R444" s="29" t="str">
        <f aca="false">IF(OR($P444="",$P444="Closed",$P444="On track"),"",IF($P444="Critical",3000,2000)+$N444+ROW()/100000)</f>
        <v/>
      </c>
      <c r="S444" s="29" t="str">
        <f aca="false">IF($R444="","","draft Jira update for "&amp;$A444)</f>
        <v/>
      </c>
      <c r="T444" s="29" t="str">
        <f aca="false">IF($A444="","",HYPERLINK(JiraSite&amp;"/browse/"&amp;$A444,"open"))</f>
        <v/>
      </c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7"/>
      <c r="H445" s="27"/>
      <c r="I445" s="27"/>
      <c r="J445" s="24"/>
      <c r="K445" s="24"/>
      <c r="L445" s="24"/>
      <c r="M445" s="29" t="str">
        <f aca="false">IF($A445="","",IFERROR(INDEX(MapStage,MATCH($C445,MapStatus,0)),"Unmapped"))</f>
        <v/>
      </c>
      <c r="N445" s="29" t="str">
        <f aca="false">IF($A445="","",AsOf-$H445)</f>
        <v/>
      </c>
      <c r="O445" s="29" t="str">
        <f aca="false">IF(OR($M445="",$M445="Closed",$M445="Unmapped"),"",INDEX(StageStale,MATCH($M445,StageName,0)))</f>
        <v/>
      </c>
      <c r="P445" s="29" t="str">
        <f aca="false">IF($A445="","",IF($M445="Closed","Closed",IF($J445="Y","Critical",IF(AND($I445&lt;&gt;"",$I445&lt;AsOf),"Critical",IF($M445="Unmapped","Warning",IF($N445&gt;2*$O445,"Critical",IF($N445&gt;$O445,"Warning","On track")))))))</f>
        <v/>
      </c>
      <c r="Q445" s="29" t="str">
        <f aca="false">IF(OR($P445="",$P445="Closed",$P445="On track"),"",IF($J445="Y","Flagged as an impediment",IF(AND($I445&lt;&gt;"",$I445&lt;AsOf),"Past due since "&amp;TEXT($I445,"yyyy-mm-dd"),IF($M445="Unmapped","Status '"&amp;$C445&amp;"' is not in the Config map","No update in "&amp;$N445&amp;" days (limit "&amp;$O445&amp;")"))))</f>
        <v/>
      </c>
      <c r="R445" s="29" t="str">
        <f aca="false">IF(OR($P445="",$P445="Closed",$P445="On track"),"",IF($P445="Critical",3000,2000)+$N445+ROW()/100000)</f>
        <v/>
      </c>
      <c r="S445" s="29" t="str">
        <f aca="false">IF($R445="","","draft Jira update for "&amp;$A445)</f>
        <v/>
      </c>
      <c r="T445" s="29" t="str">
        <f aca="false">IF($A445="","",HYPERLINK(JiraSite&amp;"/browse/"&amp;$A445,"open"))</f>
        <v/>
      </c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7"/>
      <c r="H446" s="27"/>
      <c r="I446" s="27"/>
      <c r="J446" s="24"/>
      <c r="K446" s="24"/>
      <c r="L446" s="24"/>
      <c r="M446" s="29" t="str">
        <f aca="false">IF($A446="","",IFERROR(INDEX(MapStage,MATCH($C446,MapStatus,0)),"Unmapped"))</f>
        <v/>
      </c>
      <c r="N446" s="29" t="str">
        <f aca="false">IF($A446="","",AsOf-$H446)</f>
        <v/>
      </c>
      <c r="O446" s="29" t="str">
        <f aca="false">IF(OR($M446="",$M446="Closed",$M446="Unmapped"),"",INDEX(StageStale,MATCH($M446,StageName,0)))</f>
        <v/>
      </c>
      <c r="P446" s="29" t="str">
        <f aca="false">IF($A446="","",IF($M446="Closed","Closed",IF($J446="Y","Critical",IF(AND($I446&lt;&gt;"",$I446&lt;AsOf),"Critical",IF($M446="Unmapped","Warning",IF($N446&gt;2*$O446,"Critical",IF($N446&gt;$O446,"Warning","On track")))))))</f>
        <v/>
      </c>
      <c r="Q446" s="29" t="str">
        <f aca="false">IF(OR($P446="",$P446="Closed",$P446="On track"),"",IF($J446="Y","Flagged as an impediment",IF(AND($I446&lt;&gt;"",$I446&lt;AsOf),"Past due since "&amp;TEXT($I446,"yyyy-mm-dd"),IF($M446="Unmapped","Status '"&amp;$C446&amp;"' is not in the Config map","No update in "&amp;$N446&amp;" days (limit "&amp;$O446&amp;")"))))</f>
        <v/>
      </c>
      <c r="R446" s="29" t="str">
        <f aca="false">IF(OR($P446="",$P446="Closed",$P446="On track"),"",IF($P446="Critical",3000,2000)+$N446+ROW()/100000)</f>
        <v/>
      </c>
      <c r="S446" s="29" t="str">
        <f aca="false">IF($R446="","","draft Jira update for "&amp;$A446)</f>
        <v/>
      </c>
      <c r="T446" s="29" t="str">
        <f aca="false">IF($A446="","",HYPERLINK(JiraSite&amp;"/browse/"&amp;$A446,"open"))</f>
        <v/>
      </c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7"/>
      <c r="H447" s="27"/>
      <c r="I447" s="27"/>
      <c r="J447" s="24"/>
      <c r="K447" s="24"/>
      <c r="L447" s="24"/>
      <c r="M447" s="29" t="str">
        <f aca="false">IF($A447="","",IFERROR(INDEX(MapStage,MATCH($C447,MapStatus,0)),"Unmapped"))</f>
        <v/>
      </c>
      <c r="N447" s="29" t="str">
        <f aca="false">IF($A447="","",AsOf-$H447)</f>
        <v/>
      </c>
      <c r="O447" s="29" t="str">
        <f aca="false">IF(OR($M447="",$M447="Closed",$M447="Unmapped"),"",INDEX(StageStale,MATCH($M447,StageName,0)))</f>
        <v/>
      </c>
      <c r="P447" s="29" t="str">
        <f aca="false">IF($A447="","",IF($M447="Closed","Closed",IF($J447="Y","Critical",IF(AND($I447&lt;&gt;"",$I447&lt;AsOf),"Critical",IF($M447="Unmapped","Warning",IF($N447&gt;2*$O447,"Critical",IF($N447&gt;$O447,"Warning","On track")))))))</f>
        <v/>
      </c>
      <c r="Q447" s="29" t="str">
        <f aca="false">IF(OR($P447="",$P447="Closed",$P447="On track"),"",IF($J447="Y","Flagged as an impediment",IF(AND($I447&lt;&gt;"",$I447&lt;AsOf),"Past due since "&amp;TEXT($I447,"yyyy-mm-dd"),IF($M447="Unmapped","Status '"&amp;$C447&amp;"' is not in the Config map","No update in "&amp;$N447&amp;" days (limit "&amp;$O447&amp;")"))))</f>
        <v/>
      </c>
      <c r="R447" s="29" t="str">
        <f aca="false">IF(OR($P447="",$P447="Closed",$P447="On track"),"",IF($P447="Critical",3000,2000)+$N447+ROW()/100000)</f>
        <v/>
      </c>
      <c r="S447" s="29" t="str">
        <f aca="false">IF($R447="","","draft Jira update for "&amp;$A447)</f>
        <v/>
      </c>
      <c r="T447" s="29" t="str">
        <f aca="false">IF($A447="","",HYPERLINK(JiraSite&amp;"/browse/"&amp;$A447,"open"))</f>
        <v/>
      </c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7"/>
      <c r="H448" s="27"/>
      <c r="I448" s="27"/>
      <c r="J448" s="24"/>
      <c r="K448" s="24"/>
      <c r="L448" s="24"/>
      <c r="M448" s="29" t="str">
        <f aca="false">IF($A448="","",IFERROR(INDEX(MapStage,MATCH($C448,MapStatus,0)),"Unmapped"))</f>
        <v/>
      </c>
      <c r="N448" s="29" t="str">
        <f aca="false">IF($A448="","",AsOf-$H448)</f>
        <v/>
      </c>
      <c r="O448" s="29" t="str">
        <f aca="false">IF(OR($M448="",$M448="Closed",$M448="Unmapped"),"",INDEX(StageStale,MATCH($M448,StageName,0)))</f>
        <v/>
      </c>
      <c r="P448" s="29" t="str">
        <f aca="false">IF($A448="","",IF($M448="Closed","Closed",IF($J448="Y","Critical",IF(AND($I448&lt;&gt;"",$I448&lt;AsOf),"Critical",IF($M448="Unmapped","Warning",IF($N448&gt;2*$O448,"Critical",IF($N448&gt;$O448,"Warning","On track")))))))</f>
        <v/>
      </c>
      <c r="Q448" s="29" t="str">
        <f aca="false">IF(OR($P448="",$P448="Closed",$P448="On track"),"",IF($J448="Y","Flagged as an impediment",IF(AND($I448&lt;&gt;"",$I448&lt;AsOf),"Past due since "&amp;TEXT($I448,"yyyy-mm-dd"),IF($M448="Unmapped","Status '"&amp;$C448&amp;"' is not in the Config map","No update in "&amp;$N448&amp;" days (limit "&amp;$O448&amp;")"))))</f>
        <v/>
      </c>
      <c r="R448" s="29" t="str">
        <f aca="false">IF(OR($P448="",$P448="Closed",$P448="On track"),"",IF($P448="Critical",3000,2000)+$N448+ROW()/100000)</f>
        <v/>
      </c>
      <c r="S448" s="29" t="str">
        <f aca="false">IF($R448="","","draft Jira update for "&amp;$A448)</f>
        <v/>
      </c>
      <c r="T448" s="29" t="str">
        <f aca="false">IF($A448="","",HYPERLINK(JiraSite&amp;"/browse/"&amp;$A448,"open"))</f>
        <v/>
      </c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7"/>
      <c r="H449" s="27"/>
      <c r="I449" s="27"/>
      <c r="J449" s="24"/>
      <c r="K449" s="24"/>
      <c r="L449" s="24"/>
      <c r="M449" s="29" t="str">
        <f aca="false">IF($A449="","",IFERROR(INDEX(MapStage,MATCH($C449,MapStatus,0)),"Unmapped"))</f>
        <v/>
      </c>
      <c r="N449" s="29" t="str">
        <f aca="false">IF($A449="","",AsOf-$H449)</f>
        <v/>
      </c>
      <c r="O449" s="29" t="str">
        <f aca="false">IF(OR($M449="",$M449="Closed",$M449="Unmapped"),"",INDEX(StageStale,MATCH($M449,StageName,0)))</f>
        <v/>
      </c>
      <c r="P449" s="29" t="str">
        <f aca="false">IF($A449="","",IF($M449="Closed","Closed",IF($J449="Y","Critical",IF(AND($I449&lt;&gt;"",$I449&lt;AsOf),"Critical",IF($M449="Unmapped","Warning",IF($N449&gt;2*$O449,"Critical",IF($N449&gt;$O449,"Warning","On track")))))))</f>
        <v/>
      </c>
      <c r="Q449" s="29" t="str">
        <f aca="false">IF(OR($P449="",$P449="Closed",$P449="On track"),"",IF($J449="Y","Flagged as an impediment",IF(AND($I449&lt;&gt;"",$I449&lt;AsOf),"Past due since "&amp;TEXT($I449,"yyyy-mm-dd"),IF($M449="Unmapped","Status '"&amp;$C449&amp;"' is not in the Config map","No update in "&amp;$N449&amp;" days (limit "&amp;$O449&amp;")"))))</f>
        <v/>
      </c>
      <c r="R449" s="29" t="str">
        <f aca="false">IF(OR($P449="",$P449="Closed",$P449="On track"),"",IF($P449="Critical",3000,2000)+$N449+ROW()/100000)</f>
        <v/>
      </c>
      <c r="S449" s="29" t="str">
        <f aca="false">IF($R449="","","draft Jira update for "&amp;$A449)</f>
        <v/>
      </c>
      <c r="T449" s="29" t="str">
        <f aca="false">IF($A449="","",HYPERLINK(JiraSite&amp;"/browse/"&amp;$A449,"open"))</f>
        <v/>
      </c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7"/>
      <c r="H450" s="27"/>
      <c r="I450" s="27"/>
      <c r="J450" s="24"/>
      <c r="K450" s="24"/>
      <c r="L450" s="24"/>
      <c r="M450" s="29" t="str">
        <f aca="false">IF($A450="","",IFERROR(INDEX(MapStage,MATCH($C450,MapStatus,0)),"Unmapped"))</f>
        <v/>
      </c>
      <c r="N450" s="29" t="str">
        <f aca="false">IF($A450="","",AsOf-$H450)</f>
        <v/>
      </c>
      <c r="O450" s="29" t="str">
        <f aca="false">IF(OR($M450="",$M450="Closed",$M450="Unmapped"),"",INDEX(StageStale,MATCH($M450,StageName,0)))</f>
        <v/>
      </c>
      <c r="P450" s="29" t="str">
        <f aca="false">IF($A450="","",IF($M450="Closed","Closed",IF($J450="Y","Critical",IF(AND($I450&lt;&gt;"",$I450&lt;AsOf),"Critical",IF($M450="Unmapped","Warning",IF($N450&gt;2*$O450,"Critical",IF($N450&gt;$O450,"Warning","On track")))))))</f>
        <v/>
      </c>
      <c r="Q450" s="29" t="str">
        <f aca="false">IF(OR($P450="",$P450="Closed",$P450="On track"),"",IF($J450="Y","Flagged as an impediment",IF(AND($I450&lt;&gt;"",$I450&lt;AsOf),"Past due since "&amp;TEXT($I450,"yyyy-mm-dd"),IF($M450="Unmapped","Status '"&amp;$C450&amp;"' is not in the Config map","No update in "&amp;$N450&amp;" days (limit "&amp;$O450&amp;")"))))</f>
        <v/>
      </c>
      <c r="R450" s="29" t="str">
        <f aca="false">IF(OR($P450="",$P450="Closed",$P450="On track"),"",IF($P450="Critical",3000,2000)+$N450+ROW()/100000)</f>
        <v/>
      </c>
      <c r="S450" s="29" t="str">
        <f aca="false">IF($R450="","","draft Jira update for "&amp;$A450)</f>
        <v/>
      </c>
      <c r="T450" s="29" t="str">
        <f aca="false">IF($A450="","",HYPERLINK(JiraSite&amp;"/browse/"&amp;$A450,"open"))</f>
        <v/>
      </c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7"/>
      <c r="H451" s="27"/>
      <c r="I451" s="27"/>
      <c r="J451" s="24"/>
      <c r="K451" s="24"/>
      <c r="L451" s="24"/>
      <c r="M451" s="29" t="str">
        <f aca="false">IF($A451="","",IFERROR(INDEX(MapStage,MATCH($C451,MapStatus,0)),"Unmapped"))</f>
        <v/>
      </c>
      <c r="N451" s="29" t="str">
        <f aca="false">IF($A451="","",AsOf-$H451)</f>
        <v/>
      </c>
      <c r="O451" s="29" t="str">
        <f aca="false">IF(OR($M451="",$M451="Closed",$M451="Unmapped"),"",INDEX(StageStale,MATCH($M451,StageName,0)))</f>
        <v/>
      </c>
      <c r="P451" s="29" t="str">
        <f aca="false">IF($A451="","",IF($M451="Closed","Closed",IF($J451="Y","Critical",IF(AND($I451&lt;&gt;"",$I451&lt;AsOf),"Critical",IF($M451="Unmapped","Warning",IF($N451&gt;2*$O451,"Critical",IF($N451&gt;$O451,"Warning","On track")))))))</f>
        <v/>
      </c>
      <c r="Q451" s="29" t="str">
        <f aca="false">IF(OR($P451="",$P451="Closed",$P451="On track"),"",IF($J451="Y","Flagged as an impediment",IF(AND($I451&lt;&gt;"",$I451&lt;AsOf),"Past due since "&amp;TEXT($I451,"yyyy-mm-dd"),IF($M451="Unmapped","Status '"&amp;$C451&amp;"' is not in the Config map","No update in "&amp;$N451&amp;" days (limit "&amp;$O451&amp;")"))))</f>
        <v/>
      </c>
      <c r="R451" s="29" t="str">
        <f aca="false">IF(OR($P451="",$P451="Closed",$P451="On track"),"",IF($P451="Critical",3000,2000)+$N451+ROW()/100000)</f>
        <v/>
      </c>
      <c r="S451" s="29" t="str">
        <f aca="false">IF($R451="","","draft Jira update for "&amp;$A451)</f>
        <v/>
      </c>
      <c r="T451" s="29" t="str">
        <f aca="false">IF($A451="","",HYPERLINK(JiraSite&amp;"/browse/"&amp;$A451,"open"))</f>
        <v/>
      </c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7"/>
      <c r="H452" s="27"/>
      <c r="I452" s="27"/>
      <c r="J452" s="24"/>
      <c r="K452" s="24"/>
      <c r="L452" s="24"/>
      <c r="M452" s="29" t="str">
        <f aca="false">IF($A452="","",IFERROR(INDEX(MapStage,MATCH($C452,MapStatus,0)),"Unmapped"))</f>
        <v/>
      </c>
      <c r="N452" s="29" t="str">
        <f aca="false">IF($A452="","",AsOf-$H452)</f>
        <v/>
      </c>
      <c r="O452" s="29" t="str">
        <f aca="false">IF(OR($M452="",$M452="Closed",$M452="Unmapped"),"",INDEX(StageStale,MATCH($M452,StageName,0)))</f>
        <v/>
      </c>
      <c r="P452" s="29" t="str">
        <f aca="false">IF($A452="","",IF($M452="Closed","Closed",IF($J452="Y","Critical",IF(AND($I452&lt;&gt;"",$I452&lt;AsOf),"Critical",IF($M452="Unmapped","Warning",IF($N452&gt;2*$O452,"Critical",IF($N452&gt;$O452,"Warning","On track")))))))</f>
        <v/>
      </c>
      <c r="Q452" s="29" t="str">
        <f aca="false">IF(OR($P452="",$P452="Closed",$P452="On track"),"",IF($J452="Y","Flagged as an impediment",IF(AND($I452&lt;&gt;"",$I452&lt;AsOf),"Past due since "&amp;TEXT($I452,"yyyy-mm-dd"),IF($M452="Unmapped","Status '"&amp;$C452&amp;"' is not in the Config map","No update in "&amp;$N452&amp;" days (limit "&amp;$O452&amp;")"))))</f>
        <v/>
      </c>
      <c r="R452" s="29" t="str">
        <f aca="false">IF(OR($P452="",$P452="Closed",$P452="On track"),"",IF($P452="Critical",3000,2000)+$N452+ROW()/100000)</f>
        <v/>
      </c>
      <c r="S452" s="29" t="str">
        <f aca="false">IF($R452="","","draft Jira update for "&amp;$A452)</f>
        <v/>
      </c>
      <c r="T452" s="29" t="str">
        <f aca="false">IF($A452="","",HYPERLINK(JiraSite&amp;"/browse/"&amp;$A452,"open"))</f>
        <v/>
      </c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7"/>
      <c r="H453" s="27"/>
      <c r="I453" s="27"/>
      <c r="J453" s="24"/>
      <c r="K453" s="24"/>
      <c r="L453" s="24"/>
      <c r="M453" s="29" t="str">
        <f aca="false">IF($A453="","",IFERROR(INDEX(MapStage,MATCH($C453,MapStatus,0)),"Unmapped"))</f>
        <v/>
      </c>
      <c r="N453" s="29" t="str">
        <f aca="false">IF($A453="","",AsOf-$H453)</f>
        <v/>
      </c>
      <c r="O453" s="29" t="str">
        <f aca="false">IF(OR($M453="",$M453="Closed",$M453="Unmapped"),"",INDEX(StageStale,MATCH($M453,StageName,0)))</f>
        <v/>
      </c>
      <c r="P453" s="29" t="str">
        <f aca="false">IF($A453="","",IF($M453="Closed","Closed",IF($J453="Y","Critical",IF(AND($I453&lt;&gt;"",$I453&lt;AsOf),"Critical",IF($M453="Unmapped","Warning",IF($N453&gt;2*$O453,"Critical",IF($N453&gt;$O453,"Warning","On track")))))))</f>
        <v/>
      </c>
      <c r="Q453" s="29" t="str">
        <f aca="false">IF(OR($P453="",$P453="Closed",$P453="On track"),"",IF($J453="Y","Flagged as an impediment",IF(AND($I453&lt;&gt;"",$I453&lt;AsOf),"Past due since "&amp;TEXT($I453,"yyyy-mm-dd"),IF($M453="Unmapped","Status '"&amp;$C453&amp;"' is not in the Config map","No update in "&amp;$N453&amp;" days (limit "&amp;$O453&amp;")"))))</f>
        <v/>
      </c>
      <c r="R453" s="29" t="str">
        <f aca="false">IF(OR($P453="",$P453="Closed",$P453="On track"),"",IF($P453="Critical",3000,2000)+$N453+ROW()/100000)</f>
        <v/>
      </c>
      <c r="S453" s="29" t="str">
        <f aca="false">IF($R453="","","draft Jira update for "&amp;$A453)</f>
        <v/>
      </c>
      <c r="T453" s="29" t="str">
        <f aca="false">IF($A453="","",HYPERLINK(JiraSite&amp;"/browse/"&amp;$A453,"open"))</f>
        <v/>
      </c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7"/>
      <c r="H454" s="27"/>
      <c r="I454" s="27"/>
      <c r="J454" s="24"/>
      <c r="K454" s="24"/>
      <c r="L454" s="24"/>
      <c r="M454" s="29" t="str">
        <f aca="false">IF($A454="","",IFERROR(INDEX(MapStage,MATCH($C454,MapStatus,0)),"Unmapped"))</f>
        <v/>
      </c>
      <c r="N454" s="29" t="str">
        <f aca="false">IF($A454="","",AsOf-$H454)</f>
        <v/>
      </c>
      <c r="O454" s="29" t="str">
        <f aca="false">IF(OR($M454="",$M454="Closed",$M454="Unmapped"),"",INDEX(StageStale,MATCH($M454,StageName,0)))</f>
        <v/>
      </c>
      <c r="P454" s="29" t="str">
        <f aca="false">IF($A454="","",IF($M454="Closed","Closed",IF($J454="Y","Critical",IF(AND($I454&lt;&gt;"",$I454&lt;AsOf),"Critical",IF($M454="Unmapped","Warning",IF($N454&gt;2*$O454,"Critical",IF($N454&gt;$O454,"Warning","On track")))))))</f>
        <v/>
      </c>
      <c r="Q454" s="29" t="str">
        <f aca="false">IF(OR($P454="",$P454="Closed",$P454="On track"),"",IF($J454="Y","Flagged as an impediment",IF(AND($I454&lt;&gt;"",$I454&lt;AsOf),"Past due since "&amp;TEXT($I454,"yyyy-mm-dd"),IF($M454="Unmapped","Status '"&amp;$C454&amp;"' is not in the Config map","No update in "&amp;$N454&amp;" days (limit "&amp;$O454&amp;")"))))</f>
        <v/>
      </c>
      <c r="R454" s="29" t="str">
        <f aca="false">IF(OR($P454="",$P454="Closed",$P454="On track"),"",IF($P454="Critical",3000,2000)+$N454+ROW()/100000)</f>
        <v/>
      </c>
      <c r="S454" s="29" t="str">
        <f aca="false">IF($R454="","","draft Jira update for "&amp;$A454)</f>
        <v/>
      </c>
      <c r="T454" s="29" t="str">
        <f aca="false">IF($A454="","",HYPERLINK(JiraSite&amp;"/browse/"&amp;$A454,"open"))</f>
        <v/>
      </c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7"/>
      <c r="H455" s="27"/>
      <c r="I455" s="27"/>
      <c r="J455" s="24"/>
      <c r="K455" s="24"/>
      <c r="L455" s="24"/>
      <c r="M455" s="29" t="str">
        <f aca="false">IF($A455="","",IFERROR(INDEX(MapStage,MATCH($C455,MapStatus,0)),"Unmapped"))</f>
        <v/>
      </c>
      <c r="N455" s="29" t="str">
        <f aca="false">IF($A455="","",AsOf-$H455)</f>
        <v/>
      </c>
      <c r="O455" s="29" t="str">
        <f aca="false">IF(OR($M455="",$M455="Closed",$M455="Unmapped"),"",INDEX(StageStale,MATCH($M455,StageName,0)))</f>
        <v/>
      </c>
      <c r="P455" s="29" t="str">
        <f aca="false">IF($A455="","",IF($M455="Closed","Closed",IF($J455="Y","Critical",IF(AND($I455&lt;&gt;"",$I455&lt;AsOf),"Critical",IF($M455="Unmapped","Warning",IF($N455&gt;2*$O455,"Critical",IF($N455&gt;$O455,"Warning","On track")))))))</f>
        <v/>
      </c>
      <c r="Q455" s="29" t="str">
        <f aca="false">IF(OR($P455="",$P455="Closed",$P455="On track"),"",IF($J455="Y","Flagged as an impediment",IF(AND($I455&lt;&gt;"",$I455&lt;AsOf),"Past due since "&amp;TEXT($I455,"yyyy-mm-dd"),IF($M455="Unmapped","Status '"&amp;$C455&amp;"' is not in the Config map","No update in "&amp;$N455&amp;" days (limit "&amp;$O455&amp;")"))))</f>
        <v/>
      </c>
      <c r="R455" s="29" t="str">
        <f aca="false">IF(OR($P455="",$P455="Closed",$P455="On track"),"",IF($P455="Critical",3000,2000)+$N455+ROW()/100000)</f>
        <v/>
      </c>
      <c r="S455" s="29" t="str">
        <f aca="false">IF($R455="","","draft Jira update for "&amp;$A455)</f>
        <v/>
      </c>
      <c r="T455" s="29" t="str">
        <f aca="false">IF($A455="","",HYPERLINK(JiraSite&amp;"/browse/"&amp;$A455,"open"))</f>
        <v/>
      </c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7"/>
      <c r="H456" s="27"/>
      <c r="I456" s="27"/>
      <c r="J456" s="24"/>
      <c r="K456" s="24"/>
      <c r="L456" s="24"/>
      <c r="M456" s="29" t="str">
        <f aca="false">IF($A456="","",IFERROR(INDEX(MapStage,MATCH($C456,MapStatus,0)),"Unmapped"))</f>
        <v/>
      </c>
      <c r="N456" s="29" t="str">
        <f aca="false">IF($A456="","",AsOf-$H456)</f>
        <v/>
      </c>
      <c r="O456" s="29" t="str">
        <f aca="false">IF(OR($M456="",$M456="Closed",$M456="Unmapped"),"",INDEX(StageStale,MATCH($M456,StageName,0)))</f>
        <v/>
      </c>
      <c r="P456" s="29" t="str">
        <f aca="false">IF($A456="","",IF($M456="Closed","Closed",IF($J456="Y","Critical",IF(AND($I456&lt;&gt;"",$I456&lt;AsOf),"Critical",IF($M456="Unmapped","Warning",IF($N456&gt;2*$O456,"Critical",IF($N456&gt;$O456,"Warning","On track")))))))</f>
        <v/>
      </c>
      <c r="Q456" s="29" t="str">
        <f aca="false">IF(OR($P456="",$P456="Closed",$P456="On track"),"",IF($J456="Y","Flagged as an impediment",IF(AND($I456&lt;&gt;"",$I456&lt;AsOf),"Past due since "&amp;TEXT($I456,"yyyy-mm-dd"),IF($M456="Unmapped","Status '"&amp;$C456&amp;"' is not in the Config map","No update in "&amp;$N456&amp;" days (limit "&amp;$O456&amp;")"))))</f>
        <v/>
      </c>
      <c r="R456" s="29" t="str">
        <f aca="false">IF(OR($P456="",$P456="Closed",$P456="On track"),"",IF($P456="Critical",3000,2000)+$N456+ROW()/100000)</f>
        <v/>
      </c>
      <c r="S456" s="29" t="str">
        <f aca="false">IF($R456="","","draft Jira update for "&amp;$A456)</f>
        <v/>
      </c>
      <c r="T456" s="29" t="str">
        <f aca="false">IF($A456="","",HYPERLINK(JiraSite&amp;"/browse/"&amp;$A456,"open"))</f>
        <v/>
      </c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7"/>
      <c r="H457" s="27"/>
      <c r="I457" s="27"/>
      <c r="J457" s="24"/>
      <c r="K457" s="24"/>
      <c r="L457" s="24"/>
      <c r="M457" s="29" t="str">
        <f aca="false">IF($A457="","",IFERROR(INDEX(MapStage,MATCH($C457,MapStatus,0)),"Unmapped"))</f>
        <v/>
      </c>
      <c r="N457" s="29" t="str">
        <f aca="false">IF($A457="","",AsOf-$H457)</f>
        <v/>
      </c>
      <c r="O457" s="29" t="str">
        <f aca="false">IF(OR($M457="",$M457="Closed",$M457="Unmapped"),"",INDEX(StageStale,MATCH($M457,StageName,0)))</f>
        <v/>
      </c>
      <c r="P457" s="29" t="str">
        <f aca="false">IF($A457="","",IF($M457="Closed","Closed",IF($J457="Y","Critical",IF(AND($I457&lt;&gt;"",$I457&lt;AsOf),"Critical",IF($M457="Unmapped","Warning",IF($N457&gt;2*$O457,"Critical",IF($N457&gt;$O457,"Warning","On track")))))))</f>
        <v/>
      </c>
      <c r="Q457" s="29" t="str">
        <f aca="false">IF(OR($P457="",$P457="Closed",$P457="On track"),"",IF($J457="Y","Flagged as an impediment",IF(AND($I457&lt;&gt;"",$I457&lt;AsOf),"Past due since "&amp;TEXT($I457,"yyyy-mm-dd"),IF($M457="Unmapped","Status '"&amp;$C457&amp;"' is not in the Config map","No update in "&amp;$N457&amp;" days (limit "&amp;$O457&amp;")"))))</f>
        <v/>
      </c>
      <c r="R457" s="29" t="str">
        <f aca="false">IF(OR($P457="",$P457="Closed",$P457="On track"),"",IF($P457="Critical",3000,2000)+$N457+ROW()/100000)</f>
        <v/>
      </c>
      <c r="S457" s="29" t="str">
        <f aca="false">IF($R457="","","draft Jira update for "&amp;$A457)</f>
        <v/>
      </c>
      <c r="T457" s="29" t="str">
        <f aca="false">IF($A457="","",HYPERLINK(JiraSite&amp;"/browse/"&amp;$A457,"open"))</f>
        <v/>
      </c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7"/>
      <c r="H458" s="27"/>
      <c r="I458" s="27"/>
      <c r="J458" s="24"/>
      <c r="K458" s="24"/>
      <c r="L458" s="24"/>
      <c r="M458" s="29" t="str">
        <f aca="false">IF($A458="","",IFERROR(INDEX(MapStage,MATCH($C458,MapStatus,0)),"Unmapped"))</f>
        <v/>
      </c>
      <c r="N458" s="29" t="str">
        <f aca="false">IF($A458="","",AsOf-$H458)</f>
        <v/>
      </c>
      <c r="O458" s="29" t="str">
        <f aca="false">IF(OR($M458="",$M458="Closed",$M458="Unmapped"),"",INDEX(StageStale,MATCH($M458,StageName,0)))</f>
        <v/>
      </c>
      <c r="P458" s="29" t="str">
        <f aca="false">IF($A458="","",IF($M458="Closed","Closed",IF($J458="Y","Critical",IF(AND($I458&lt;&gt;"",$I458&lt;AsOf),"Critical",IF($M458="Unmapped","Warning",IF($N458&gt;2*$O458,"Critical",IF($N458&gt;$O458,"Warning","On track")))))))</f>
        <v/>
      </c>
      <c r="Q458" s="29" t="str">
        <f aca="false">IF(OR($P458="",$P458="Closed",$P458="On track"),"",IF($J458="Y","Flagged as an impediment",IF(AND($I458&lt;&gt;"",$I458&lt;AsOf),"Past due since "&amp;TEXT($I458,"yyyy-mm-dd"),IF($M458="Unmapped","Status '"&amp;$C458&amp;"' is not in the Config map","No update in "&amp;$N458&amp;" days (limit "&amp;$O458&amp;")"))))</f>
        <v/>
      </c>
      <c r="R458" s="29" t="str">
        <f aca="false">IF(OR($P458="",$P458="Closed",$P458="On track"),"",IF($P458="Critical",3000,2000)+$N458+ROW()/100000)</f>
        <v/>
      </c>
      <c r="S458" s="29" t="str">
        <f aca="false">IF($R458="","","draft Jira update for "&amp;$A458)</f>
        <v/>
      </c>
      <c r="T458" s="29" t="str">
        <f aca="false">IF($A458="","",HYPERLINK(JiraSite&amp;"/browse/"&amp;$A458,"open"))</f>
        <v/>
      </c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7"/>
      <c r="H459" s="27"/>
      <c r="I459" s="27"/>
      <c r="J459" s="24"/>
      <c r="K459" s="24"/>
      <c r="L459" s="24"/>
      <c r="M459" s="29" t="str">
        <f aca="false">IF($A459="","",IFERROR(INDEX(MapStage,MATCH($C459,MapStatus,0)),"Unmapped"))</f>
        <v/>
      </c>
      <c r="N459" s="29" t="str">
        <f aca="false">IF($A459="","",AsOf-$H459)</f>
        <v/>
      </c>
      <c r="O459" s="29" t="str">
        <f aca="false">IF(OR($M459="",$M459="Closed",$M459="Unmapped"),"",INDEX(StageStale,MATCH($M459,StageName,0)))</f>
        <v/>
      </c>
      <c r="P459" s="29" t="str">
        <f aca="false">IF($A459="","",IF($M459="Closed","Closed",IF($J459="Y","Critical",IF(AND($I459&lt;&gt;"",$I459&lt;AsOf),"Critical",IF($M459="Unmapped","Warning",IF($N459&gt;2*$O459,"Critical",IF($N459&gt;$O459,"Warning","On track")))))))</f>
        <v/>
      </c>
      <c r="Q459" s="29" t="str">
        <f aca="false">IF(OR($P459="",$P459="Closed",$P459="On track"),"",IF($J459="Y","Flagged as an impediment",IF(AND($I459&lt;&gt;"",$I459&lt;AsOf),"Past due since "&amp;TEXT($I459,"yyyy-mm-dd"),IF($M459="Unmapped","Status '"&amp;$C459&amp;"' is not in the Config map","No update in "&amp;$N459&amp;" days (limit "&amp;$O459&amp;")"))))</f>
        <v/>
      </c>
      <c r="R459" s="29" t="str">
        <f aca="false">IF(OR($P459="",$P459="Closed",$P459="On track"),"",IF($P459="Critical",3000,2000)+$N459+ROW()/100000)</f>
        <v/>
      </c>
      <c r="S459" s="29" t="str">
        <f aca="false">IF($R459="","","draft Jira update for "&amp;$A459)</f>
        <v/>
      </c>
      <c r="T459" s="29" t="str">
        <f aca="false">IF($A459="","",HYPERLINK(JiraSite&amp;"/browse/"&amp;$A459,"open"))</f>
        <v/>
      </c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7"/>
      <c r="H460" s="27"/>
      <c r="I460" s="27"/>
      <c r="J460" s="24"/>
      <c r="K460" s="24"/>
      <c r="L460" s="24"/>
      <c r="M460" s="29" t="str">
        <f aca="false">IF($A460="","",IFERROR(INDEX(MapStage,MATCH($C460,MapStatus,0)),"Unmapped"))</f>
        <v/>
      </c>
      <c r="N460" s="29" t="str">
        <f aca="false">IF($A460="","",AsOf-$H460)</f>
        <v/>
      </c>
      <c r="O460" s="29" t="str">
        <f aca="false">IF(OR($M460="",$M460="Closed",$M460="Unmapped"),"",INDEX(StageStale,MATCH($M460,StageName,0)))</f>
        <v/>
      </c>
      <c r="P460" s="29" t="str">
        <f aca="false">IF($A460="","",IF($M460="Closed","Closed",IF($J460="Y","Critical",IF(AND($I460&lt;&gt;"",$I460&lt;AsOf),"Critical",IF($M460="Unmapped","Warning",IF($N460&gt;2*$O460,"Critical",IF($N460&gt;$O460,"Warning","On track")))))))</f>
        <v/>
      </c>
      <c r="Q460" s="29" t="str">
        <f aca="false">IF(OR($P460="",$P460="Closed",$P460="On track"),"",IF($J460="Y","Flagged as an impediment",IF(AND($I460&lt;&gt;"",$I460&lt;AsOf),"Past due since "&amp;TEXT($I460,"yyyy-mm-dd"),IF($M460="Unmapped","Status '"&amp;$C460&amp;"' is not in the Config map","No update in "&amp;$N460&amp;" days (limit "&amp;$O460&amp;")"))))</f>
        <v/>
      </c>
      <c r="R460" s="29" t="str">
        <f aca="false">IF(OR($P460="",$P460="Closed",$P460="On track"),"",IF($P460="Critical",3000,2000)+$N460+ROW()/100000)</f>
        <v/>
      </c>
      <c r="S460" s="29" t="str">
        <f aca="false">IF($R460="","","draft Jira update for "&amp;$A460)</f>
        <v/>
      </c>
      <c r="T460" s="29" t="str">
        <f aca="false">IF($A460="","",HYPERLINK(JiraSite&amp;"/browse/"&amp;$A460,"open"))</f>
        <v/>
      </c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7"/>
      <c r="H461" s="27"/>
      <c r="I461" s="27"/>
      <c r="J461" s="24"/>
      <c r="K461" s="24"/>
      <c r="L461" s="24"/>
      <c r="M461" s="29" t="str">
        <f aca="false">IF($A461="","",IFERROR(INDEX(MapStage,MATCH($C461,MapStatus,0)),"Unmapped"))</f>
        <v/>
      </c>
      <c r="N461" s="29" t="str">
        <f aca="false">IF($A461="","",AsOf-$H461)</f>
        <v/>
      </c>
      <c r="O461" s="29" t="str">
        <f aca="false">IF(OR($M461="",$M461="Closed",$M461="Unmapped"),"",INDEX(StageStale,MATCH($M461,StageName,0)))</f>
        <v/>
      </c>
      <c r="P461" s="29" t="str">
        <f aca="false">IF($A461="","",IF($M461="Closed","Closed",IF($J461="Y","Critical",IF(AND($I461&lt;&gt;"",$I461&lt;AsOf),"Critical",IF($M461="Unmapped","Warning",IF($N461&gt;2*$O461,"Critical",IF($N461&gt;$O461,"Warning","On track")))))))</f>
        <v/>
      </c>
      <c r="Q461" s="29" t="str">
        <f aca="false">IF(OR($P461="",$P461="Closed",$P461="On track"),"",IF($J461="Y","Flagged as an impediment",IF(AND($I461&lt;&gt;"",$I461&lt;AsOf),"Past due since "&amp;TEXT($I461,"yyyy-mm-dd"),IF($M461="Unmapped","Status '"&amp;$C461&amp;"' is not in the Config map","No update in "&amp;$N461&amp;" days (limit "&amp;$O461&amp;")"))))</f>
        <v/>
      </c>
      <c r="R461" s="29" t="str">
        <f aca="false">IF(OR($P461="",$P461="Closed",$P461="On track"),"",IF($P461="Critical",3000,2000)+$N461+ROW()/100000)</f>
        <v/>
      </c>
      <c r="S461" s="29" t="str">
        <f aca="false">IF($R461="","","draft Jira update for "&amp;$A461)</f>
        <v/>
      </c>
      <c r="T461" s="29" t="str">
        <f aca="false">IF($A461="","",HYPERLINK(JiraSite&amp;"/browse/"&amp;$A461,"open"))</f>
        <v/>
      </c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7"/>
      <c r="H462" s="27"/>
      <c r="I462" s="27"/>
      <c r="J462" s="24"/>
      <c r="K462" s="24"/>
      <c r="L462" s="24"/>
      <c r="M462" s="29" t="str">
        <f aca="false">IF($A462="","",IFERROR(INDEX(MapStage,MATCH($C462,MapStatus,0)),"Unmapped"))</f>
        <v/>
      </c>
      <c r="N462" s="29" t="str">
        <f aca="false">IF($A462="","",AsOf-$H462)</f>
        <v/>
      </c>
      <c r="O462" s="29" t="str">
        <f aca="false">IF(OR($M462="",$M462="Closed",$M462="Unmapped"),"",INDEX(StageStale,MATCH($M462,StageName,0)))</f>
        <v/>
      </c>
      <c r="P462" s="29" t="str">
        <f aca="false">IF($A462="","",IF($M462="Closed","Closed",IF($J462="Y","Critical",IF(AND($I462&lt;&gt;"",$I462&lt;AsOf),"Critical",IF($M462="Unmapped","Warning",IF($N462&gt;2*$O462,"Critical",IF($N462&gt;$O462,"Warning","On track")))))))</f>
        <v/>
      </c>
      <c r="Q462" s="29" t="str">
        <f aca="false">IF(OR($P462="",$P462="Closed",$P462="On track"),"",IF($J462="Y","Flagged as an impediment",IF(AND($I462&lt;&gt;"",$I462&lt;AsOf),"Past due since "&amp;TEXT($I462,"yyyy-mm-dd"),IF($M462="Unmapped","Status '"&amp;$C462&amp;"' is not in the Config map","No update in "&amp;$N462&amp;" days (limit "&amp;$O462&amp;")"))))</f>
        <v/>
      </c>
      <c r="R462" s="29" t="str">
        <f aca="false">IF(OR($P462="",$P462="Closed",$P462="On track"),"",IF($P462="Critical",3000,2000)+$N462+ROW()/100000)</f>
        <v/>
      </c>
      <c r="S462" s="29" t="str">
        <f aca="false">IF($R462="","","draft Jira update for "&amp;$A462)</f>
        <v/>
      </c>
      <c r="T462" s="29" t="str">
        <f aca="false">IF($A462="","",HYPERLINK(JiraSite&amp;"/browse/"&amp;$A462,"open"))</f>
        <v/>
      </c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7"/>
      <c r="H463" s="27"/>
      <c r="I463" s="27"/>
      <c r="J463" s="24"/>
      <c r="K463" s="24"/>
      <c r="L463" s="24"/>
      <c r="M463" s="29" t="str">
        <f aca="false">IF($A463="","",IFERROR(INDEX(MapStage,MATCH($C463,MapStatus,0)),"Unmapped"))</f>
        <v/>
      </c>
      <c r="N463" s="29" t="str">
        <f aca="false">IF($A463="","",AsOf-$H463)</f>
        <v/>
      </c>
      <c r="O463" s="29" t="str">
        <f aca="false">IF(OR($M463="",$M463="Closed",$M463="Unmapped"),"",INDEX(StageStale,MATCH($M463,StageName,0)))</f>
        <v/>
      </c>
      <c r="P463" s="29" t="str">
        <f aca="false">IF($A463="","",IF($M463="Closed","Closed",IF($J463="Y","Critical",IF(AND($I463&lt;&gt;"",$I463&lt;AsOf),"Critical",IF($M463="Unmapped","Warning",IF($N463&gt;2*$O463,"Critical",IF($N463&gt;$O463,"Warning","On track")))))))</f>
        <v/>
      </c>
      <c r="Q463" s="29" t="str">
        <f aca="false">IF(OR($P463="",$P463="Closed",$P463="On track"),"",IF($J463="Y","Flagged as an impediment",IF(AND($I463&lt;&gt;"",$I463&lt;AsOf),"Past due since "&amp;TEXT($I463,"yyyy-mm-dd"),IF($M463="Unmapped","Status '"&amp;$C463&amp;"' is not in the Config map","No update in "&amp;$N463&amp;" days (limit "&amp;$O463&amp;")"))))</f>
        <v/>
      </c>
      <c r="R463" s="29" t="str">
        <f aca="false">IF(OR($P463="",$P463="Closed",$P463="On track"),"",IF($P463="Critical",3000,2000)+$N463+ROW()/100000)</f>
        <v/>
      </c>
      <c r="S463" s="29" t="str">
        <f aca="false">IF($R463="","","draft Jira update for "&amp;$A463)</f>
        <v/>
      </c>
      <c r="T463" s="29" t="str">
        <f aca="false">IF($A463="","",HYPERLINK(JiraSite&amp;"/browse/"&amp;$A463,"open"))</f>
        <v/>
      </c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7"/>
      <c r="H464" s="27"/>
      <c r="I464" s="27"/>
      <c r="J464" s="24"/>
      <c r="K464" s="24"/>
      <c r="L464" s="24"/>
      <c r="M464" s="29" t="str">
        <f aca="false">IF($A464="","",IFERROR(INDEX(MapStage,MATCH($C464,MapStatus,0)),"Unmapped"))</f>
        <v/>
      </c>
      <c r="N464" s="29" t="str">
        <f aca="false">IF($A464="","",AsOf-$H464)</f>
        <v/>
      </c>
      <c r="O464" s="29" t="str">
        <f aca="false">IF(OR($M464="",$M464="Closed",$M464="Unmapped"),"",INDEX(StageStale,MATCH($M464,StageName,0)))</f>
        <v/>
      </c>
      <c r="P464" s="29" t="str">
        <f aca="false">IF($A464="","",IF($M464="Closed","Closed",IF($J464="Y","Critical",IF(AND($I464&lt;&gt;"",$I464&lt;AsOf),"Critical",IF($M464="Unmapped","Warning",IF($N464&gt;2*$O464,"Critical",IF($N464&gt;$O464,"Warning","On track")))))))</f>
        <v/>
      </c>
      <c r="Q464" s="29" t="str">
        <f aca="false">IF(OR($P464="",$P464="Closed",$P464="On track"),"",IF($J464="Y","Flagged as an impediment",IF(AND($I464&lt;&gt;"",$I464&lt;AsOf),"Past due since "&amp;TEXT($I464,"yyyy-mm-dd"),IF($M464="Unmapped","Status '"&amp;$C464&amp;"' is not in the Config map","No update in "&amp;$N464&amp;" days (limit "&amp;$O464&amp;")"))))</f>
        <v/>
      </c>
      <c r="R464" s="29" t="str">
        <f aca="false">IF(OR($P464="",$P464="Closed",$P464="On track"),"",IF($P464="Critical",3000,2000)+$N464+ROW()/100000)</f>
        <v/>
      </c>
      <c r="S464" s="29" t="str">
        <f aca="false">IF($R464="","","draft Jira update for "&amp;$A464)</f>
        <v/>
      </c>
      <c r="T464" s="29" t="str">
        <f aca="false">IF($A464="","",HYPERLINK(JiraSite&amp;"/browse/"&amp;$A464,"open"))</f>
        <v/>
      </c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7"/>
      <c r="H465" s="27"/>
      <c r="I465" s="27"/>
      <c r="J465" s="24"/>
      <c r="K465" s="24"/>
      <c r="L465" s="24"/>
      <c r="M465" s="29" t="str">
        <f aca="false">IF($A465="","",IFERROR(INDEX(MapStage,MATCH($C465,MapStatus,0)),"Unmapped"))</f>
        <v/>
      </c>
      <c r="N465" s="29" t="str">
        <f aca="false">IF($A465="","",AsOf-$H465)</f>
        <v/>
      </c>
      <c r="O465" s="29" t="str">
        <f aca="false">IF(OR($M465="",$M465="Closed",$M465="Unmapped"),"",INDEX(StageStale,MATCH($M465,StageName,0)))</f>
        <v/>
      </c>
      <c r="P465" s="29" t="str">
        <f aca="false">IF($A465="","",IF($M465="Closed","Closed",IF($J465="Y","Critical",IF(AND($I465&lt;&gt;"",$I465&lt;AsOf),"Critical",IF($M465="Unmapped","Warning",IF($N465&gt;2*$O465,"Critical",IF($N465&gt;$O465,"Warning","On track")))))))</f>
        <v/>
      </c>
      <c r="Q465" s="29" t="str">
        <f aca="false">IF(OR($P465="",$P465="Closed",$P465="On track"),"",IF($J465="Y","Flagged as an impediment",IF(AND($I465&lt;&gt;"",$I465&lt;AsOf),"Past due since "&amp;TEXT($I465,"yyyy-mm-dd"),IF($M465="Unmapped","Status '"&amp;$C465&amp;"' is not in the Config map","No update in "&amp;$N465&amp;" days (limit "&amp;$O465&amp;")"))))</f>
        <v/>
      </c>
      <c r="R465" s="29" t="str">
        <f aca="false">IF(OR($P465="",$P465="Closed",$P465="On track"),"",IF($P465="Critical",3000,2000)+$N465+ROW()/100000)</f>
        <v/>
      </c>
      <c r="S465" s="29" t="str">
        <f aca="false">IF($R465="","","draft Jira update for "&amp;$A465)</f>
        <v/>
      </c>
      <c r="T465" s="29" t="str">
        <f aca="false">IF($A465="","",HYPERLINK(JiraSite&amp;"/browse/"&amp;$A465,"open"))</f>
        <v/>
      </c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7"/>
      <c r="H466" s="27"/>
      <c r="I466" s="27"/>
      <c r="J466" s="24"/>
      <c r="K466" s="24"/>
      <c r="L466" s="24"/>
      <c r="M466" s="29" t="str">
        <f aca="false">IF($A466="","",IFERROR(INDEX(MapStage,MATCH($C466,MapStatus,0)),"Unmapped"))</f>
        <v/>
      </c>
      <c r="N466" s="29" t="str">
        <f aca="false">IF($A466="","",AsOf-$H466)</f>
        <v/>
      </c>
      <c r="O466" s="29" t="str">
        <f aca="false">IF(OR($M466="",$M466="Closed",$M466="Unmapped"),"",INDEX(StageStale,MATCH($M466,StageName,0)))</f>
        <v/>
      </c>
      <c r="P466" s="29" t="str">
        <f aca="false">IF($A466="","",IF($M466="Closed","Closed",IF($J466="Y","Critical",IF(AND($I466&lt;&gt;"",$I466&lt;AsOf),"Critical",IF($M466="Unmapped","Warning",IF($N466&gt;2*$O466,"Critical",IF($N466&gt;$O466,"Warning","On track")))))))</f>
        <v/>
      </c>
      <c r="Q466" s="29" t="str">
        <f aca="false">IF(OR($P466="",$P466="Closed",$P466="On track"),"",IF($J466="Y","Flagged as an impediment",IF(AND($I466&lt;&gt;"",$I466&lt;AsOf),"Past due since "&amp;TEXT($I466,"yyyy-mm-dd"),IF($M466="Unmapped","Status '"&amp;$C466&amp;"' is not in the Config map","No update in "&amp;$N466&amp;" days (limit "&amp;$O466&amp;")"))))</f>
        <v/>
      </c>
      <c r="R466" s="29" t="str">
        <f aca="false">IF(OR($P466="",$P466="Closed",$P466="On track"),"",IF($P466="Critical",3000,2000)+$N466+ROW()/100000)</f>
        <v/>
      </c>
      <c r="S466" s="29" t="str">
        <f aca="false">IF($R466="","","draft Jira update for "&amp;$A466)</f>
        <v/>
      </c>
      <c r="T466" s="29" t="str">
        <f aca="false">IF($A466="","",HYPERLINK(JiraSite&amp;"/browse/"&amp;$A466,"open"))</f>
        <v/>
      </c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7"/>
      <c r="H467" s="27"/>
      <c r="I467" s="27"/>
      <c r="J467" s="24"/>
      <c r="K467" s="24"/>
      <c r="L467" s="24"/>
      <c r="M467" s="29" t="str">
        <f aca="false">IF($A467="","",IFERROR(INDEX(MapStage,MATCH($C467,MapStatus,0)),"Unmapped"))</f>
        <v/>
      </c>
      <c r="N467" s="29" t="str">
        <f aca="false">IF($A467="","",AsOf-$H467)</f>
        <v/>
      </c>
      <c r="O467" s="29" t="str">
        <f aca="false">IF(OR($M467="",$M467="Closed",$M467="Unmapped"),"",INDEX(StageStale,MATCH($M467,StageName,0)))</f>
        <v/>
      </c>
      <c r="P467" s="29" t="str">
        <f aca="false">IF($A467="","",IF($M467="Closed","Closed",IF($J467="Y","Critical",IF(AND($I467&lt;&gt;"",$I467&lt;AsOf),"Critical",IF($M467="Unmapped","Warning",IF($N467&gt;2*$O467,"Critical",IF($N467&gt;$O467,"Warning","On track")))))))</f>
        <v/>
      </c>
      <c r="Q467" s="29" t="str">
        <f aca="false">IF(OR($P467="",$P467="Closed",$P467="On track"),"",IF($J467="Y","Flagged as an impediment",IF(AND($I467&lt;&gt;"",$I467&lt;AsOf),"Past due since "&amp;TEXT($I467,"yyyy-mm-dd"),IF($M467="Unmapped","Status '"&amp;$C467&amp;"' is not in the Config map","No update in "&amp;$N467&amp;" days (limit "&amp;$O467&amp;")"))))</f>
        <v/>
      </c>
      <c r="R467" s="29" t="str">
        <f aca="false">IF(OR($P467="",$P467="Closed",$P467="On track"),"",IF($P467="Critical",3000,2000)+$N467+ROW()/100000)</f>
        <v/>
      </c>
      <c r="S467" s="29" t="str">
        <f aca="false">IF($R467="","","draft Jira update for "&amp;$A467)</f>
        <v/>
      </c>
      <c r="T467" s="29" t="str">
        <f aca="false">IF($A467="","",HYPERLINK(JiraSite&amp;"/browse/"&amp;$A467,"open"))</f>
        <v/>
      </c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7"/>
      <c r="H468" s="27"/>
      <c r="I468" s="27"/>
      <c r="J468" s="24"/>
      <c r="K468" s="24"/>
      <c r="L468" s="24"/>
      <c r="M468" s="29" t="str">
        <f aca="false">IF($A468="","",IFERROR(INDEX(MapStage,MATCH($C468,MapStatus,0)),"Unmapped"))</f>
        <v/>
      </c>
      <c r="N468" s="29" t="str">
        <f aca="false">IF($A468="","",AsOf-$H468)</f>
        <v/>
      </c>
      <c r="O468" s="29" t="str">
        <f aca="false">IF(OR($M468="",$M468="Closed",$M468="Unmapped"),"",INDEX(StageStale,MATCH($M468,StageName,0)))</f>
        <v/>
      </c>
      <c r="P468" s="29" t="str">
        <f aca="false">IF($A468="","",IF($M468="Closed","Closed",IF($J468="Y","Critical",IF(AND($I468&lt;&gt;"",$I468&lt;AsOf),"Critical",IF($M468="Unmapped","Warning",IF($N468&gt;2*$O468,"Critical",IF($N468&gt;$O468,"Warning","On track")))))))</f>
        <v/>
      </c>
      <c r="Q468" s="29" t="str">
        <f aca="false">IF(OR($P468="",$P468="Closed",$P468="On track"),"",IF($J468="Y","Flagged as an impediment",IF(AND($I468&lt;&gt;"",$I468&lt;AsOf),"Past due since "&amp;TEXT($I468,"yyyy-mm-dd"),IF($M468="Unmapped","Status '"&amp;$C468&amp;"' is not in the Config map","No update in "&amp;$N468&amp;" days (limit "&amp;$O468&amp;")"))))</f>
        <v/>
      </c>
      <c r="R468" s="29" t="str">
        <f aca="false">IF(OR($P468="",$P468="Closed",$P468="On track"),"",IF($P468="Critical",3000,2000)+$N468+ROW()/100000)</f>
        <v/>
      </c>
      <c r="S468" s="29" t="str">
        <f aca="false">IF($R468="","","draft Jira update for "&amp;$A468)</f>
        <v/>
      </c>
      <c r="T468" s="29" t="str">
        <f aca="false">IF($A468="","",HYPERLINK(JiraSite&amp;"/browse/"&amp;$A468,"open"))</f>
        <v/>
      </c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7"/>
      <c r="H469" s="27"/>
      <c r="I469" s="27"/>
      <c r="J469" s="24"/>
      <c r="K469" s="24"/>
      <c r="L469" s="24"/>
      <c r="M469" s="29" t="str">
        <f aca="false">IF($A469="","",IFERROR(INDEX(MapStage,MATCH($C469,MapStatus,0)),"Unmapped"))</f>
        <v/>
      </c>
      <c r="N469" s="29" t="str">
        <f aca="false">IF($A469="","",AsOf-$H469)</f>
        <v/>
      </c>
      <c r="O469" s="29" t="str">
        <f aca="false">IF(OR($M469="",$M469="Closed",$M469="Unmapped"),"",INDEX(StageStale,MATCH($M469,StageName,0)))</f>
        <v/>
      </c>
      <c r="P469" s="29" t="str">
        <f aca="false">IF($A469="","",IF($M469="Closed","Closed",IF($J469="Y","Critical",IF(AND($I469&lt;&gt;"",$I469&lt;AsOf),"Critical",IF($M469="Unmapped","Warning",IF($N469&gt;2*$O469,"Critical",IF($N469&gt;$O469,"Warning","On track")))))))</f>
        <v/>
      </c>
      <c r="Q469" s="29" t="str">
        <f aca="false">IF(OR($P469="",$P469="Closed",$P469="On track"),"",IF($J469="Y","Flagged as an impediment",IF(AND($I469&lt;&gt;"",$I469&lt;AsOf),"Past due since "&amp;TEXT($I469,"yyyy-mm-dd"),IF($M469="Unmapped","Status '"&amp;$C469&amp;"' is not in the Config map","No update in "&amp;$N469&amp;" days (limit "&amp;$O469&amp;")"))))</f>
        <v/>
      </c>
      <c r="R469" s="29" t="str">
        <f aca="false">IF(OR($P469="",$P469="Closed",$P469="On track"),"",IF($P469="Critical",3000,2000)+$N469+ROW()/100000)</f>
        <v/>
      </c>
      <c r="S469" s="29" t="str">
        <f aca="false">IF($R469="","","draft Jira update for "&amp;$A469)</f>
        <v/>
      </c>
      <c r="T469" s="29" t="str">
        <f aca="false">IF($A469="","",HYPERLINK(JiraSite&amp;"/browse/"&amp;$A469,"open"))</f>
        <v/>
      </c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7"/>
      <c r="H470" s="27"/>
      <c r="I470" s="27"/>
      <c r="J470" s="24"/>
      <c r="K470" s="24"/>
      <c r="L470" s="24"/>
      <c r="M470" s="29" t="str">
        <f aca="false">IF($A470="","",IFERROR(INDEX(MapStage,MATCH($C470,MapStatus,0)),"Unmapped"))</f>
        <v/>
      </c>
      <c r="N470" s="29" t="str">
        <f aca="false">IF($A470="","",AsOf-$H470)</f>
        <v/>
      </c>
      <c r="O470" s="29" t="str">
        <f aca="false">IF(OR($M470="",$M470="Closed",$M470="Unmapped"),"",INDEX(StageStale,MATCH($M470,StageName,0)))</f>
        <v/>
      </c>
      <c r="P470" s="29" t="str">
        <f aca="false">IF($A470="","",IF($M470="Closed","Closed",IF($J470="Y","Critical",IF(AND($I470&lt;&gt;"",$I470&lt;AsOf),"Critical",IF($M470="Unmapped","Warning",IF($N470&gt;2*$O470,"Critical",IF($N470&gt;$O470,"Warning","On track")))))))</f>
        <v/>
      </c>
      <c r="Q470" s="29" t="str">
        <f aca="false">IF(OR($P470="",$P470="Closed",$P470="On track"),"",IF($J470="Y","Flagged as an impediment",IF(AND($I470&lt;&gt;"",$I470&lt;AsOf),"Past due since "&amp;TEXT($I470,"yyyy-mm-dd"),IF($M470="Unmapped","Status '"&amp;$C470&amp;"' is not in the Config map","No update in "&amp;$N470&amp;" days (limit "&amp;$O470&amp;")"))))</f>
        <v/>
      </c>
      <c r="R470" s="29" t="str">
        <f aca="false">IF(OR($P470="",$P470="Closed",$P470="On track"),"",IF($P470="Critical",3000,2000)+$N470+ROW()/100000)</f>
        <v/>
      </c>
      <c r="S470" s="29" t="str">
        <f aca="false">IF($R470="","","draft Jira update for "&amp;$A470)</f>
        <v/>
      </c>
      <c r="T470" s="29" t="str">
        <f aca="false">IF($A470="","",HYPERLINK(JiraSite&amp;"/browse/"&amp;$A470,"open"))</f>
        <v/>
      </c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7"/>
      <c r="H471" s="27"/>
      <c r="I471" s="27"/>
      <c r="J471" s="24"/>
      <c r="K471" s="24"/>
      <c r="L471" s="24"/>
      <c r="M471" s="29" t="str">
        <f aca="false">IF($A471="","",IFERROR(INDEX(MapStage,MATCH($C471,MapStatus,0)),"Unmapped"))</f>
        <v/>
      </c>
      <c r="N471" s="29" t="str">
        <f aca="false">IF($A471="","",AsOf-$H471)</f>
        <v/>
      </c>
      <c r="O471" s="29" t="str">
        <f aca="false">IF(OR($M471="",$M471="Closed",$M471="Unmapped"),"",INDEX(StageStale,MATCH($M471,StageName,0)))</f>
        <v/>
      </c>
      <c r="P471" s="29" t="str">
        <f aca="false">IF($A471="","",IF($M471="Closed","Closed",IF($J471="Y","Critical",IF(AND($I471&lt;&gt;"",$I471&lt;AsOf),"Critical",IF($M471="Unmapped","Warning",IF($N471&gt;2*$O471,"Critical",IF($N471&gt;$O471,"Warning","On track")))))))</f>
        <v/>
      </c>
      <c r="Q471" s="29" t="str">
        <f aca="false">IF(OR($P471="",$P471="Closed",$P471="On track"),"",IF($J471="Y","Flagged as an impediment",IF(AND($I471&lt;&gt;"",$I471&lt;AsOf),"Past due since "&amp;TEXT($I471,"yyyy-mm-dd"),IF($M471="Unmapped","Status '"&amp;$C471&amp;"' is not in the Config map","No update in "&amp;$N471&amp;" days (limit "&amp;$O471&amp;")"))))</f>
        <v/>
      </c>
      <c r="R471" s="29" t="str">
        <f aca="false">IF(OR($P471="",$P471="Closed",$P471="On track"),"",IF($P471="Critical",3000,2000)+$N471+ROW()/100000)</f>
        <v/>
      </c>
      <c r="S471" s="29" t="str">
        <f aca="false">IF($R471="","","draft Jira update for "&amp;$A471)</f>
        <v/>
      </c>
      <c r="T471" s="29" t="str">
        <f aca="false">IF($A471="","",HYPERLINK(JiraSite&amp;"/browse/"&amp;$A471,"open"))</f>
        <v/>
      </c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7"/>
      <c r="H472" s="27"/>
      <c r="I472" s="27"/>
      <c r="J472" s="24"/>
      <c r="K472" s="24"/>
      <c r="L472" s="24"/>
      <c r="M472" s="29" t="str">
        <f aca="false">IF($A472="","",IFERROR(INDEX(MapStage,MATCH($C472,MapStatus,0)),"Unmapped"))</f>
        <v/>
      </c>
      <c r="N472" s="29" t="str">
        <f aca="false">IF($A472="","",AsOf-$H472)</f>
        <v/>
      </c>
      <c r="O472" s="29" t="str">
        <f aca="false">IF(OR($M472="",$M472="Closed",$M472="Unmapped"),"",INDEX(StageStale,MATCH($M472,StageName,0)))</f>
        <v/>
      </c>
      <c r="P472" s="29" t="str">
        <f aca="false">IF($A472="","",IF($M472="Closed","Closed",IF($J472="Y","Critical",IF(AND($I472&lt;&gt;"",$I472&lt;AsOf),"Critical",IF($M472="Unmapped","Warning",IF($N472&gt;2*$O472,"Critical",IF($N472&gt;$O472,"Warning","On track")))))))</f>
        <v/>
      </c>
      <c r="Q472" s="29" t="str">
        <f aca="false">IF(OR($P472="",$P472="Closed",$P472="On track"),"",IF($J472="Y","Flagged as an impediment",IF(AND($I472&lt;&gt;"",$I472&lt;AsOf),"Past due since "&amp;TEXT($I472,"yyyy-mm-dd"),IF($M472="Unmapped","Status '"&amp;$C472&amp;"' is not in the Config map","No update in "&amp;$N472&amp;" days (limit "&amp;$O472&amp;")"))))</f>
        <v/>
      </c>
      <c r="R472" s="29" t="str">
        <f aca="false">IF(OR($P472="",$P472="Closed",$P472="On track"),"",IF($P472="Critical",3000,2000)+$N472+ROW()/100000)</f>
        <v/>
      </c>
      <c r="S472" s="29" t="str">
        <f aca="false">IF($R472="","","draft Jira update for "&amp;$A472)</f>
        <v/>
      </c>
      <c r="T472" s="29" t="str">
        <f aca="false">IF($A472="","",HYPERLINK(JiraSite&amp;"/browse/"&amp;$A472,"open"))</f>
        <v/>
      </c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7"/>
      <c r="H473" s="27"/>
      <c r="I473" s="27"/>
      <c r="J473" s="24"/>
      <c r="K473" s="24"/>
      <c r="L473" s="24"/>
      <c r="M473" s="29" t="str">
        <f aca="false">IF($A473="","",IFERROR(INDEX(MapStage,MATCH($C473,MapStatus,0)),"Unmapped"))</f>
        <v/>
      </c>
      <c r="N473" s="29" t="str">
        <f aca="false">IF($A473="","",AsOf-$H473)</f>
        <v/>
      </c>
      <c r="O473" s="29" t="str">
        <f aca="false">IF(OR($M473="",$M473="Closed",$M473="Unmapped"),"",INDEX(StageStale,MATCH($M473,StageName,0)))</f>
        <v/>
      </c>
      <c r="P473" s="29" t="str">
        <f aca="false">IF($A473="","",IF($M473="Closed","Closed",IF($J473="Y","Critical",IF(AND($I473&lt;&gt;"",$I473&lt;AsOf),"Critical",IF($M473="Unmapped","Warning",IF($N473&gt;2*$O473,"Critical",IF($N473&gt;$O473,"Warning","On track")))))))</f>
        <v/>
      </c>
      <c r="Q473" s="29" t="str">
        <f aca="false">IF(OR($P473="",$P473="Closed",$P473="On track"),"",IF($J473="Y","Flagged as an impediment",IF(AND($I473&lt;&gt;"",$I473&lt;AsOf),"Past due since "&amp;TEXT($I473,"yyyy-mm-dd"),IF($M473="Unmapped","Status '"&amp;$C473&amp;"' is not in the Config map","No update in "&amp;$N473&amp;" days (limit "&amp;$O473&amp;")"))))</f>
        <v/>
      </c>
      <c r="R473" s="29" t="str">
        <f aca="false">IF(OR($P473="",$P473="Closed",$P473="On track"),"",IF($P473="Critical",3000,2000)+$N473+ROW()/100000)</f>
        <v/>
      </c>
      <c r="S473" s="29" t="str">
        <f aca="false">IF($R473="","","draft Jira update for "&amp;$A473)</f>
        <v/>
      </c>
      <c r="T473" s="29" t="str">
        <f aca="false">IF($A473="","",HYPERLINK(JiraSite&amp;"/browse/"&amp;$A473,"open"))</f>
        <v/>
      </c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7"/>
      <c r="H474" s="27"/>
      <c r="I474" s="27"/>
      <c r="J474" s="24"/>
      <c r="K474" s="24"/>
      <c r="L474" s="24"/>
      <c r="M474" s="29" t="str">
        <f aca="false">IF($A474="","",IFERROR(INDEX(MapStage,MATCH($C474,MapStatus,0)),"Unmapped"))</f>
        <v/>
      </c>
      <c r="N474" s="29" t="str">
        <f aca="false">IF($A474="","",AsOf-$H474)</f>
        <v/>
      </c>
      <c r="O474" s="29" t="str">
        <f aca="false">IF(OR($M474="",$M474="Closed",$M474="Unmapped"),"",INDEX(StageStale,MATCH($M474,StageName,0)))</f>
        <v/>
      </c>
      <c r="P474" s="29" t="str">
        <f aca="false">IF($A474="","",IF($M474="Closed","Closed",IF($J474="Y","Critical",IF(AND($I474&lt;&gt;"",$I474&lt;AsOf),"Critical",IF($M474="Unmapped","Warning",IF($N474&gt;2*$O474,"Critical",IF($N474&gt;$O474,"Warning","On track")))))))</f>
        <v/>
      </c>
      <c r="Q474" s="29" t="str">
        <f aca="false">IF(OR($P474="",$P474="Closed",$P474="On track"),"",IF($J474="Y","Flagged as an impediment",IF(AND($I474&lt;&gt;"",$I474&lt;AsOf),"Past due since "&amp;TEXT($I474,"yyyy-mm-dd"),IF($M474="Unmapped","Status '"&amp;$C474&amp;"' is not in the Config map","No update in "&amp;$N474&amp;" days (limit "&amp;$O474&amp;")"))))</f>
        <v/>
      </c>
      <c r="R474" s="29" t="str">
        <f aca="false">IF(OR($P474="",$P474="Closed",$P474="On track"),"",IF($P474="Critical",3000,2000)+$N474+ROW()/100000)</f>
        <v/>
      </c>
      <c r="S474" s="29" t="str">
        <f aca="false">IF($R474="","","draft Jira update for "&amp;$A474)</f>
        <v/>
      </c>
      <c r="T474" s="29" t="str">
        <f aca="false">IF($A474="","",HYPERLINK(JiraSite&amp;"/browse/"&amp;$A474,"open"))</f>
        <v/>
      </c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7"/>
      <c r="H475" s="27"/>
      <c r="I475" s="27"/>
      <c r="J475" s="24"/>
      <c r="K475" s="24"/>
      <c r="L475" s="24"/>
      <c r="M475" s="29" t="str">
        <f aca="false">IF($A475="","",IFERROR(INDEX(MapStage,MATCH($C475,MapStatus,0)),"Unmapped"))</f>
        <v/>
      </c>
      <c r="N475" s="29" t="str">
        <f aca="false">IF($A475="","",AsOf-$H475)</f>
        <v/>
      </c>
      <c r="O475" s="29" t="str">
        <f aca="false">IF(OR($M475="",$M475="Closed",$M475="Unmapped"),"",INDEX(StageStale,MATCH($M475,StageName,0)))</f>
        <v/>
      </c>
      <c r="P475" s="29" t="str">
        <f aca="false">IF($A475="","",IF($M475="Closed","Closed",IF($J475="Y","Critical",IF(AND($I475&lt;&gt;"",$I475&lt;AsOf),"Critical",IF($M475="Unmapped","Warning",IF($N475&gt;2*$O475,"Critical",IF($N475&gt;$O475,"Warning","On track")))))))</f>
        <v/>
      </c>
      <c r="Q475" s="29" t="str">
        <f aca="false">IF(OR($P475="",$P475="Closed",$P475="On track"),"",IF($J475="Y","Flagged as an impediment",IF(AND($I475&lt;&gt;"",$I475&lt;AsOf),"Past due since "&amp;TEXT($I475,"yyyy-mm-dd"),IF($M475="Unmapped","Status '"&amp;$C475&amp;"' is not in the Config map","No update in "&amp;$N475&amp;" days (limit "&amp;$O475&amp;")"))))</f>
        <v/>
      </c>
      <c r="R475" s="29" t="str">
        <f aca="false">IF(OR($P475="",$P475="Closed",$P475="On track"),"",IF($P475="Critical",3000,2000)+$N475+ROW()/100000)</f>
        <v/>
      </c>
      <c r="S475" s="29" t="str">
        <f aca="false">IF($R475="","","draft Jira update for "&amp;$A475)</f>
        <v/>
      </c>
      <c r="T475" s="29" t="str">
        <f aca="false">IF($A475="","",HYPERLINK(JiraSite&amp;"/browse/"&amp;$A475,"open"))</f>
        <v/>
      </c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7"/>
      <c r="H476" s="27"/>
      <c r="I476" s="27"/>
      <c r="J476" s="24"/>
      <c r="K476" s="24"/>
      <c r="L476" s="24"/>
      <c r="M476" s="29" t="str">
        <f aca="false">IF($A476="","",IFERROR(INDEX(MapStage,MATCH($C476,MapStatus,0)),"Unmapped"))</f>
        <v/>
      </c>
      <c r="N476" s="29" t="str">
        <f aca="false">IF($A476="","",AsOf-$H476)</f>
        <v/>
      </c>
      <c r="O476" s="29" t="str">
        <f aca="false">IF(OR($M476="",$M476="Closed",$M476="Unmapped"),"",INDEX(StageStale,MATCH($M476,StageName,0)))</f>
        <v/>
      </c>
      <c r="P476" s="29" t="str">
        <f aca="false">IF($A476="","",IF($M476="Closed","Closed",IF($J476="Y","Critical",IF(AND($I476&lt;&gt;"",$I476&lt;AsOf),"Critical",IF($M476="Unmapped","Warning",IF($N476&gt;2*$O476,"Critical",IF($N476&gt;$O476,"Warning","On track")))))))</f>
        <v/>
      </c>
      <c r="Q476" s="29" t="str">
        <f aca="false">IF(OR($P476="",$P476="Closed",$P476="On track"),"",IF($J476="Y","Flagged as an impediment",IF(AND($I476&lt;&gt;"",$I476&lt;AsOf),"Past due since "&amp;TEXT($I476,"yyyy-mm-dd"),IF($M476="Unmapped","Status '"&amp;$C476&amp;"' is not in the Config map","No update in "&amp;$N476&amp;" days (limit "&amp;$O476&amp;")"))))</f>
        <v/>
      </c>
      <c r="R476" s="29" t="str">
        <f aca="false">IF(OR($P476="",$P476="Closed",$P476="On track"),"",IF($P476="Critical",3000,2000)+$N476+ROW()/100000)</f>
        <v/>
      </c>
      <c r="S476" s="29" t="str">
        <f aca="false">IF($R476="","","draft Jira update for "&amp;$A476)</f>
        <v/>
      </c>
      <c r="T476" s="29" t="str">
        <f aca="false">IF($A476="","",HYPERLINK(JiraSite&amp;"/browse/"&amp;$A476,"open"))</f>
        <v/>
      </c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7"/>
      <c r="H477" s="27"/>
      <c r="I477" s="27"/>
      <c r="J477" s="24"/>
      <c r="K477" s="24"/>
      <c r="L477" s="24"/>
      <c r="M477" s="29" t="str">
        <f aca="false">IF($A477="","",IFERROR(INDEX(MapStage,MATCH($C477,MapStatus,0)),"Unmapped"))</f>
        <v/>
      </c>
      <c r="N477" s="29" t="str">
        <f aca="false">IF($A477="","",AsOf-$H477)</f>
        <v/>
      </c>
      <c r="O477" s="29" t="str">
        <f aca="false">IF(OR($M477="",$M477="Closed",$M477="Unmapped"),"",INDEX(StageStale,MATCH($M477,StageName,0)))</f>
        <v/>
      </c>
      <c r="P477" s="29" t="str">
        <f aca="false">IF($A477="","",IF($M477="Closed","Closed",IF($J477="Y","Critical",IF(AND($I477&lt;&gt;"",$I477&lt;AsOf),"Critical",IF($M477="Unmapped","Warning",IF($N477&gt;2*$O477,"Critical",IF($N477&gt;$O477,"Warning","On track")))))))</f>
        <v/>
      </c>
      <c r="Q477" s="29" t="str">
        <f aca="false">IF(OR($P477="",$P477="Closed",$P477="On track"),"",IF($J477="Y","Flagged as an impediment",IF(AND($I477&lt;&gt;"",$I477&lt;AsOf),"Past due since "&amp;TEXT($I477,"yyyy-mm-dd"),IF($M477="Unmapped","Status '"&amp;$C477&amp;"' is not in the Config map","No update in "&amp;$N477&amp;" days (limit "&amp;$O477&amp;")"))))</f>
        <v/>
      </c>
      <c r="R477" s="29" t="str">
        <f aca="false">IF(OR($P477="",$P477="Closed",$P477="On track"),"",IF($P477="Critical",3000,2000)+$N477+ROW()/100000)</f>
        <v/>
      </c>
      <c r="S477" s="29" t="str">
        <f aca="false">IF($R477="","","draft Jira update for "&amp;$A477)</f>
        <v/>
      </c>
      <c r="T477" s="29" t="str">
        <f aca="false">IF($A477="","",HYPERLINK(JiraSite&amp;"/browse/"&amp;$A477,"open"))</f>
        <v/>
      </c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7"/>
      <c r="H478" s="27"/>
      <c r="I478" s="27"/>
      <c r="J478" s="24"/>
      <c r="K478" s="24"/>
      <c r="L478" s="24"/>
      <c r="M478" s="29" t="str">
        <f aca="false">IF($A478="","",IFERROR(INDEX(MapStage,MATCH($C478,MapStatus,0)),"Unmapped"))</f>
        <v/>
      </c>
      <c r="N478" s="29" t="str">
        <f aca="false">IF($A478="","",AsOf-$H478)</f>
        <v/>
      </c>
      <c r="O478" s="29" t="str">
        <f aca="false">IF(OR($M478="",$M478="Closed",$M478="Unmapped"),"",INDEX(StageStale,MATCH($M478,StageName,0)))</f>
        <v/>
      </c>
      <c r="P478" s="29" t="str">
        <f aca="false">IF($A478="","",IF($M478="Closed","Closed",IF($J478="Y","Critical",IF(AND($I478&lt;&gt;"",$I478&lt;AsOf),"Critical",IF($M478="Unmapped","Warning",IF($N478&gt;2*$O478,"Critical",IF($N478&gt;$O478,"Warning","On track")))))))</f>
        <v/>
      </c>
      <c r="Q478" s="29" t="str">
        <f aca="false">IF(OR($P478="",$P478="Closed",$P478="On track"),"",IF($J478="Y","Flagged as an impediment",IF(AND($I478&lt;&gt;"",$I478&lt;AsOf),"Past due since "&amp;TEXT($I478,"yyyy-mm-dd"),IF($M478="Unmapped","Status '"&amp;$C478&amp;"' is not in the Config map","No update in "&amp;$N478&amp;" days (limit "&amp;$O478&amp;")"))))</f>
        <v/>
      </c>
      <c r="R478" s="29" t="str">
        <f aca="false">IF(OR($P478="",$P478="Closed",$P478="On track"),"",IF($P478="Critical",3000,2000)+$N478+ROW()/100000)</f>
        <v/>
      </c>
      <c r="S478" s="29" t="str">
        <f aca="false">IF($R478="","","draft Jira update for "&amp;$A478)</f>
        <v/>
      </c>
      <c r="T478" s="29" t="str">
        <f aca="false">IF($A478="","",HYPERLINK(JiraSite&amp;"/browse/"&amp;$A478,"open"))</f>
        <v/>
      </c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7"/>
      <c r="H479" s="27"/>
      <c r="I479" s="27"/>
      <c r="J479" s="24"/>
      <c r="K479" s="24"/>
      <c r="L479" s="24"/>
      <c r="M479" s="29" t="str">
        <f aca="false">IF($A479="","",IFERROR(INDEX(MapStage,MATCH($C479,MapStatus,0)),"Unmapped"))</f>
        <v/>
      </c>
      <c r="N479" s="29" t="str">
        <f aca="false">IF($A479="","",AsOf-$H479)</f>
        <v/>
      </c>
      <c r="O479" s="29" t="str">
        <f aca="false">IF(OR($M479="",$M479="Closed",$M479="Unmapped"),"",INDEX(StageStale,MATCH($M479,StageName,0)))</f>
        <v/>
      </c>
      <c r="P479" s="29" t="str">
        <f aca="false">IF($A479="","",IF($M479="Closed","Closed",IF($J479="Y","Critical",IF(AND($I479&lt;&gt;"",$I479&lt;AsOf),"Critical",IF($M479="Unmapped","Warning",IF($N479&gt;2*$O479,"Critical",IF($N479&gt;$O479,"Warning","On track")))))))</f>
        <v/>
      </c>
      <c r="Q479" s="29" t="str">
        <f aca="false">IF(OR($P479="",$P479="Closed",$P479="On track"),"",IF($J479="Y","Flagged as an impediment",IF(AND($I479&lt;&gt;"",$I479&lt;AsOf),"Past due since "&amp;TEXT($I479,"yyyy-mm-dd"),IF($M479="Unmapped","Status '"&amp;$C479&amp;"' is not in the Config map","No update in "&amp;$N479&amp;" days (limit "&amp;$O479&amp;")"))))</f>
        <v/>
      </c>
      <c r="R479" s="29" t="str">
        <f aca="false">IF(OR($P479="",$P479="Closed",$P479="On track"),"",IF($P479="Critical",3000,2000)+$N479+ROW()/100000)</f>
        <v/>
      </c>
      <c r="S479" s="29" t="str">
        <f aca="false">IF($R479="","","draft Jira update for "&amp;$A479)</f>
        <v/>
      </c>
      <c r="T479" s="29" t="str">
        <f aca="false">IF($A479="","",HYPERLINK(JiraSite&amp;"/browse/"&amp;$A479,"open"))</f>
        <v/>
      </c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7"/>
      <c r="H480" s="27"/>
      <c r="I480" s="27"/>
      <c r="J480" s="24"/>
      <c r="K480" s="24"/>
      <c r="L480" s="24"/>
      <c r="M480" s="29" t="str">
        <f aca="false">IF($A480="","",IFERROR(INDEX(MapStage,MATCH($C480,MapStatus,0)),"Unmapped"))</f>
        <v/>
      </c>
      <c r="N480" s="29" t="str">
        <f aca="false">IF($A480="","",AsOf-$H480)</f>
        <v/>
      </c>
      <c r="O480" s="29" t="str">
        <f aca="false">IF(OR($M480="",$M480="Closed",$M480="Unmapped"),"",INDEX(StageStale,MATCH($M480,StageName,0)))</f>
        <v/>
      </c>
      <c r="P480" s="29" t="str">
        <f aca="false">IF($A480="","",IF($M480="Closed","Closed",IF($J480="Y","Critical",IF(AND($I480&lt;&gt;"",$I480&lt;AsOf),"Critical",IF($M480="Unmapped","Warning",IF($N480&gt;2*$O480,"Critical",IF($N480&gt;$O480,"Warning","On track")))))))</f>
        <v/>
      </c>
      <c r="Q480" s="29" t="str">
        <f aca="false">IF(OR($P480="",$P480="Closed",$P480="On track"),"",IF($J480="Y","Flagged as an impediment",IF(AND($I480&lt;&gt;"",$I480&lt;AsOf),"Past due since "&amp;TEXT($I480,"yyyy-mm-dd"),IF($M480="Unmapped","Status '"&amp;$C480&amp;"' is not in the Config map","No update in "&amp;$N480&amp;" days (limit "&amp;$O480&amp;")"))))</f>
        <v/>
      </c>
      <c r="R480" s="29" t="str">
        <f aca="false">IF(OR($P480="",$P480="Closed",$P480="On track"),"",IF($P480="Critical",3000,2000)+$N480+ROW()/100000)</f>
        <v/>
      </c>
      <c r="S480" s="29" t="str">
        <f aca="false">IF($R480="","","draft Jira update for "&amp;$A480)</f>
        <v/>
      </c>
      <c r="T480" s="29" t="str">
        <f aca="false">IF($A480="","",HYPERLINK(JiraSite&amp;"/browse/"&amp;$A480,"open"))</f>
        <v/>
      </c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7"/>
      <c r="H481" s="27"/>
      <c r="I481" s="27"/>
      <c r="J481" s="24"/>
      <c r="K481" s="24"/>
      <c r="L481" s="24"/>
      <c r="M481" s="29" t="str">
        <f aca="false">IF($A481="","",IFERROR(INDEX(MapStage,MATCH($C481,MapStatus,0)),"Unmapped"))</f>
        <v/>
      </c>
      <c r="N481" s="29" t="str">
        <f aca="false">IF($A481="","",AsOf-$H481)</f>
        <v/>
      </c>
      <c r="O481" s="29" t="str">
        <f aca="false">IF(OR($M481="",$M481="Closed",$M481="Unmapped"),"",INDEX(StageStale,MATCH($M481,StageName,0)))</f>
        <v/>
      </c>
      <c r="P481" s="29" t="str">
        <f aca="false">IF($A481="","",IF($M481="Closed","Closed",IF($J481="Y","Critical",IF(AND($I481&lt;&gt;"",$I481&lt;AsOf),"Critical",IF($M481="Unmapped","Warning",IF($N481&gt;2*$O481,"Critical",IF($N481&gt;$O481,"Warning","On track")))))))</f>
        <v/>
      </c>
      <c r="Q481" s="29" t="str">
        <f aca="false">IF(OR($P481="",$P481="Closed",$P481="On track"),"",IF($J481="Y","Flagged as an impediment",IF(AND($I481&lt;&gt;"",$I481&lt;AsOf),"Past due since "&amp;TEXT($I481,"yyyy-mm-dd"),IF($M481="Unmapped","Status '"&amp;$C481&amp;"' is not in the Config map","No update in "&amp;$N481&amp;" days (limit "&amp;$O481&amp;")"))))</f>
        <v/>
      </c>
      <c r="R481" s="29" t="str">
        <f aca="false">IF(OR($P481="",$P481="Closed",$P481="On track"),"",IF($P481="Critical",3000,2000)+$N481+ROW()/100000)</f>
        <v/>
      </c>
      <c r="S481" s="29" t="str">
        <f aca="false">IF($R481="","","draft Jira update for "&amp;$A481)</f>
        <v/>
      </c>
      <c r="T481" s="29" t="str">
        <f aca="false">IF($A481="","",HYPERLINK(JiraSite&amp;"/browse/"&amp;$A481,"open"))</f>
        <v/>
      </c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7"/>
      <c r="H482" s="27"/>
      <c r="I482" s="27"/>
      <c r="J482" s="24"/>
      <c r="K482" s="24"/>
      <c r="L482" s="24"/>
      <c r="M482" s="29" t="str">
        <f aca="false">IF($A482="","",IFERROR(INDEX(MapStage,MATCH($C482,MapStatus,0)),"Unmapped"))</f>
        <v/>
      </c>
      <c r="N482" s="29" t="str">
        <f aca="false">IF($A482="","",AsOf-$H482)</f>
        <v/>
      </c>
      <c r="O482" s="29" t="str">
        <f aca="false">IF(OR($M482="",$M482="Closed",$M482="Unmapped"),"",INDEX(StageStale,MATCH($M482,StageName,0)))</f>
        <v/>
      </c>
      <c r="P482" s="29" t="str">
        <f aca="false">IF($A482="","",IF($M482="Closed","Closed",IF($J482="Y","Critical",IF(AND($I482&lt;&gt;"",$I482&lt;AsOf),"Critical",IF($M482="Unmapped","Warning",IF($N482&gt;2*$O482,"Critical",IF($N482&gt;$O482,"Warning","On track")))))))</f>
        <v/>
      </c>
      <c r="Q482" s="29" t="str">
        <f aca="false">IF(OR($P482="",$P482="Closed",$P482="On track"),"",IF($J482="Y","Flagged as an impediment",IF(AND($I482&lt;&gt;"",$I482&lt;AsOf),"Past due since "&amp;TEXT($I482,"yyyy-mm-dd"),IF($M482="Unmapped","Status '"&amp;$C482&amp;"' is not in the Config map","No update in "&amp;$N482&amp;" days (limit "&amp;$O482&amp;")"))))</f>
        <v/>
      </c>
      <c r="R482" s="29" t="str">
        <f aca="false">IF(OR($P482="",$P482="Closed",$P482="On track"),"",IF($P482="Critical",3000,2000)+$N482+ROW()/100000)</f>
        <v/>
      </c>
      <c r="S482" s="29" t="str">
        <f aca="false">IF($R482="","","draft Jira update for "&amp;$A482)</f>
        <v/>
      </c>
      <c r="T482" s="29" t="str">
        <f aca="false">IF($A482="","",HYPERLINK(JiraSite&amp;"/browse/"&amp;$A482,"open"))</f>
        <v/>
      </c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7"/>
      <c r="H483" s="27"/>
      <c r="I483" s="27"/>
      <c r="J483" s="24"/>
      <c r="K483" s="24"/>
      <c r="L483" s="24"/>
      <c r="M483" s="29" t="str">
        <f aca="false">IF($A483="","",IFERROR(INDEX(MapStage,MATCH($C483,MapStatus,0)),"Unmapped"))</f>
        <v/>
      </c>
      <c r="N483" s="29" t="str">
        <f aca="false">IF($A483="","",AsOf-$H483)</f>
        <v/>
      </c>
      <c r="O483" s="29" t="str">
        <f aca="false">IF(OR($M483="",$M483="Closed",$M483="Unmapped"),"",INDEX(StageStale,MATCH($M483,StageName,0)))</f>
        <v/>
      </c>
      <c r="P483" s="29" t="str">
        <f aca="false">IF($A483="","",IF($M483="Closed","Closed",IF($J483="Y","Critical",IF(AND($I483&lt;&gt;"",$I483&lt;AsOf),"Critical",IF($M483="Unmapped","Warning",IF($N483&gt;2*$O483,"Critical",IF($N483&gt;$O483,"Warning","On track")))))))</f>
        <v/>
      </c>
      <c r="Q483" s="29" t="str">
        <f aca="false">IF(OR($P483="",$P483="Closed",$P483="On track"),"",IF($J483="Y","Flagged as an impediment",IF(AND($I483&lt;&gt;"",$I483&lt;AsOf),"Past due since "&amp;TEXT($I483,"yyyy-mm-dd"),IF($M483="Unmapped","Status '"&amp;$C483&amp;"' is not in the Config map","No update in "&amp;$N483&amp;" days (limit "&amp;$O483&amp;")"))))</f>
        <v/>
      </c>
      <c r="R483" s="29" t="str">
        <f aca="false">IF(OR($P483="",$P483="Closed",$P483="On track"),"",IF($P483="Critical",3000,2000)+$N483+ROW()/100000)</f>
        <v/>
      </c>
      <c r="S483" s="29" t="str">
        <f aca="false">IF($R483="","","draft Jira update for "&amp;$A483)</f>
        <v/>
      </c>
      <c r="T483" s="29" t="str">
        <f aca="false">IF($A483="","",HYPERLINK(JiraSite&amp;"/browse/"&amp;$A483,"open"))</f>
        <v/>
      </c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7"/>
      <c r="H484" s="27"/>
      <c r="I484" s="27"/>
      <c r="J484" s="24"/>
      <c r="K484" s="24"/>
      <c r="L484" s="24"/>
      <c r="M484" s="29" t="str">
        <f aca="false">IF($A484="","",IFERROR(INDEX(MapStage,MATCH($C484,MapStatus,0)),"Unmapped"))</f>
        <v/>
      </c>
      <c r="N484" s="29" t="str">
        <f aca="false">IF($A484="","",AsOf-$H484)</f>
        <v/>
      </c>
      <c r="O484" s="29" t="str">
        <f aca="false">IF(OR($M484="",$M484="Closed",$M484="Unmapped"),"",INDEX(StageStale,MATCH($M484,StageName,0)))</f>
        <v/>
      </c>
      <c r="P484" s="29" t="str">
        <f aca="false">IF($A484="","",IF($M484="Closed","Closed",IF($J484="Y","Critical",IF(AND($I484&lt;&gt;"",$I484&lt;AsOf),"Critical",IF($M484="Unmapped","Warning",IF($N484&gt;2*$O484,"Critical",IF($N484&gt;$O484,"Warning","On track")))))))</f>
        <v/>
      </c>
      <c r="Q484" s="29" t="str">
        <f aca="false">IF(OR($P484="",$P484="Closed",$P484="On track"),"",IF($J484="Y","Flagged as an impediment",IF(AND($I484&lt;&gt;"",$I484&lt;AsOf),"Past due since "&amp;TEXT($I484,"yyyy-mm-dd"),IF($M484="Unmapped","Status '"&amp;$C484&amp;"' is not in the Config map","No update in "&amp;$N484&amp;" days (limit "&amp;$O484&amp;")"))))</f>
        <v/>
      </c>
      <c r="R484" s="29" t="str">
        <f aca="false">IF(OR($P484="",$P484="Closed",$P484="On track"),"",IF($P484="Critical",3000,2000)+$N484+ROW()/100000)</f>
        <v/>
      </c>
      <c r="S484" s="29" t="str">
        <f aca="false">IF($R484="","","draft Jira update for "&amp;$A484)</f>
        <v/>
      </c>
      <c r="T484" s="29" t="str">
        <f aca="false">IF($A484="","",HYPERLINK(JiraSite&amp;"/browse/"&amp;$A484,"open"))</f>
        <v/>
      </c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7"/>
      <c r="H485" s="27"/>
      <c r="I485" s="27"/>
      <c r="J485" s="24"/>
      <c r="K485" s="24"/>
      <c r="L485" s="24"/>
      <c r="M485" s="29" t="str">
        <f aca="false">IF($A485="","",IFERROR(INDEX(MapStage,MATCH($C485,MapStatus,0)),"Unmapped"))</f>
        <v/>
      </c>
      <c r="N485" s="29" t="str">
        <f aca="false">IF($A485="","",AsOf-$H485)</f>
        <v/>
      </c>
      <c r="O485" s="29" t="str">
        <f aca="false">IF(OR($M485="",$M485="Closed",$M485="Unmapped"),"",INDEX(StageStale,MATCH($M485,StageName,0)))</f>
        <v/>
      </c>
      <c r="P485" s="29" t="str">
        <f aca="false">IF($A485="","",IF($M485="Closed","Closed",IF($J485="Y","Critical",IF(AND($I485&lt;&gt;"",$I485&lt;AsOf),"Critical",IF($M485="Unmapped","Warning",IF($N485&gt;2*$O485,"Critical",IF($N485&gt;$O485,"Warning","On track")))))))</f>
        <v/>
      </c>
      <c r="Q485" s="29" t="str">
        <f aca="false">IF(OR($P485="",$P485="Closed",$P485="On track"),"",IF($J485="Y","Flagged as an impediment",IF(AND($I485&lt;&gt;"",$I485&lt;AsOf),"Past due since "&amp;TEXT($I485,"yyyy-mm-dd"),IF($M485="Unmapped","Status '"&amp;$C485&amp;"' is not in the Config map","No update in "&amp;$N485&amp;" days (limit "&amp;$O485&amp;")"))))</f>
        <v/>
      </c>
      <c r="R485" s="29" t="str">
        <f aca="false">IF(OR($P485="",$P485="Closed",$P485="On track"),"",IF($P485="Critical",3000,2000)+$N485+ROW()/100000)</f>
        <v/>
      </c>
      <c r="S485" s="29" t="str">
        <f aca="false">IF($R485="","","draft Jira update for "&amp;$A485)</f>
        <v/>
      </c>
      <c r="T485" s="29" t="str">
        <f aca="false">IF($A485="","",HYPERLINK(JiraSite&amp;"/browse/"&amp;$A485,"open"))</f>
        <v/>
      </c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7"/>
      <c r="H486" s="27"/>
      <c r="I486" s="27"/>
      <c r="J486" s="24"/>
      <c r="K486" s="24"/>
      <c r="L486" s="24"/>
      <c r="M486" s="29" t="str">
        <f aca="false">IF($A486="","",IFERROR(INDEX(MapStage,MATCH($C486,MapStatus,0)),"Unmapped"))</f>
        <v/>
      </c>
      <c r="N486" s="29" t="str">
        <f aca="false">IF($A486="","",AsOf-$H486)</f>
        <v/>
      </c>
      <c r="O486" s="29" t="str">
        <f aca="false">IF(OR($M486="",$M486="Closed",$M486="Unmapped"),"",INDEX(StageStale,MATCH($M486,StageName,0)))</f>
        <v/>
      </c>
      <c r="P486" s="29" t="str">
        <f aca="false">IF($A486="","",IF($M486="Closed","Closed",IF($J486="Y","Critical",IF(AND($I486&lt;&gt;"",$I486&lt;AsOf),"Critical",IF($M486="Unmapped","Warning",IF($N486&gt;2*$O486,"Critical",IF($N486&gt;$O486,"Warning","On track")))))))</f>
        <v/>
      </c>
      <c r="Q486" s="29" t="str">
        <f aca="false">IF(OR($P486="",$P486="Closed",$P486="On track"),"",IF($J486="Y","Flagged as an impediment",IF(AND($I486&lt;&gt;"",$I486&lt;AsOf),"Past due since "&amp;TEXT($I486,"yyyy-mm-dd"),IF($M486="Unmapped","Status '"&amp;$C486&amp;"' is not in the Config map","No update in "&amp;$N486&amp;" days (limit "&amp;$O486&amp;")"))))</f>
        <v/>
      </c>
      <c r="R486" s="29" t="str">
        <f aca="false">IF(OR($P486="",$P486="Closed",$P486="On track"),"",IF($P486="Critical",3000,2000)+$N486+ROW()/100000)</f>
        <v/>
      </c>
      <c r="S486" s="29" t="str">
        <f aca="false">IF($R486="","","draft Jira update for "&amp;$A486)</f>
        <v/>
      </c>
      <c r="T486" s="29" t="str">
        <f aca="false">IF($A486="","",HYPERLINK(JiraSite&amp;"/browse/"&amp;$A486,"open"))</f>
        <v/>
      </c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7"/>
      <c r="H487" s="27"/>
      <c r="I487" s="27"/>
      <c r="J487" s="24"/>
      <c r="K487" s="24"/>
      <c r="L487" s="24"/>
      <c r="M487" s="29" t="str">
        <f aca="false">IF($A487="","",IFERROR(INDEX(MapStage,MATCH($C487,MapStatus,0)),"Unmapped"))</f>
        <v/>
      </c>
      <c r="N487" s="29" t="str">
        <f aca="false">IF($A487="","",AsOf-$H487)</f>
        <v/>
      </c>
      <c r="O487" s="29" t="str">
        <f aca="false">IF(OR($M487="",$M487="Closed",$M487="Unmapped"),"",INDEX(StageStale,MATCH($M487,StageName,0)))</f>
        <v/>
      </c>
      <c r="P487" s="29" t="str">
        <f aca="false">IF($A487="","",IF($M487="Closed","Closed",IF($J487="Y","Critical",IF(AND($I487&lt;&gt;"",$I487&lt;AsOf),"Critical",IF($M487="Unmapped","Warning",IF($N487&gt;2*$O487,"Critical",IF($N487&gt;$O487,"Warning","On track")))))))</f>
        <v/>
      </c>
      <c r="Q487" s="29" t="str">
        <f aca="false">IF(OR($P487="",$P487="Closed",$P487="On track"),"",IF($J487="Y","Flagged as an impediment",IF(AND($I487&lt;&gt;"",$I487&lt;AsOf),"Past due since "&amp;TEXT($I487,"yyyy-mm-dd"),IF($M487="Unmapped","Status '"&amp;$C487&amp;"' is not in the Config map","No update in "&amp;$N487&amp;" days (limit "&amp;$O487&amp;")"))))</f>
        <v/>
      </c>
      <c r="R487" s="29" t="str">
        <f aca="false">IF(OR($P487="",$P487="Closed",$P487="On track"),"",IF($P487="Critical",3000,2000)+$N487+ROW()/100000)</f>
        <v/>
      </c>
      <c r="S487" s="29" t="str">
        <f aca="false">IF($R487="","","draft Jira update for "&amp;$A487)</f>
        <v/>
      </c>
      <c r="T487" s="29" t="str">
        <f aca="false">IF($A487="","",HYPERLINK(JiraSite&amp;"/browse/"&amp;$A487,"open"))</f>
        <v/>
      </c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7"/>
      <c r="H488" s="27"/>
      <c r="I488" s="27"/>
      <c r="J488" s="24"/>
      <c r="K488" s="24"/>
      <c r="L488" s="24"/>
      <c r="M488" s="29" t="str">
        <f aca="false">IF($A488="","",IFERROR(INDEX(MapStage,MATCH($C488,MapStatus,0)),"Unmapped"))</f>
        <v/>
      </c>
      <c r="N488" s="29" t="str">
        <f aca="false">IF($A488="","",AsOf-$H488)</f>
        <v/>
      </c>
      <c r="O488" s="29" t="str">
        <f aca="false">IF(OR($M488="",$M488="Closed",$M488="Unmapped"),"",INDEX(StageStale,MATCH($M488,StageName,0)))</f>
        <v/>
      </c>
      <c r="P488" s="29" t="str">
        <f aca="false">IF($A488="","",IF($M488="Closed","Closed",IF($J488="Y","Critical",IF(AND($I488&lt;&gt;"",$I488&lt;AsOf),"Critical",IF($M488="Unmapped","Warning",IF($N488&gt;2*$O488,"Critical",IF($N488&gt;$O488,"Warning","On track")))))))</f>
        <v/>
      </c>
      <c r="Q488" s="29" t="str">
        <f aca="false">IF(OR($P488="",$P488="Closed",$P488="On track"),"",IF($J488="Y","Flagged as an impediment",IF(AND($I488&lt;&gt;"",$I488&lt;AsOf),"Past due since "&amp;TEXT($I488,"yyyy-mm-dd"),IF($M488="Unmapped","Status '"&amp;$C488&amp;"' is not in the Config map","No update in "&amp;$N488&amp;" days (limit "&amp;$O488&amp;")"))))</f>
        <v/>
      </c>
      <c r="R488" s="29" t="str">
        <f aca="false">IF(OR($P488="",$P488="Closed",$P488="On track"),"",IF($P488="Critical",3000,2000)+$N488+ROW()/100000)</f>
        <v/>
      </c>
      <c r="S488" s="29" t="str">
        <f aca="false">IF($R488="","","draft Jira update for "&amp;$A488)</f>
        <v/>
      </c>
      <c r="T488" s="29" t="str">
        <f aca="false">IF($A488="","",HYPERLINK(JiraSite&amp;"/browse/"&amp;$A488,"open"))</f>
        <v/>
      </c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7"/>
      <c r="H489" s="27"/>
      <c r="I489" s="27"/>
      <c r="J489" s="24"/>
      <c r="K489" s="24"/>
      <c r="L489" s="24"/>
      <c r="M489" s="29" t="str">
        <f aca="false">IF($A489="","",IFERROR(INDEX(MapStage,MATCH($C489,MapStatus,0)),"Unmapped"))</f>
        <v/>
      </c>
      <c r="N489" s="29" t="str">
        <f aca="false">IF($A489="","",AsOf-$H489)</f>
        <v/>
      </c>
      <c r="O489" s="29" t="str">
        <f aca="false">IF(OR($M489="",$M489="Closed",$M489="Unmapped"),"",INDEX(StageStale,MATCH($M489,StageName,0)))</f>
        <v/>
      </c>
      <c r="P489" s="29" t="str">
        <f aca="false">IF($A489="","",IF($M489="Closed","Closed",IF($J489="Y","Critical",IF(AND($I489&lt;&gt;"",$I489&lt;AsOf),"Critical",IF($M489="Unmapped","Warning",IF($N489&gt;2*$O489,"Critical",IF($N489&gt;$O489,"Warning","On track")))))))</f>
        <v/>
      </c>
      <c r="Q489" s="29" t="str">
        <f aca="false">IF(OR($P489="",$P489="Closed",$P489="On track"),"",IF($J489="Y","Flagged as an impediment",IF(AND($I489&lt;&gt;"",$I489&lt;AsOf),"Past due since "&amp;TEXT($I489,"yyyy-mm-dd"),IF($M489="Unmapped","Status '"&amp;$C489&amp;"' is not in the Config map","No update in "&amp;$N489&amp;" days (limit "&amp;$O489&amp;")"))))</f>
        <v/>
      </c>
      <c r="R489" s="29" t="str">
        <f aca="false">IF(OR($P489="",$P489="Closed",$P489="On track"),"",IF($P489="Critical",3000,2000)+$N489+ROW()/100000)</f>
        <v/>
      </c>
      <c r="S489" s="29" t="str">
        <f aca="false">IF($R489="","","draft Jira update for "&amp;$A489)</f>
        <v/>
      </c>
      <c r="T489" s="29" t="str">
        <f aca="false">IF($A489="","",HYPERLINK(JiraSite&amp;"/browse/"&amp;$A489,"open"))</f>
        <v/>
      </c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7"/>
      <c r="H490" s="27"/>
      <c r="I490" s="27"/>
      <c r="J490" s="24"/>
      <c r="K490" s="24"/>
      <c r="L490" s="24"/>
      <c r="M490" s="29" t="str">
        <f aca="false">IF($A490="","",IFERROR(INDEX(MapStage,MATCH($C490,MapStatus,0)),"Unmapped"))</f>
        <v/>
      </c>
      <c r="N490" s="29" t="str">
        <f aca="false">IF($A490="","",AsOf-$H490)</f>
        <v/>
      </c>
      <c r="O490" s="29" t="str">
        <f aca="false">IF(OR($M490="",$M490="Closed",$M490="Unmapped"),"",INDEX(StageStale,MATCH($M490,StageName,0)))</f>
        <v/>
      </c>
      <c r="P490" s="29" t="str">
        <f aca="false">IF($A490="","",IF($M490="Closed","Closed",IF($J490="Y","Critical",IF(AND($I490&lt;&gt;"",$I490&lt;AsOf),"Critical",IF($M490="Unmapped","Warning",IF($N490&gt;2*$O490,"Critical",IF($N490&gt;$O490,"Warning","On track")))))))</f>
        <v/>
      </c>
      <c r="Q490" s="29" t="str">
        <f aca="false">IF(OR($P490="",$P490="Closed",$P490="On track"),"",IF($J490="Y","Flagged as an impediment",IF(AND($I490&lt;&gt;"",$I490&lt;AsOf),"Past due since "&amp;TEXT($I490,"yyyy-mm-dd"),IF($M490="Unmapped","Status '"&amp;$C490&amp;"' is not in the Config map","No update in "&amp;$N490&amp;" days (limit "&amp;$O490&amp;")"))))</f>
        <v/>
      </c>
      <c r="R490" s="29" t="str">
        <f aca="false">IF(OR($P490="",$P490="Closed",$P490="On track"),"",IF($P490="Critical",3000,2000)+$N490+ROW()/100000)</f>
        <v/>
      </c>
      <c r="S490" s="29" t="str">
        <f aca="false">IF($R490="","","draft Jira update for "&amp;$A490)</f>
        <v/>
      </c>
      <c r="T490" s="29" t="str">
        <f aca="false">IF($A490="","",HYPERLINK(JiraSite&amp;"/browse/"&amp;$A490,"open"))</f>
        <v/>
      </c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7"/>
      <c r="H491" s="27"/>
      <c r="I491" s="27"/>
      <c r="J491" s="24"/>
      <c r="K491" s="24"/>
      <c r="L491" s="24"/>
      <c r="M491" s="29" t="str">
        <f aca="false">IF($A491="","",IFERROR(INDEX(MapStage,MATCH($C491,MapStatus,0)),"Unmapped"))</f>
        <v/>
      </c>
      <c r="N491" s="29" t="str">
        <f aca="false">IF($A491="","",AsOf-$H491)</f>
        <v/>
      </c>
      <c r="O491" s="29" t="str">
        <f aca="false">IF(OR($M491="",$M491="Closed",$M491="Unmapped"),"",INDEX(StageStale,MATCH($M491,StageName,0)))</f>
        <v/>
      </c>
      <c r="P491" s="29" t="str">
        <f aca="false">IF($A491="","",IF($M491="Closed","Closed",IF($J491="Y","Critical",IF(AND($I491&lt;&gt;"",$I491&lt;AsOf),"Critical",IF($M491="Unmapped","Warning",IF($N491&gt;2*$O491,"Critical",IF($N491&gt;$O491,"Warning","On track")))))))</f>
        <v/>
      </c>
      <c r="Q491" s="29" t="str">
        <f aca="false">IF(OR($P491="",$P491="Closed",$P491="On track"),"",IF($J491="Y","Flagged as an impediment",IF(AND($I491&lt;&gt;"",$I491&lt;AsOf),"Past due since "&amp;TEXT($I491,"yyyy-mm-dd"),IF($M491="Unmapped","Status '"&amp;$C491&amp;"' is not in the Config map","No update in "&amp;$N491&amp;" days (limit "&amp;$O491&amp;")"))))</f>
        <v/>
      </c>
      <c r="R491" s="29" t="str">
        <f aca="false">IF(OR($P491="",$P491="Closed",$P491="On track"),"",IF($P491="Critical",3000,2000)+$N491+ROW()/100000)</f>
        <v/>
      </c>
      <c r="S491" s="29" t="str">
        <f aca="false">IF($R491="","","draft Jira update for "&amp;$A491)</f>
        <v/>
      </c>
      <c r="T491" s="29" t="str">
        <f aca="false">IF($A491="","",HYPERLINK(JiraSite&amp;"/browse/"&amp;$A491,"open"))</f>
        <v/>
      </c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7"/>
      <c r="H492" s="27"/>
      <c r="I492" s="27"/>
      <c r="J492" s="24"/>
      <c r="K492" s="24"/>
      <c r="L492" s="24"/>
      <c r="M492" s="29" t="str">
        <f aca="false">IF($A492="","",IFERROR(INDEX(MapStage,MATCH($C492,MapStatus,0)),"Unmapped"))</f>
        <v/>
      </c>
      <c r="N492" s="29" t="str">
        <f aca="false">IF($A492="","",AsOf-$H492)</f>
        <v/>
      </c>
      <c r="O492" s="29" t="str">
        <f aca="false">IF(OR($M492="",$M492="Closed",$M492="Unmapped"),"",INDEX(StageStale,MATCH($M492,StageName,0)))</f>
        <v/>
      </c>
      <c r="P492" s="29" t="str">
        <f aca="false">IF($A492="","",IF($M492="Closed","Closed",IF($J492="Y","Critical",IF(AND($I492&lt;&gt;"",$I492&lt;AsOf),"Critical",IF($M492="Unmapped","Warning",IF($N492&gt;2*$O492,"Critical",IF($N492&gt;$O492,"Warning","On track")))))))</f>
        <v/>
      </c>
      <c r="Q492" s="29" t="str">
        <f aca="false">IF(OR($P492="",$P492="Closed",$P492="On track"),"",IF($J492="Y","Flagged as an impediment",IF(AND($I492&lt;&gt;"",$I492&lt;AsOf),"Past due since "&amp;TEXT($I492,"yyyy-mm-dd"),IF($M492="Unmapped","Status '"&amp;$C492&amp;"' is not in the Config map","No update in "&amp;$N492&amp;" days (limit "&amp;$O492&amp;")"))))</f>
        <v/>
      </c>
      <c r="R492" s="29" t="str">
        <f aca="false">IF(OR($P492="",$P492="Closed",$P492="On track"),"",IF($P492="Critical",3000,2000)+$N492+ROW()/100000)</f>
        <v/>
      </c>
      <c r="S492" s="29" t="str">
        <f aca="false">IF($R492="","","draft Jira update for "&amp;$A492)</f>
        <v/>
      </c>
      <c r="T492" s="29" t="str">
        <f aca="false">IF($A492="","",HYPERLINK(JiraSite&amp;"/browse/"&amp;$A492,"open"))</f>
        <v/>
      </c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7"/>
      <c r="H493" s="27"/>
      <c r="I493" s="27"/>
      <c r="J493" s="24"/>
      <c r="K493" s="24"/>
      <c r="L493" s="24"/>
      <c r="M493" s="29" t="str">
        <f aca="false">IF($A493="","",IFERROR(INDEX(MapStage,MATCH($C493,MapStatus,0)),"Unmapped"))</f>
        <v/>
      </c>
      <c r="N493" s="29" t="str">
        <f aca="false">IF($A493="","",AsOf-$H493)</f>
        <v/>
      </c>
      <c r="O493" s="29" t="str">
        <f aca="false">IF(OR($M493="",$M493="Closed",$M493="Unmapped"),"",INDEX(StageStale,MATCH($M493,StageName,0)))</f>
        <v/>
      </c>
      <c r="P493" s="29" t="str">
        <f aca="false">IF($A493="","",IF($M493="Closed","Closed",IF($J493="Y","Critical",IF(AND($I493&lt;&gt;"",$I493&lt;AsOf),"Critical",IF($M493="Unmapped","Warning",IF($N493&gt;2*$O493,"Critical",IF($N493&gt;$O493,"Warning","On track")))))))</f>
        <v/>
      </c>
      <c r="Q493" s="29" t="str">
        <f aca="false">IF(OR($P493="",$P493="Closed",$P493="On track"),"",IF($J493="Y","Flagged as an impediment",IF(AND($I493&lt;&gt;"",$I493&lt;AsOf),"Past due since "&amp;TEXT($I493,"yyyy-mm-dd"),IF($M493="Unmapped","Status '"&amp;$C493&amp;"' is not in the Config map","No update in "&amp;$N493&amp;" days (limit "&amp;$O493&amp;")"))))</f>
        <v/>
      </c>
      <c r="R493" s="29" t="str">
        <f aca="false">IF(OR($P493="",$P493="Closed",$P493="On track"),"",IF($P493="Critical",3000,2000)+$N493+ROW()/100000)</f>
        <v/>
      </c>
      <c r="S493" s="29" t="str">
        <f aca="false">IF($R493="","","draft Jira update for "&amp;$A493)</f>
        <v/>
      </c>
      <c r="T493" s="29" t="str">
        <f aca="false">IF($A493="","",HYPERLINK(JiraSite&amp;"/browse/"&amp;$A493,"open"))</f>
        <v/>
      </c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7"/>
      <c r="H494" s="27"/>
      <c r="I494" s="27"/>
      <c r="J494" s="24"/>
      <c r="K494" s="24"/>
      <c r="L494" s="24"/>
      <c r="M494" s="29" t="str">
        <f aca="false">IF($A494="","",IFERROR(INDEX(MapStage,MATCH($C494,MapStatus,0)),"Unmapped"))</f>
        <v/>
      </c>
      <c r="N494" s="29" t="str">
        <f aca="false">IF($A494="","",AsOf-$H494)</f>
        <v/>
      </c>
      <c r="O494" s="29" t="str">
        <f aca="false">IF(OR($M494="",$M494="Closed",$M494="Unmapped"),"",INDEX(StageStale,MATCH($M494,StageName,0)))</f>
        <v/>
      </c>
      <c r="P494" s="29" t="str">
        <f aca="false">IF($A494="","",IF($M494="Closed","Closed",IF($J494="Y","Critical",IF(AND($I494&lt;&gt;"",$I494&lt;AsOf),"Critical",IF($M494="Unmapped","Warning",IF($N494&gt;2*$O494,"Critical",IF($N494&gt;$O494,"Warning","On track")))))))</f>
        <v/>
      </c>
      <c r="Q494" s="29" t="str">
        <f aca="false">IF(OR($P494="",$P494="Closed",$P494="On track"),"",IF($J494="Y","Flagged as an impediment",IF(AND($I494&lt;&gt;"",$I494&lt;AsOf),"Past due since "&amp;TEXT($I494,"yyyy-mm-dd"),IF($M494="Unmapped","Status '"&amp;$C494&amp;"' is not in the Config map","No update in "&amp;$N494&amp;" days (limit "&amp;$O494&amp;")"))))</f>
        <v/>
      </c>
      <c r="R494" s="29" t="str">
        <f aca="false">IF(OR($P494="",$P494="Closed",$P494="On track"),"",IF($P494="Critical",3000,2000)+$N494+ROW()/100000)</f>
        <v/>
      </c>
      <c r="S494" s="29" t="str">
        <f aca="false">IF($R494="","","draft Jira update for "&amp;$A494)</f>
        <v/>
      </c>
      <c r="T494" s="29" t="str">
        <f aca="false">IF($A494="","",HYPERLINK(JiraSite&amp;"/browse/"&amp;$A494,"open"))</f>
        <v/>
      </c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7"/>
      <c r="H495" s="27"/>
      <c r="I495" s="27"/>
      <c r="J495" s="24"/>
      <c r="K495" s="24"/>
      <c r="L495" s="24"/>
      <c r="M495" s="29" t="str">
        <f aca="false">IF($A495="","",IFERROR(INDEX(MapStage,MATCH($C495,MapStatus,0)),"Unmapped"))</f>
        <v/>
      </c>
      <c r="N495" s="29" t="str">
        <f aca="false">IF($A495="","",AsOf-$H495)</f>
        <v/>
      </c>
      <c r="O495" s="29" t="str">
        <f aca="false">IF(OR($M495="",$M495="Closed",$M495="Unmapped"),"",INDEX(StageStale,MATCH($M495,StageName,0)))</f>
        <v/>
      </c>
      <c r="P495" s="29" t="str">
        <f aca="false">IF($A495="","",IF($M495="Closed","Closed",IF($J495="Y","Critical",IF(AND($I495&lt;&gt;"",$I495&lt;AsOf),"Critical",IF($M495="Unmapped","Warning",IF($N495&gt;2*$O495,"Critical",IF($N495&gt;$O495,"Warning","On track")))))))</f>
        <v/>
      </c>
      <c r="Q495" s="29" t="str">
        <f aca="false">IF(OR($P495="",$P495="Closed",$P495="On track"),"",IF($J495="Y","Flagged as an impediment",IF(AND($I495&lt;&gt;"",$I495&lt;AsOf),"Past due since "&amp;TEXT($I495,"yyyy-mm-dd"),IF($M495="Unmapped","Status '"&amp;$C495&amp;"' is not in the Config map","No update in "&amp;$N495&amp;" days (limit "&amp;$O495&amp;")"))))</f>
        <v/>
      </c>
      <c r="R495" s="29" t="str">
        <f aca="false">IF(OR($P495="",$P495="Closed",$P495="On track"),"",IF($P495="Critical",3000,2000)+$N495+ROW()/100000)</f>
        <v/>
      </c>
      <c r="S495" s="29" t="str">
        <f aca="false">IF($R495="","","draft Jira update for "&amp;$A495)</f>
        <v/>
      </c>
      <c r="T495" s="29" t="str">
        <f aca="false">IF($A495="","",HYPERLINK(JiraSite&amp;"/browse/"&amp;$A495,"open"))</f>
        <v/>
      </c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7"/>
      <c r="H496" s="27"/>
      <c r="I496" s="27"/>
      <c r="J496" s="24"/>
      <c r="K496" s="24"/>
      <c r="L496" s="24"/>
      <c r="M496" s="29" t="str">
        <f aca="false">IF($A496="","",IFERROR(INDEX(MapStage,MATCH($C496,MapStatus,0)),"Unmapped"))</f>
        <v/>
      </c>
      <c r="N496" s="29" t="str">
        <f aca="false">IF($A496="","",AsOf-$H496)</f>
        <v/>
      </c>
      <c r="O496" s="29" t="str">
        <f aca="false">IF(OR($M496="",$M496="Closed",$M496="Unmapped"),"",INDEX(StageStale,MATCH($M496,StageName,0)))</f>
        <v/>
      </c>
      <c r="P496" s="29" t="str">
        <f aca="false">IF($A496="","",IF($M496="Closed","Closed",IF($J496="Y","Critical",IF(AND($I496&lt;&gt;"",$I496&lt;AsOf),"Critical",IF($M496="Unmapped","Warning",IF($N496&gt;2*$O496,"Critical",IF($N496&gt;$O496,"Warning","On track")))))))</f>
        <v/>
      </c>
      <c r="Q496" s="29" t="str">
        <f aca="false">IF(OR($P496="",$P496="Closed",$P496="On track"),"",IF($J496="Y","Flagged as an impediment",IF(AND($I496&lt;&gt;"",$I496&lt;AsOf),"Past due since "&amp;TEXT($I496,"yyyy-mm-dd"),IF($M496="Unmapped","Status '"&amp;$C496&amp;"' is not in the Config map","No update in "&amp;$N496&amp;" days (limit "&amp;$O496&amp;")"))))</f>
        <v/>
      </c>
      <c r="R496" s="29" t="str">
        <f aca="false">IF(OR($P496="",$P496="Closed",$P496="On track"),"",IF($P496="Critical",3000,2000)+$N496+ROW()/100000)</f>
        <v/>
      </c>
      <c r="S496" s="29" t="str">
        <f aca="false">IF($R496="","","draft Jira update for "&amp;$A496)</f>
        <v/>
      </c>
      <c r="T496" s="29" t="str">
        <f aca="false">IF($A496="","",HYPERLINK(JiraSite&amp;"/browse/"&amp;$A496,"open"))</f>
        <v/>
      </c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7"/>
      <c r="H497" s="27"/>
      <c r="I497" s="27"/>
      <c r="J497" s="24"/>
      <c r="K497" s="24"/>
      <c r="L497" s="24"/>
      <c r="M497" s="29" t="str">
        <f aca="false">IF($A497="","",IFERROR(INDEX(MapStage,MATCH($C497,MapStatus,0)),"Unmapped"))</f>
        <v/>
      </c>
      <c r="N497" s="29" t="str">
        <f aca="false">IF($A497="","",AsOf-$H497)</f>
        <v/>
      </c>
      <c r="O497" s="29" t="str">
        <f aca="false">IF(OR($M497="",$M497="Closed",$M497="Unmapped"),"",INDEX(StageStale,MATCH($M497,StageName,0)))</f>
        <v/>
      </c>
      <c r="P497" s="29" t="str">
        <f aca="false">IF($A497="","",IF($M497="Closed","Closed",IF($J497="Y","Critical",IF(AND($I497&lt;&gt;"",$I497&lt;AsOf),"Critical",IF($M497="Unmapped","Warning",IF($N497&gt;2*$O497,"Critical",IF($N497&gt;$O497,"Warning","On track")))))))</f>
        <v/>
      </c>
      <c r="Q497" s="29" t="str">
        <f aca="false">IF(OR($P497="",$P497="Closed",$P497="On track"),"",IF($J497="Y","Flagged as an impediment",IF(AND($I497&lt;&gt;"",$I497&lt;AsOf),"Past due since "&amp;TEXT($I497,"yyyy-mm-dd"),IF($M497="Unmapped","Status '"&amp;$C497&amp;"' is not in the Config map","No update in "&amp;$N497&amp;" days (limit "&amp;$O497&amp;")"))))</f>
        <v/>
      </c>
      <c r="R497" s="29" t="str">
        <f aca="false">IF(OR($P497="",$P497="Closed",$P497="On track"),"",IF($P497="Critical",3000,2000)+$N497+ROW()/100000)</f>
        <v/>
      </c>
      <c r="S497" s="29" t="str">
        <f aca="false">IF($R497="","","draft Jira update for "&amp;$A497)</f>
        <v/>
      </c>
      <c r="T497" s="29" t="str">
        <f aca="false">IF($A497="","",HYPERLINK(JiraSite&amp;"/browse/"&amp;$A497,"open"))</f>
        <v/>
      </c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7"/>
      <c r="H498" s="27"/>
      <c r="I498" s="27"/>
      <c r="J498" s="24"/>
      <c r="K498" s="24"/>
      <c r="L498" s="24"/>
      <c r="M498" s="29" t="str">
        <f aca="false">IF($A498="","",IFERROR(INDEX(MapStage,MATCH($C498,MapStatus,0)),"Unmapped"))</f>
        <v/>
      </c>
      <c r="N498" s="29" t="str">
        <f aca="false">IF($A498="","",AsOf-$H498)</f>
        <v/>
      </c>
      <c r="O498" s="29" t="str">
        <f aca="false">IF(OR($M498="",$M498="Closed",$M498="Unmapped"),"",INDEX(StageStale,MATCH($M498,StageName,0)))</f>
        <v/>
      </c>
      <c r="P498" s="29" t="str">
        <f aca="false">IF($A498="","",IF($M498="Closed","Closed",IF($J498="Y","Critical",IF(AND($I498&lt;&gt;"",$I498&lt;AsOf),"Critical",IF($M498="Unmapped","Warning",IF($N498&gt;2*$O498,"Critical",IF($N498&gt;$O498,"Warning","On track")))))))</f>
        <v/>
      </c>
      <c r="Q498" s="29" t="str">
        <f aca="false">IF(OR($P498="",$P498="Closed",$P498="On track"),"",IF($J498="Y","Flagged as an impediment",IF(AND($I498&lt;&gt;"",$I498&lt;AsOf),"Past due since "&amp;TEXT($I498,"yyyy-mm-dd"),IF($M498="Unmapped","Status '"&amp;$C498&amp;"' is not in the Config map","No update in "&amp;$N498&amp;" days (limit "&amp;$O498&amp;")"))))</f>
        <v/>
      </c>
      <c r="R498" s="29" t="str">
        <f aca="false">IF(OR($P498="",$P498="Closed",$P498="On track"),"",IF($P498="Critical",3000,2000)+$N498+ROW()/100000)</f>
        <v/>
      </c>
      <c r="S498" s="29" t="str">
        <f aca="false">IF($R498="","","draft Jira update for "&amp;$A498)</f>
        <v/>
      </c>
      <c r="T498" s="29" t="str">
        <f aca="false">IF($A498="","",HYPERLINK(JiraSite&amp;"/browse/"&amp;$A498,"open"))</f>
        <v/>
      </c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7"/>
      <c r="H499" s="27"/>
      <c r="I499" s="27"/>
      <c r="J499" s="24"/>
      <c r="K499" s="24"/>
      <c r="L499" s="24"/>
      <c r="M499" s="29" t="str">
        <f aca="false">IF($A499="","",IFERROR(INDEX(MapStage,MATCH($C499,MapStatus,0)),"Unmapped"))</f>
        <v/>
      </c>
      <c r="N499" s="29" t="str">
        <f aca="false">IF($A499="","",AsOf-$H499)</f>
        <v/>
      </c>
      <c r="O499" s="29" t="str">
        <f aca="false">IF(OR($M499="",$M499="Closed",$M499="Unmapped"),"",INDEX(StageStale,MATCH($M499,StageName,0)))</f>
        <v/>
      </c>
      <c r="P499" s="29" t="str">
        <f aca="false">IF($A499="","",IF($M499="Closed","Closed",IF($J499="Y","Critical",IF(AND($I499&lt;&gt;"",$I499&lt;AsOf),"Critical",IF($M499="Unmapped","Warning",IF($N499&gt;2*$O499,"Critical",IF($N499&gt;$O499,"Warning","On track")))))))</f>
        <v/>
      </c>
      <c r="Q499" s="29" t="str">
        <f aca="false">IF(OR($P499="",$P499="Closed",$P499="On track"),"",IF($J499="Y","Flagged as an impediment",IF(AND($I499&lt;&gt;"",$I499&lt;AsOf),"Past due since "&amp;TEXT($I499,"yyyy-mm-dd"),IF($M499="Unmapped","Status '"&amp;$C499&amp;"' is not in the Config map","No update in "&amp;$N499&amp;" days (limit "&amp;$O499&amp;")"))))</f>
        <v/>
      </c>
      <c r="R499" s="29" t="str">
        <f aca="false">IF(OR($P499="",$P499="Closed",$P499="On track"),"",IF($P499="Critical",3000,2000)+$N499+ROW()/100000)</f>
        <v/>
      </c>
      <c r="S499" s="29" t="str">
        <f aca="false">IF($R499="","","draft Jira update for "&amp;$A499)</f>
        <v/>
      </c>
      <c r="T499" s="29" t="str">
        <f aca="false">IF($A499="","",HYPERLINK(JiraSite&amp;"/browse/"&amp;$A499,"open"))</f>
        <v/>
      </c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7"/>
      <c r="H500" s="27"/>
      <c r="I500" s="27"/>
      <c r="J500" s="24"/>
      <c r="K500" s="24"/>
      <c r="L500" s="24"/>
      <c r="M500" s="29" t="str">
        <f aca="false">IF($A500="","",IFERROR(INDEX(MapStage,MATCH($C500,MapStatus,0)),"Unmapped"))</f>
        <v/>
      </c>
      <c r="N500" s="29" t="str">
        <f aca="false">IF($A500="","",AsOf-$H500)</f>
        <v/>
      </c>
      <c r="O500" s="29" t="str">
        <f aca="false">IF(OR($M500="",$M500="Closed",$M500="Unmapped"),"",INDEX(StageStale,MATCH($M500,StageName,0)))</f>
        <v/>
      </c>
      <c r="P500" s="29" t="str">
        <f aca="false">IF($A500="","",IF($M500="Closed","Closed",IF($J500="Y","Critical",IF(AND($I500&lt;&gt;"",$I500&lt;AsOf),"Critical",IF($M500="Unmapped","Warning",IF($N500&gt;2*$O500,"Critical",IF($N500&gt;$O500,"Warning","On track")))))))</f>
        <v/>
      </c>
      <c r="Q500" s="29" t="str">
        <f aca="false">IF(OR($P500="",$P500="Closed",$P500="On track"),"",IF($J500="Y","Flagged as an impediment",IF(AND($I500&lt;&gt;"",$I500&lt;AsOf),"Past due since "&amp;TEXT($I500,"yyyy-mm-dd"),IF($M500="Unmapped","Status '"&amp;$C500&amp;"' is not in the Config map","No update in "&amp;$N500&amp;" days (limit "&amp;$O500&amp;")"))))</f>
        <v/>
      </c>
      <c r="R500" s="29" t="str">
        <f aca="false">IF(OR($P500="",$P500="Closed",$P500="On track"),"",IF($P500="Critical",3000,2000)+$N500+ROW()/100000)</f>
        <v/>
      </c>
      <c r="S500" s="29" t="str">
        <f aca="false">IF($R500="","","draft Jira update for "&amp;$A500)</f>
        <v/>
      </c>
      <c r="T500" s="29" t="str">
        <f aca="false">IF($A500="","",HYPERLINK(JiraSite&amp;"/browse/"&amp;$A500,"open"))</f>
        <v/>
      </c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7"/>
      <c r="H501" s="27"/>
      <c r="I501" s="27"/>
      <c r="J501" s="24"/>
      <c r="K501" s="24"/>
      <c r="L501" s="24"/>
      <c r="M501" s="29" t="str">
        <f aca="false">IF($A501="","",IFERROR(INDEX(MapStage,MATCH($C501,MapStatus,0)),"Unmapped"))</f>
        <v/>
      </c>
      <c r="N501" s="29" t="str">
        <f aca="false">IF($A501="","",AsOf-$H501)</f>
        <v/>
      </c>
      <c r="O501" s="29" t="str">
        <f aca="false">IF(OR($M501="",$M501="Closed",$M501="Unmapped"),"",INDEX(StageStale,MATCH($M501,StageName,0)))</f>
        <v/>
      </c>
      <c r="P501" s="29" t="str">
        <f aca="false">IF($A501="","",IF($M501="Closed","Closed",IF($J501="Y","Critical",IF(AND($I501&lt;&gt;"",$I501&lt;AsOf),"Critical",IF($M501="Unmapped","Warning",IF($N501&gt;2*$O501,"Critical",IF($N501&gt;$O501,"Warning","On track")))))))</f>
        <v/>
      </c>
      <c r="Q501" s="29" t="str">
        <f aca="false">IF(OR($P501="",$P501="Closed",$P501="On track"),"",IF($J501="Y","Flagged as an impediment",IF(AND($I501&lt;&gt;"",$I501&lt;AsOf),"Past due since "&amp;TEXT($I501,"yyyy-mm-dd"),IF($M501="Unmapped","Status '"&amp;$C501&amp;"' is not in the Config map","No update in "&amp;$N501&amp;" days (limit "&amp;$O501&amp;")"))))</f>
        <v/>
      </c>
      <c r="R501" s="29" t="str">
        <f aca="false">IF(OR($P501="",$P501="Closed",$P501="On track"),"",IF($P501="Critical",3000,2000)+$N501+ROW()/100000)</f>
        <v/>
      </c>
      <c r="S501" s="29" t="str">
        <f aca="false">IF($R501="","","draft Jira update for "&amp;$A501)</f>
        <v/>
      </c>
      <c r="T501" s="29" t="str">
        <f aca="false">IF($A501="","",HYPERLINK(JiraSite&amp;"/browse/"&amp;$A501,"open"))</f>
        <v/>
      </c>
    </row>
  </sheetData>
  <autoFilter ref="A1:T501"/>
  <conditionalFormatting sqref="P2:P501">
    <cfRule type="cellIs" priority="2" operator="equal" aboveAverage="0" equalAverage="0" bottom="0" percent="0" rank="0" text="" dxfId="1">
      <formula>"Critical"</formula>
    </cfRule>
    <cfRule type="cellIs" priority="3" operator="equal" aboveAverage="0" equalAverage="0" bottom="0" percent="0" rank="0" text="" dxfId="2">
      <formula>"Warning"</formula>
    </cfRule>
    <cfRule type="cellIs" priority="4" operator="equal" aboveAverage="0" equalAverage="0" bottom="0" percent="0" rank="0" text="" dxfId="3">
      <formula>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25" t="s">
        <v>42</v>
      </c>
      <c r="B1" s="25" t="s">
        <v>43</v>
      </c>
      <c r="C1" s="25" t="s">
        <v>11</v>
      </c>
      <c r="D1" s="25" t="s">
        <v>51</v>
      </c>
      <c r="E1" s="25" t="s">
        <v>64</v>
      </c>
      <c r="F1" s="26" t="s">
        <v>46</v>
      </c>
      <c r="G1" s="26" t="s">
        <v>65</v>
      </c>
      <c r="H1" s="26" t="s">
        <v>54</v>
      </c>
    </row>
    <row r="2" customFormat="false" ht="15" hidden="false" customHeight="false" outlineLevel="0" collapsed="false">
      <c r="A2" s="27"/>
      <c r="B2" s="24"/>
      <c r="C2" s="24"/>
      <c r="D2" s="24"/>
      <c r="E2" s="28"/>
      <c r="F2" s="30" t="str">
        <f aca="false">IF($A2="","",$A2-WEEKDAY($A2,3))</f>
        <v/>
      </c>
      <c r="G2" s="29" t="str">
        <f aca="false">IF($A2="","",IF($F2=AsOf-WEEKDAY(AsOf,3),"Yes",""))</f>
        <v/>
      </c>
      <c r="H2" s="29" t="str">
        <f aca="false">IF($G2="Yes",$A2+ROW()/100000,"")</f>
        <v/>
      </c>
    </row>
    <row r="3" customFormat="false" ht="15" hidden="false" customHeight="false" outlineLevel="0" collapsed="false">
      <c r="A3" s="27"/>
      <c r="B3" s="24"/>
      <c r="C3" s="24"/>
      <c r="D3" s="24"/>
      <c r="E3" s="28"/>
      <c r="F3" s="30" t="str">
        <f aca="false">IF($A3="","",$A3-WEEKDAY($A3,3))</f>
        <v/>
      </c>
      <c r="G3" s="29" t="str">
        <f aca="false">IF($A3="","",IF($F3=AsOf-WEEKDAY(AsOf,3),"Yes",""))</f>
        <v/>
      </c>
      <c r="H3" s="29" t="str">
        <f aca="false">IF($G3="Yes",$A3+ROW()/100000,"")</f>
        <v/>
      </c>
    </row>
    <row r="4" customFormat="false" ht="15" hidden="false" customHeight="false" outlineLevel="0" collapsed="false">
      <c r="A4" s="27"/>
      <c r="B4" s="24"/>
      <c r="C4" s="24"/>
      <c r="D4" s="24"/>
      <c r="E4" s="28"/>
      <c r="F4" s="30" t="str">
        <f aca="false">IF($A4="","",$A4-WEEKDAY($A4,3))</f>
        <v/>
      </c>
      <c r="G4" s="29" t="str">
        <f aca="false">IF($A4="","",IF($F4=AsOf-WEEKDAY(AsOf,3),"Yes",""))</f>
        <v/>
      </c>
      <c r="H4" s="29" t="str">
        <f aca="false">IF($G4="Yes",$A4+ROW()/100000,"")</f>
        <v/>
      </c>
    </row>
    <row r="5" customFormat="false" ht="15" hidden="false" customHeight="false" outlineLevel="0" collapsed="false">
      <c r="A5" s="27"/>
      <c r="B5" s="24"/>
      <c r="C5" s="24"/>
      <c r="D5" s="24"/>
      <c r="E5" s="28"/>
      <c r="F5" s="30" t="str">
        <f aca="false">IF($A5="","",$A5-WEEKDAY($A5,3))</f>
        <v/>
      </c>
      <c r="G5" s="29" t="str">
        <f aca="false">IF($A5="","",IF($F5=AsOf-WEEKDAY(AsOf,3),"Yes",""))</f>
        <v/>
      </c>
      <c r="H5" s="29" t="str">
        <f aca="false">IF($G5="Yes",$A5+ROW()/100000,"")</f>
        <v/>
      </c>
    </row>
    <row r="6" customFormat="false" ht="15" hidden="false" customHeight="false" outlineLevel="0" collapsed="false">
      <c r="A6" s="27"/>
      <c r="B6" s="24"/>
      <c r="C6" s="24"/>
      <c r="D6" s="24"/>
      <c r="E6" s="28"/>
      <c r="F6" s="30" t="str">
        <f aca="false">IF($A6="","",$A6-WEEKDAY($A6,3))</f>
        <v/>
      </c>
      <c r="G6" s="29" t="str">
        <f aca="false">IF($A6="","",IF($F6=AsOf-WEEKDAY(AsOf,3),"Yes",""))</f>
        <v/>
      </c>
      <c r="H6" s="29" t="str">
        <f aca="false">IF($G6="Yes",$A6+ROW()/100000,"")</f>
        <v/>
      </c>
    </row>
    <row r="7" customFormat="false" ht="15" hidden="false" customHeight="false" outlineLevel="0" collapsed="false">
      <c r="A7" s="27"/>
      <c r="B7" s="24"/>
      <c r="C7" s="24"/>
      <c r="D7" s="24"/>
      <c r="E7" s="28"/>
      <c r="F7" s="30" t="str">
        <f aca="false">IF($A7="","",$A7-WEEKDAY($A7,3))</f>
        <v/>
      </c>
      <c r="G7" s="29" t="str">
        <f aca="false">IF($A7="","",IF($F7=AsOf-WEEKDAY(AsOf,3),"Yes",""))</f>
        <v/>
      </c>
      <c r="H7" s="29" t="str">
        <f aca="false">IF($G7="Yes",$A7+ROW()/100000,"")</f>
        <v/>
      </c>
    </row>
    <row r="8" customFormat="false" ht="15" hidden="false" customHeight="false" outlineLevel="0" collapsed="false">
      <c r="A8" s="27"/>
      <c r="B8" s="24"/>
      <c r="C8" s="24"/>
      <c r="D8" s="24"/>
      <c r="E8" s="28"/>
      <c r="F8" s="30" t="str">
        <f aca="false">IF($A8="","",$A8-WEEKDAY($A8,3))</f>
        <v/>
      </c>
      <c r="G8" s="29" t="str">
        <f aca="false">IF($A8="","",IF($F8=AsOf-WEEKDAY(AsOf,3),"Yes",""))</f>
        <v/>
      </c>
      <c r="H8" s="29" t="str">
        <f aca="false">IF($G8="Yes",$A8+ROW()/100000,"")</f>
        <v/>
      </c>
    </row>
    <row r="9" customFormat="false" ht="15" hidden="false" customHeight="false" outlineLevel="0" collapsed="false">
      <c r="A9" s="27"/>
      <c r="B9" s="24"/>
      <c r="C9" s="24"/>
      <c r="D9" s="24"/>
      <c r="E9" s="28"/>
      <c r="F9" s="30" t="str">
        <f aca="false">IF($A9="","",$A9-WEEKDAY($A9,3))</f>
        <v/>
      </c>
      <c r="G9" s="29" t="str">
        <f aca="false">IF($A9="","",IF($F9=AsOf-WEEKDAY(AsOf,3),"Yes",""))</f>
        <v/>
      </c>
      <c r="H9" s="29" t="str">
        <f aca="false">IF($G9="Yes",$A9+ROW()/100000,"")</f>
        <v/>
      </c>
    </row>
    <row r="10" customFormat="false" ht="15" hidden="false" customHeight="false" outlineLevel="0" collapsed="false">
      <c r="A10" s="27"/>
      <c r="B10" s="24"/>
      <c r="C10" s="24"/>
      <c r="D10" s="24"/>
      <c r="E10" s="28"/>
      <c r="F10" s="30" t="str">
        <f aca="false">IF($A10="","",$A10-WEEKDAY($A10,3))</f>
        <v/>
      </c>
      <c r="G10" s="29" t="str">
        <f aca="false">IF($A10="","",IF($F10=AsOf-WEEKDAY(AsOf,3),"Yes",""))</f>
        <v/>
      </c>
      <c r="H10" s="29" t="str">
        <f aca="false">IF($G10="Yes",$A10+ROW()/100000,"")</f>
        <v/>
      </c>
    </row>
    <row r="11" customFormat="false" ht="15" hidden="false" customHeight="false" outlineLevel="0" collapsed="false">
      <c r="A11" s="27"/>
      <c r="B11" s="24"/>
      <c r="C11" s="24"/>
      <c r="D11" s="24"/>
      <c r="E11" s="28"/>
      <c r="F11" s="30" t="str">
        <f aca="false">IF($A11="","",$A11-WEEKDAY($A11,3))</f>
        <v/>
      </c>
      <c r="G11" s="29" t="str">
        <f aca="false">IF($A11="","",IF($F11=AsOf-WEEKDAY(AsOf,3),"Yes",""))</f>
        <v/>
      </c>
      <c r="H11" s="29" t="str">
        <f aca="false">IF($G11="Yes",$A11+ROW()/100000,"")</f>
        <v/>
      </c>
    </row>
    <row r="12" customFormat="false" ht="15" hidden="false" customHeight="false" outlineLevel="0" collapsed="false">
      <c r="A12" s="27"/>
      <c r="B12" s="24"/>
      <c r="C12" s="24"/>
      <c r="D12" s="24"/>
      <c r="E12" s="28"/>
      <c r="F12" s="30" t="str">
        <f aca="false">IF($A12="","",$A12-WEEKDAY($A12,3))</f>
        <v/>
      </c>
      <c r="G12" s="29" t="str">
        <f aca="false">IF($A12="","",IF($F12=AsOf-WEEKDAY(AsOf,3),"Yes",""))</f>
        <v/>
      </c>
      <c r="H12" s="29" t="str">
        <f aca="false">IF($G12="Yes",$A12+ROW()/100000,"")</f>
        <v/>
      </c>
    </row>
    <row r="13" customFormat="false" ht="15" hidden="false" customHeight="false" outlineLevel="0" collapsed="false">
      <c r="A13" s="27"/>
      <c r="B13" s="24"/>
      <c r="C13" s="24"/>
      <c r="D13" s="24"/>
      <c r="E13" s="28"/>
      <c r="F13" s="30" t="str">
        <f aca="false">IF($A13="","",$A13-WEEKDAY($A13,3))</f>
        <v/>
      </c>
      <c r="G13" s="29" t="str">
        <f aca="false">IF($A13="","",IF($F13=AsOf-WEEKDAY(AsOf,3),"Yes",""))</f>
        <v/>
      </c>
      <c r="H13" s="29" t="str">
        <f aca="false">IF($G13="Yes",$A13+ROW()/100000,"")</f>
        <v/>
      </c>
    </row>
    <row r="14" customFormat="false" ht="15" hidden="false" customHeight="false" outlineLevel="0" collapsed="false">
      <c r="A14" s="27"/>
      <c r="B14" s="24"/>
      <c r="C14" s="24"/>
      <c r="D14" s="24"/>
      <c r="E14" s="28"/>
      <c r="F14" s="30" t="str">
        <f aca="false">IF($A14="","",$A14-WEEKDAY($A14,3))</f>
        <v/>
      </c>
      <c r="G14" s="29" t="str">
        <f aca="false">IF($A14="","",IF($F14=AsOf-WEEKDAY(AsOf,3),"Yes",""))</f>
        <v/>
      </c>
      <c r="H14" s="29" t="str">
        <f aca="false">IF($G14="Yes",$A14+ROW()/100000,"")</f>
        <v/>
      </c>
    </row>
    <row r="15" customFormat="false" ht="15" hidden="false" customHeight="false" outlineLevel="0" collapsed="false">
      <c r="A15" s="27"/>
      <c r="B15" s="24"/>
      <c r="C15" s="24"/>
      <c r="D15" s="24"/>
      <c r="E15" s="28"/>
      <c r="F15" s="30" t="str">
        <f aca="false">IF($A15="","",$A15-WEEKDAY($A15,3))</f>
        <v/>
      </c>
      <c r="G15" s="29" t="str">
        <f aca="false">IF($A15="","",IF($F15=AsOf-WEEKDAY(AsOf,3),"Yes",""))</f>
        <v/>
      </c>
      <c r="H15" s="29" t="str">
        <f aca="false">IF($G15="Yes",$A15+ROW()/100000,"")</f>
        <v/>
      </c>
    </row>
    <row r="16" customFormat="false" ht="15" hidden="false" customHeight="false" outlineLevel="0" collapsed="false">
      <c r="A16" s="27"/>
      <c r="B16" s="24"/>
      <c r="C16" s="24"/>
      <c r="D16" s="24"/>
      <c r="E16" s="28"/>
      <c r="F16" s="30" t="str">
        <f aca="false">IF($A16="","",$A16-WEEKDAY($A16,3))</f>
        <v/>
      </c>
      <c r="G16" s="29" t="str">
        <f aca="false">IF($A16="","",IF($F16=AsOf-WEEKDAY(AsOf,3),"Yes",""))</f>
        <v/>
      </c>
      <c r="H16" s="29" t="str">
        <f aca="false">IF($G16="Yes",$A16+ROW()/100000,"")</f>
        <v/>
      </c>
    </row>
    <row r="17" customFormat="false" ht="15" hidden="false" customHeight="false" outlineLevel="0" collapsed="false">
      <c r="A17" s="27"/>
      <c r="B17" s="24"/>
      <c r="C17" s="24"/>
      <c r="D17" s="24"/>
      <c r="E17" s="28"/>
      <c r="F17" s="30" t="str">
        <f aca="false">IF($A17="","",$A17-WEEKDAY($A17,3))</f>
        <v/>
      </c>
      <c r="G17" s="29" t="str">
        <f aca="false">IF($A17="","",IF($F17=AsOf-WEEKDAY(AsOf,3),"Yes",""))</f>
        <v/>
      </c>
      <c r="H17" s="29" t="str">
        <f aca="false">IF($G17="Yes",$A17+ROW()/100000,"")</f>
        <v/>
      </c>
    </row>
    <row r="18" customFormat="false" ht="15" hidden="false" customHeight="false" outlineLevel="0" collapsed="false">
      <c r="A18" s="27"/>
      <c r="B18" s="24"/>
      <c r="C18" s="24"/>
      <c r="D18" s="24"/>
      <c r="E18" s="28"/>
      <c r="F18" s="30" t="str">
        <f aca="false">IF($A18="","",$A18-WEEKDAY($A18,3))</f>
        <v/>
      </c>
      <c r="G18" s="29" t="str">
        <f aca="false">IF($A18="","",IF($F18=AsOf-WEEKDAY(AsOf,3),"Yes",""))</f>
        <v/>
      </c>
      <c r="H18" s="29" t="str">
        <f aca="false">IF($G18="Yes",$A18+ROW()/100000,"")</f>
        <v/>
      </c>
    </row>
    <row r="19" customFormat="false" ht="15" hidden="false" customHeight="false" outlineLevel="0" collapsed="false">
      <c r="A19" s="27"/>
      <c r="B19" s="24"/>
      <c r="C19" s="24"/>
      <c r="D19" s="24"/>
      <c r="E19" s="28"/>
      <c r="F19" s="30" t="str">
        <f aca="false">IF($A19="","",$A19-WEEKDAY($A19,3))</f>
        <v/>
      </c>
      <c r="G19" s="29" t="str">
        <f aca="false">IF($A19="","",IF($F19=AsOf-WEEKDAY(AsOf,3),"Yes",""))</f>
        <v/>
      </c>
      <c r="H19" s="29" t="str">
        <f aca="false">IF($G19="Yes",$A19+ROW()/100000,"")</f>
        <v/>
      </c>
    </row>
    <row r="20" customFormat="false" ht="15" hidden="false" customHeight="false" outlineLevel="0" collapsed="false">
      <c r="A20" s="27"/>
      <c r="B20" s="24"/>
      <c r="C20" s="24"/>
      <c r="D20" s="24"/>
      <c r="E20" s="28"/>
      <c r="F20" s="30" t="str">
        <f aca="false">IF($A20="","",$A20-WEEKDAY($A20,3))</f>
        <v/>
      </c>
      <c r="G20" s="29" t="str">
        <f aca="false">IF($A20="","",IF($F20=AsOf-WEEKDAY(AsOf,3),"Yes",""))</f>
        <v/>
      </c>
      <c r="H20" s="29" t="str">
        <f aca="false">IF($G20="Yes",$A20+ROW()/100000,"")</f>
        <v/>
      </c>
    </row>
    <row r="21" customFormat="false" ht="15" hidden="false" customHeight="false" outlineLevel="0" collapsed="false">
      <c r="A21" s="27"/>
      <c r="B21" s="24"/>
      <c r="C21" s="24"/>
      <c r="D21" s="24"/>
      <c r="E21" s="28"/>
      <c r="F21" s="30" t="str">
        <f aca="false">IF($A21="","",$A21-WEEKDAY($A21,3))</f>
        <v/>
      </c>
      <c r="G21" s="29" t="str">
        <f aca="false">IF($A21="","",IF($F21=AsOf-WEEKDAY(AsOf,3),"Yes",""))</f>
        <v/>
      </c>
      <c r="H21" s="29" t="str">
        <f aca="false">IF($G21="Yes",$A21+ROW()/100000,"")</f>
        <v/>
      </c>
    </row>
    <row r="22" customFormat="false" ht="15" hidden="false" customHeight="false" outlineLevel="0" collapsed="false">
      <c r="A22" s="27"/>
      <c r="B22" s="24"/>
      <c r="C22" s="24"/>
      <c r="D22" s="24"/>
      <c r="E22" s="28"/>
      <c r="F22" s="30" t="str">
        <f aca="false">IF($A22="","",$A22-WEEKDAY($A22,3))</f>
        <v/>
      </c>
      <c r="G22" s="29" t="str">
        <f aca="false">IF($A22="","",IF($F22=AsOf-WEEKDAY(AsOf,3),"Yes",""))</f>
        <v/>
      </c>
      <c r="H22" s="29" t="str">
        <f aca="false">IF($G22="Yes",$A22+ROW()/100000,"")</f>
        <v/>
      </c>
    </row>
    <row r="23" customFormat="false" ht="15" hidden="false" customHeight="false" outlineLevel="0" collapsed="false">
      <c r="A23" s="27"/>
      <c r="B23" s="24"/>
      <c r="C23" s="24"/>
      <c r="D23" s="24"/>
      <c r="E23" s="28"/>
      <c r="F23" s="30" t="str">
        <f aca="false">IF($A23="","",$A23-WEEKDAY($A23,3))</f>
        <v/>
      </c>
      <c r="G23" s="29" t="str">
        <f aca="false">IF($A23="","",IF($F23=AsOf-WEEKDAY(AsOf,3),"Yes",""))</f>
        <v/>
      </c>
      <c r="H23" s="29" t="str">
        <f aca="false">IF($G23="Yes",$A23+ROW()/100000,"")</f>
        <v/>
      </c>
    </row>
    <row r="24" customFormat="false" ht="15" hidden="false" customHeight="false" outlineLevel="0" collapsed="false">
      <c r="A24" s="27"/>
      <c r="B24" s="24"/>
      <c r="C24" s="24"/>
      <c r="D24" s="24"/>
      <c r="E24" s="28"/>
      <c r="F24" s="30" t="str">
        <f aca="false">IF($A24="","",$A24-WEEKDAY($A24,3))</f>
        <v/>
      </c>
      <c r="G24" s="29" t="str">
        <f aca="false">IF($A24="","",IF($F24=AsOf-WEEKDAY(AsOf,3),"Yes",""))</f>
        <v/>
      </c>
      <c r="H24" s="29" t="str">
        <f aca="false">IF($G24="Yes",$A24+ROW()/100000,"")</f>
        <v/>
      </c>
    </row>
    <row r="25" customFormat="false" ht="15" hidden="false" customHeight="false" outlineLevel="0" collapsed="false">
      <c r="A25" s="27"/>
      <c r="B25" s="24"/>
      <c r="C25" s="24"/>
      <c r="D25" s="24"/>
      <c r="E25" s="28"/>
      <c r="F25" s="30" t="str">
        <f aca="false">IF($A25="","",$A25-WEEKDAY($A25,3))</f>
        <v/>
      </c>
      <c r="G25" s="29" t="str">
        <f aca="false">IF($A25="","",IF($F25=AsOf-WEEKDAY(AsOf,3),"Yes",""))</f>
        <v/>
      </c>
      <c r="H25" s="29" t="str">
        <f aca="false">IF($G25="Yes",$A25+ROW()/100000,"")</f>
        <v/>
      </c>
    </row>
    <row r="26" customFormat="false" ht="15" hidden="false" customHeight="false" outlineLevel="0" collapsed="false">
      <c r="A26" s="27"/>
      <c r="B26" s="24"/>
      <c r="C26" s="24"/>
      <c r="D26" s="24"/>
      <c r="E26" s="28"/>
      <c r="F26" s="30" t="str">
        <f aca="false">IF($A26="","",$A26-WEEKDAY($A26,3))</f>
        <v/>
      </c>
      <c r="G26" s="29" t="str">
        <f aca="false">IF($A26="","",IF($F26=AsOf-WEEKDAY(AsOf,3),"Yes",""))</f>
        <v/>
      </c>
      <c r="H26" s="29" t="str">
        <f aca="false">IF($G26="Yes",$A26+ROW()/100000,"")</f>
        <v/>
      </c>
    </row>
    <row r="27" customFormat="false" ht="15" hidden="false" customHeight="false" outlineLevel="0" collapsed="false">
      <c r="A27" s="27"/>
      <c r="B27" s="24"/>
      <c r="C27" s="24"/>
      <c r="D27" s="24"/>
      <c r="E27" s="28"/>
      <c r="F27" s="30" t="str">
        <f aca="false">IF($A27="","",$A27-WEEKDAY($A27,3))</f>
        <v/>
      </c>
      <c r="G27" s="29" t="str">
        <f aca="false">IF($A27="","",IF($F27=AsOf-WEEKDAY(AsOf,3),"Yes",""))</f>
        <v/>
      </c>
      <c r="H27" s="29" t="str">
        <f aca="false">IF($G27="Yes",$A27+ROW()/100000,"")</f>
        <v/>
      </c>
    </row>
    <row r="28" customFormat="false" ht="15" hidden="false" customHeight="false" outlineLevel="0" collapsed="false">
      <c r="A28" s="27"/>
      <c r="B28" s="24"/>
      <c r="C28" s="24"/>
      <c r="D28" s="24"/>
      <c r="E28" s="28"/>
      <c r="F28" s="30" t="str">
        <f aca="false">IF($A28="","",$A28-WEEKDAY($A28,3))</f>
        <v/>
      </c>
      <c r="G28" s="29" t="str">
        <f aca="false">IF($A28="","",IF($F28=AsOf-WEEKDAY(AsOf,3),"Yes",""))</f>
        <v/>
      </c>
      <c r="H28" s="29" t="str">
        <f aca="false">IF($G28="Yes",$A28+ROW()/100000,"")</f>
        <v/>
      </c>
    </row>
    <row r="29" customFormat="false" ht="15" hidden="false" customHeight="false" outlineLevel="0" collapsed="false">
      <c r="A29" s="27"/>
      <c r="B29" s="24"/>
      <c r="C29" s="24"/>
      <c r="D29" s="24"/>
      <c r="E29" s="28"/>
      <c r="F29" s="30" t="str">
        <f aca="false">IF($A29="","",$A29-WEEKDAY($A29,3))</f>
        <v/>
      </c>
      <c r="G29" s="29" t="str">
        <f aca="false">IF($A29="","",IF($F29=AsOf-WEEKDAY(AsOf,3),"Yes",""))</f>
        <v/>
      </c>
      <c r="H29" s="29" t="str">
        <f aca="false">IF($G29="Yes",$A29+ROW()/100000,"")</f>
        <v/>
      </c>
    </row>
    <row r="30" customFormat="false" ht="15" hidden="false" customHeight="false" outlineLevel="0" collapsed="false">
      <c r="A30" s="27"/>
      <c r="B30" s="24"/>
      <c r="C30" s="24"/>
      <c r="D30" s="24"/>
      <c r="E30" s="28"/>
      <c r="F30" s="30" t="str">
        <f aca="false">IF($A30="","",$A30-WEEKDAY($A30,3))</f>
        <v/>
      </c>
      <c r="G30" s="29" t="str">
        <f aca="false">IF($A30="","",IF($F30=AsOf-WEEKDAY(AsOf,3),"Yes",""))</f>
        <v/>
      </c>
      <c r="H30" s="29" t="str">
        <f aca="false">IF($G30="Yes",$A30+ROW()/100000,"")</f>
        <v/>
      </c>
    </row>
    <row r="31" customFormat="false" ht="15" hidden="false" customHeight="false" outlineLevel="0" collapsed="false">
      <c r="A31" s="27"/>
      <c r="B31" s="24"/>
      <c r="C31" s="24"/>
      <c r="D31" s="24"/>
      <c r="E31" s="28"/>
      <c r="F31" s="30" t="str">
        <f aca="false">IF($A31="","",$A31-WEEKDAY($A31,3))</f>
        <v/>
      </c>
      <c r="G31" s="29" t="str">
        <f aca="false">IF($A31="","",IF($F31=AsOf-WEEKDAY(AsOf,3),"Yes",""))</f>
        <v/>
      </c>
      <c r="H31" s="29" t="str">
        <f aca="false">IF($G31="Yes",$A31+ROW()/100000,"")</f>
        <v/>
      </c>
    </row>
    <row r="32" customFormat="false" ht="15" hidden="false" customHeight="false" outlineLevel="0" collapsed="false">
      <c r="A32" s="27"/>
      <c r="B32" s="24"/>
      <c r="C32" s="24"/>
      <c r="D32" s="24"/>
      <c r="E32" s="28"/>
      <c r="F32" s="30" t="str">
        <f aca="false">IF($A32="","",$A32-WEEKDAY($A32,3))</f>
        <v/>
      </c>
      <c r="G32" s="29" t="str">
        <f aca="false">IF($A32="","",IF($F32=AsOf-WEEKDAY(AsOf,3),"Yes",""))</f>
        <v/>
      </c>
      <c r="H32" s="29" t="str">
        <f aca="false">IF($G32="Yes",$A32+ROW()/100000,"")</f>
        <v/>
      </c>
    </row>
    <row r="33" customFormat="false" ht="15" hidden="false" customHeight="false" outlineLevel="0" collapsed="false">
      <c r="A33" s="27"/>
      <c r="B33" s="24"/>
      <c r="C33" s="24"/>
      <c r="D33" s="24"/>
      <c r="E33" s="28"/>
      <c r="F33" s="30" t="str">
        <f aca="false">IF($A33="","",$A33-WEEKDAY($A33,3))</f>
        <v/>
      </c>
      <c r="G33" s="29" t="str">
        <f aca="false">IF($A33="","",IF($F33=AsOf-WEEKDAY(AsOf,3),"Yes",""))</f>
        <v/>
      </c>
      <c r="H33" s="29" t="str">
        <f aca="false">IF($G33="Yes",$A33+ROW()/100000,"")</f>
        <v/>
      </c>
    </row>
    <row r="34" customFormat="false" ht="15" hidden="false" customHeight="false" outlineLevel="0" collapsed="false">
      <c r="A34" s="27"/>
      <c r="B34" s="24"/>
      <c r="C34" s="24"/>
      <c r="D34" s="24"/>
      <c r="E34" s="28"/>
      <c r="F34" s="30" t="str">
        <f aca="false">IF($A34="","",$A34-WEEKDAY($A34,3))</f>
        <v/>
      </c>
      <c r="G34" s="29" t="str">
        <f aca="false">IF($A34="","",IF($F34=AsOf-WEEKDAY(AsOf,3),"Yes",""))</f>
        <v/>
      </c>
      <c r="H34" s="29" t="str">
        <f aca="false">IF($G34="Yes",$A34+ROW()/100000,"")</f>
        <v/>
      </c>
    </row>
    <row r="35" customFormat="false" ht="15" hidden="false" customHeight="false" outlineLevel="0" collapsed="false">
      <c r="A35" s="27"/>
      <c r="B35" s="24"/>
      <c r="C35" s="24"/>
      <c r="D35" s="24"/>
      <c r="E35" s="28"/>
      <c r="F35" s="30" t="str">
        <f aca="false">IF($A35="","",$A35-WEEKDAY($A35,3))</f>
        <v/>
      </c>
      <c r="G35" s="29" t="str">
        <f aca="false">IF($A35="","",IF($F35=AsOf-WEEKDAY(AsOf,3),"Yes",""))</f>
        <v/>
      </c>
      <c r="H35" s="29" t="str">
        <f aca="false">IF($G35="Yes",$A35+ROW()/100000,"")</f>
        <v/>
      </c>
    </row>
    <row r="36" customFormat="false" ht="15" hidden="false" customHeight="false" outlineLevel="0" collapsed="false">
      <c r="A36" s="27"/>
      <c r="B36" s="24"/>
      <c r="C36" s="24"/>
      <c r="D36" s="24"/>
      <c r="E36" s="28"/>
      <c r="F36" s="30" t="str">
        <f aca="false">IF($A36="","",$A36-WEEKDAY($A36,3))</f>
        <v/>
      </c>
      <c r="G36" s="29" t="str">
        <f aca="false">IF($A36="","",IF($F36=AsOf-WEEKDAY(AsOf,3),"Yes",""))</f>
        <v/>
      </c>
      <c r="H36" s="29" t="str">
        <f aca="false">IF($G36="Yes",$A36+ROW()/100000,"")</f>
        <v/>
      </c>
    </row>
    <row r="37" customFormat="false" ht="15" hidden="false" customHeight="false" outlineLevel="0" collapsed="false">
      <c r="A37" s="27"/>
      <c r="B37" s="24"/>
      <c r="C37" s="24"/>
      <c r="D37" s="24"/>
      <c r="E37" s="28"/>
      <c r="F37" s="30" t="str">
        <f aca="false">IF($A37="","",$A37-WEEKDAY($A37,3))</f>
        <v/>
      </c>
      <c r="G37" s="29" t="str">
        <f aca="false">IF($A37="","",IF($F37=AsOf-WEEKDAY(AsOf,3),"Yes",""))</f>
        <v/>
      </c>
      <c r="H37" s="29" t="str">
        <f aca="false">IF($G37="Yes",$A37+ROW()/100000,"")</f>
        <v/>
      </c>
    </row>
    <row r="38" customFormat="false" ht="15" hidden="false" customHeight="false" outlineLevel="0" collapsed="false">
      <c r="A38" s="27"/>
      <c r="B38" s="24"/>
      <c r="C38" s="24"/>
      <c r="D38" s="24"/>
      <c r="E38" s="28"/>
      <c r="F38" s="30" t="str">
        <f aca="false">IF($A38="","",$A38-WEEKDAY($A38,3))</f>
        <v/>
      </c>
      <c r="G38" s="29" t="str">
        <f aca="false">IF($A38="","",IF($F38=AsOf-WEEKDAY(AsOf,3),"Yes",""))</f>
        <v/>
      </c>
      <c r="H38" s="29" t="str">
        <f aca="false">IF($G38="Yes",$A38+ROW()/100000,"")</f>
        <v/>
      </c>
    </row>
    <row r="39" customFormat="false" ht="15" hidden="false" customHeight="false" outlineLevel="0" collapsed="false">
      <c r="A39" s="27"/>
      <c r="B39" s="24"/>
      <c r="C39" s="24"/>
      <c r="D39" s="24"/>
      <c r="E39" s="28"/>
      <c r="F39" s="30" t="str">
        <f aca="false">IF($A39="","",$A39-WEEKDAY($A39,3))</f>
        <v/>
      </c>
      <c r="G39" s="29" t="str">
        <f aca="false">IF($A39="","",IF($F39=AsOf-WEEKDAY(AsOf,3),"Yes",""))</f>
        <v/>
      </c>
      <c r="H39" s="29" t="str">
        <f aca="false">IF($G39="Yes",$A39+ROW()/100000,"")</f>
        <v/>
      </c>
    </row>
    <row r="40" customFormat="false" ht="15" hidden="false" customHeight="false" outlineLevel="0" collapsed="false">
      <c r="A40" s="27"/>
      <c r="B40" s="24"/>
      <c r="C40" s="24"/>
      <c r="D40" s="24"/>
      <c r="E40" s="28"/>
      <c r="F40" s="30" t="str">
        <f aca="false">IF($A40="","",$A40-WEEKDAY($A40,3))</f>
        <v/>
      </c>
      <c r="G40" s="29" t="str">
        <f aca="false">IF($A40="","",IF($F40=AsOf-WEEKDAY(AsOf,3),"Yes",""))</f>
        <v/>
      </c>
      <c r="H40" s="29" t="str">
        <f aca="false">IF($G40="Yes",$A40+ROW()/100000,"")</f>
        <v/>
      </c>
    </row>
    <row r="41" customFormat="false" ht="15" hidden="false" customHeight="false" outlineLevel="0" collapsed="false">
      <c r="A41" s="27"/>
      <c r="B41" s="24"/>
      <c r="C41" s="24"/>
      <c r="D41" s="24"/>
      <c r="E41" s="28"/>
      <c r="F41" s="30" t="str">
        <f aca="false">IF($A41="","",$A41-WEEKDAY($A41,3))</f>
        <v/>
      </c>
      <c r="G41" s="29" t="str">
        <f aca="false">IF($A41="","",IF($F41=AsOf-WEEKDAY(AsOf,3),"Yes",""))</f>
        <v/>
      </c>
      <c r="H41" s="29" t="str">
        <f aca="false">IF($G41="Yes",$A41+ROW()/100000,"")</f>
        <v/>
      </c>
    </row>
    <row r="42" customFormat="false" ht="15" hidden="false" customHeight="false" outlineLevel="0" collapsed="false">
      <c r="A42" s="27"/>
      <c r="B42" s="24"/>
      <c r="C42" s="24"/>
      <c r="D42" s="24"/>
      <c r="E42" s="28"/>
      <c r="F42" s="30" t="str">
        <f aca="false">IF($A42="","",$A42-WEEKDAY($A42,3))</f>
        <v/>
      </c>
      <c r="G42" s="29" t="str">
        <f aca="false">IF($A42="","",IF($F42=AsOf-WEEKDAY(AsOf,3),"Yes",""))</f>
        <v/>
      </c>
      <c r="H42" s="29" t="str">
        <f aca="false">IF($G42="Yes",$A42+ROW()/100000,"")</f>
        <v/>
      </c>
    </row>
    <row r="43" customFormat="false" ht="15" hidden="false" customHeight="false" outlineLevel="0" collapsed="false">
      <c r="A43" s="27"/>
      <c r="B43" s="24"/>
      <c r="C43" s="24"/>
      <c r="D43" s="24"/>
      <c r="E43" s="28"/>
      <c r="F43" s="30" t="str">
        <f aca="false">IF($A43="","",$A43-WEEKDAY($A43,3))</f>
        <v/>
      </c>
      <c r="G43" s="29" t="str">
        <f aca="false">IF($A43="","",IF($F43=AsOf-WEEKDAY(AsOf,3),"Yes",""))</f>
        <v/>
      </c>
      <c r="H43" s="29" t="str">
        <f aca="false">IF($G43="Yes",$A43+ROW()/100000,"")</f>
        <v/>
      </c>
    </row>
    <row r="44" customFormat="false" ht="15" hidden="false" customHeight="false" outlineLevel="0" collapsed="false">
      <c r="A44" s="27"/>
      <c r="B44" s="24"/>
      <c r="C44" s="24"/>
      <c r="D44" s="24"/>
      <c r="E44" s="28"/>
      <c r="F44" s="30" t="str">
        <f aca="false">IF($A44="","",$A44-WEEKDAY($A44,3))</f>
        <v/>
      </c>
      <c r="G44" s="29" t="str">
        <f aca="false">IF($A44="","",IF($F44=AsOf-WEEKDAY(AsOf,3),"Yes",""))</f>
        <v/>
      </c>
      <c r="H44" s="29" t="str">
        <f aca="false">IF($G44="Yes",$A44+ROW()/100000,"")</f>
        <v/>
      </c>
    </row>
    <row r="45" customFormat="false" ht="15" hidden="false" customHeight="false" outlineLevel="0" collapsed="false">
      <c r="A45" s="27"/>
      <c r="B45" s="24"/>
      <c r="C45" s="24"/>
      <c r="D45" s="24"/>
      <c r="E45" s="28"/>
      <c r="F45" s="30" t="str">
        <f aca="false">IF($A45="","",$A45-WEEKDAY($A45,3))</f>
        <v/>
      </c>
      <c r="G45" s="29" t="str">
        <f aca="false">IF($A45="","",IF($F45=AsOf-WEEKDAY(AsOf,3),"Yes",""))</f>
        <v/>
      </c>
      <c r="H45" s="29" t="str">
        <f aca="false">IF($G45="Yes",$A45+ROW()/100000,"")</f>
        <v/>
      </c>
    </row>
    <row r="46" customFormat="false" ht="15" hidden="false" customHeight="false" outlineLevel="0" collapsed="false">
      <c r="A46" s="27"/>
      <c r="B46" s="24"/>
      <c r="C46" s="24"/>
      <c r="D46" s="24"/>
      <c r="E46" s="28"/>
      <c r="F46" s="30" t="str">
        <f aca="false">IF($A46="","",$A46-WEEKDAY($A46,3))</f>
        <v/>
      </c>
      <c r="G46" s="29" t="str">
        <f aca="false">IF($A46="","",IF($F46=AsOf-WEEKDAY(AsOf,3),"Yes",""))</f>
        <v/>
      </c>
      <c r="H46" s="29" t="str">
        <f aca="false">IF($G46="Yes",$A46+ROW()/100000,"")</f>
        <v/>
      </c>
    </row>
    <row r="47" customFormat="false" ht="15" hidden="false" customHeight="false" outlineLevel="0" collapsed="false">
      <c r="A47" s="27"/>
      <c r="B47" s="24"/>
      <c r="C47" s="24"/>
      <c r="D47" s="24"/>
      <c r="E47" s="28"/>
      <c r="F47" s="30" t="str">
        <f aca="false">IF($A47="","",$A47-WEEKDAY($A47,3))</f>
        <v/>
      </c>
      <c r="G47" s="29" t="str">
        <f aca="false">IF($A47="","",IF($F47=AsOf-WEEKDAY(AsOf,3),"Yes",""))</f>
        <v/>
      </c>
      <c r="H47" s="29" t="str">
        <f aca="false">IF($G47="Yes",$A47+ROW()/100000,"")</f>
        <v/>
      </c>
    </row>
    <row r="48" customFormat="false" ht="15" hidden="false" customHeight="false" outlineLevel="0" collapsed="false">
      <c r="A48" s="27"/>
      <c r="B48" s="24"/>
      <c r="C48" s="24"/>
      <c r="D48" s="24"/>
      <c r="E48" s="28"/>
      <c r="F48" s="30" t="str">
        <f aca="false">IF($A48="","",$A48-WEEKDAY($A48,3))</f>
        <v/>
      </c>
      <c r="G48" s="29" t="str">
        <f aca="false">IF($A48="","",IF($F48=AsOf-WEEKDAY(AsOf,3),"Yes",""))</f>
        <v/>
      </c>
      <c r="H48" s="29" t="str">
        <f aca="false">IF($G48="Yes",$A48+ROW()/100000,"")</f>
        <v/>
      </c>
    </row>
    <row r="49" customFormat="false" ht="15" hidden="false" customHeight="false" outlineLevel="0" collapsed="false">
      <c r="A49" s="27"/>
      <c r="B49" s="24"/>
      <c r="C49" s="24"/>
      <c r="D49" s="24"/>
      <c r="E49" s="28"/>
      <c r="F49" s="30" t="str">
        <f aca="false">IF($A49="","",$A49-WEEKDAY($A49,3))</f>
        <v/>
      </c>
      <c r="G49" s="29" t="str">
        <f aca="false">IF($A49="","",IF($F49=AsOf-WEEKDAY(AsOf,3),"Yes",""))</f>
        <v/>
      </c>
      <c r="H49" s="29" t="str">
        <f aca="false">IF($G49="Yes",$A49+ROW()/100000,"")</f>
        <v/>
      </c>
    </row>
    <row r="50" customFormat="false" ht="15" hidden="false" customHeight="false" outlineLevel="0" collapsed="false">
      <c r="A50" s="27"/>
      <c r="B50" s="24"/>
      <c r="C50" s="24"/>
      <c r="D50" s="24"/>
      <c r="E50" s="28"/>
      <c r="F50" s="30" t="str">
        <f aca="false">IF($A50="","",$A50-WEEKDAY($A50,3))</f>
        <v/>
      </c>
      <c r="G50" s="29" t="str">
        <f aca="false">IF($A50="","",IF($F50=AsOf-WEEKDAY(AsOf,3),"Yes",""))</f>
        <v/>
      </c>
      <c r="H50" s="29" t="str">
        <f aca="false">IF($G50="Yes",$A50+ROW()/100000,"")</f>
        <v/>
      </c>
    </row>
    <row r="51" customFormat="false" ht="15" hidden="false" customHeight="false" outlineLevel="0" collapsed="false">
      <c r="A51" s="27"/>
      <c r="B51" s="24"/>
      <c r="C51" s="24"/>
      <c r="D51" s="24"/>
      <c r="E51" s="28"/>
      <c r="F51" s="30" t="str">
        <f aca="false">IF($A51="","",$A51-WEEKDAY($A51,3))</f>
        <v/>
      </c>
      <c r="G51" s="29" t="str">
        <f aca="false">IF($A51="","",IF($F51=AsOf-WEEKDAY(AsOf,3),"Yes",""))</f>
        <v/>
      </c>
      <c r="H51" s="29" t="str">
        <f aca="false">IF($G51="Yes",$A51+ROW()/100000,"")</f>
        <v/>
      </c>
    </row>
    <row r="52" customFormat="false" ht="15" hidden="false" customHeight="false" outlineLevel="0" collapsed="false">
      <c r="A52" s="27"/>
      <c r="B52" s="24"/>
      <c r="C52" s="24"/>
      <c r="D52" s="24"/>
      <c r="E52" s="28"/>
      <c r="F52" s="30" t="str">
        <f aca="false">IF($A52="","",$A52-WEEKDAY($A52,3))</f>
        <v/>
      </c>
      <c r="G52" s="29" t="str">
        <f aca="false">IF($A52="","",IF($F52=AsOf-WEEKDAY(AsOf,3),"Yes",""))</f>
        <v/>
      </c>
      <c r="H52" s="29" t="str">
        <f aca="false">IF($G52="Yes",$A52+ROW()/100000,"")</f>
        <v/>
      </c>
    </row>
    <row r="53" customFormat="false" ht="15" hidden="false" customHeight="false" outlineLevel="0" collapsed="false">
      <c r="A53" s="27"/>
      <c r="B53" s="24"/>
      <c r="C53" s="24"/>
      <c r="D53" s="24"/>
      <c r="E53" s="28"/>
      <c r="F53" s="30" t="str">
        <f aca="false">IF($A53="","",$A53-WEEKDAY($A53,3))</f>
        <v/>
      </c>
      <c r="G53" s="29" t="str">
        <f aca="false">IF($A53="","",IF($F53=AsOf-WEEKDAY(AsOf,3),"Yes",""))</f>
        <v/>
      </c>
      <c r="H53" s="29" t="str">
        <f aca="false">IF($G53="Yes",$A53+ROW()/100000,"")</f>
        <v/>
      </c>
    </row>
    <row r="54" customFormat="false" ht="15" hidden="false" customHeight="false" outlineLevel="0" collapsed="false">
      <c r="A54" s="27"/>
      <c r="B54" s="24"/>
      <c r="C54" s="24"/>
      <c r="D54" s="24"/>
      <c r="E54" s="28"/>
      <c r="F54" s="30" t="str">
        <f aca="false">IF($A54="","",$A54-WEEKDAY($A54,3))</f>
        <v/>
      </c>
      <c r="G54" s="29" t="str">
        <f aca="false">IF($A54="","",IF($F54=AsOf-WEEKDAY(AsOf,3),"Yes",""))</f>
        <v/>
      </c>
      <c r="H54" s="29" t="str">
        <f aca="false">IF($G54="Yes",$A54+ROW()/100000,"")</f>
        <v/>
      </c>
    </row>
    <row r="55" customFormat="false" ht="15" hidden="false" customHeight="false" outlineLevel="0" collapsed="false">
      <c r="A55" s="27"/>
      <c r="B55" s="24"/>
      <c r="C55" s="24"/>
      <c r="D55" s="24"/>
      <c r="E55" s="28"/>
      <c r="F55" s="30" t="str">
        <f aca="false">IF($A55="","",$A55-WEEKDAY($A55,3))</f>
        <v/>
      </c>
      <c r="G55" s="29" t="str">
        <f aca="false">IF($A55="","",IF($F55=AsOf-WEEKDAY(AsOf,3),"Yes",""))</f>
        <v/>
      </c>
      <c r="H55" s="29" t="str">
        <f aca="false">IF($G55="Yes",$A55+ROW()/100000,"")</f>
        <v/>
      </c>
    </row>
    <row r="56" customFormat="false" ht="15" hidden="false" customHeight="false" outlineLevel="0" collapsed="false">
      <c r="A56" s="27"/>
      <c r="B56" s="24"/>
      <c r="C56" s="24"/>
      <c r="D56" s="24"/>
      <c r="E56" s="28"/>
      <c r="F56" s="30" t="str">
        <f aca="false">IF($A56="","",$A56-WEEKDAY($A56,3))</f>
        <v/>
      </c>
      <c r="G56" s="29" t="str">
        <f aca="false">IF($A56="","",IF($F56=AsOf-WEEKDAY(AsOf,3),"Yes",""))</f>
        <v/>
      </c>
      <c r="H56" s="29" t="str">
        <f aca="false">IF($G56="Yes",$A56+ROW()/100000,"")</f>
        <v/>
      </c>
    </row>
    <row r="57" customFormat="false" ht="15" hidden="false" customHeight="false" outlineLevel="0" collapsed="false">
      <c r="A57" s="27"/>
      <c r="B57" s="24"/>
      <c r="C57" s="24"/>
      <c r="D57" s="24"/>
      <c r="E57" s="28"/>
      <c r="F57" s="30" t="str">
        <f aca="false">IF($A57="","",$A57-WEEKDAY($A57,3))</f>
        <v/>
      </c>
      <c r="G57" s="29" t="str">
        <f aca="false">IF($A57="","",IF($F57=AsOf-WEEKDAY(AsOf,3),"Yes",""))</f>
        <v/>
      </c>
      <c r="H57" s="29" t="str">
        <f aca="false">IF($G57="Yes",$A57+ROW()/100000,"")</f>
        <v/>
      </c>
    </row>
    <row r="58" customFormat="false" ht="15" hidden="false" customHeight="false" outlineLevel="0" collapsed="false">
      <c r="A58" s="27"/>
      <c r="B58" s="24"/>
      <c r="C58" s="24"/>
      <c r="D58" s="24"/>
      <c r="E58" s="28"/>
      <c r="F58" s="30" t="str">
        <f aca="false">IF($A58="","",$A58-WEEKDAY($A58,3))</f>
        <v/>
      </c>
      <c r="G58" s="29" t="str">
        <f aca="false">IF($A58="","",IF($F58=AsOf-WEEKDAY(AsOf,3),"Yes",""))</f>
        <v/>
      </c>
      <c r="H58" s="29" t="str">
        <f aca="false">IF($G58="Yes",$A58+ROW()/100000,"")</f>
        <v/>
      </c>
    </row>
    <row r="59" customFormat="false" ht="15" hidden="false" customHeight="false" outlineLevel="0" collapsed="false">
      <c r="A59" s="27"/>
      <c r="B59" s="24"/>
      <c r="C59" s="24"/>
      <c r="D59" s="24"/>
      <c r="E59" s="28"/>
      <c r="F59" s="30" t="str">
        <f aca="false">IF($A59="","",$A59-WEEKDAY($A59,3))</f>
        <v/>
      </c>
      <c r="G59" s="29" t="str">
        <f aca="false">IF($A59="","",IF($F59=AsOf-WEEKDAY(AsOf,3),"Yes",""))</f>
        <v/>
      </c>
      <c r="H59" s="29" t="str">
        <f aca="false">IF($G59="Yes",$A59+ROW()/100000,"")</f>
        <v/>
      </c>
    </row>
    <row r="60" customFormat="false" ht="15" hidden="false" customHeight="false" outlineLevel="0" collapsed="false">
      <c r="A60" s="27"/>
      <c r="B60" s="24"/>
      <c r="C60" s="24"/>
      <c r="D60" s="24"/>
      <c r="E60" s="28"/>
      <c r="F60" s="30" t="str">
        <f aca="false">IF($A60="","",$A60-WEEKDAY($A60,3))</f>
        <v/>
      </c>
      <c r="G60" s="29" t="str">
        <f aca="false">IF($A60="","",IF($F60=AsOf-WEEKDAY(AsOf,3),"Yes",""))</f>
        <v/>
      </c>
      <c r="H60" s="29" t="str">
        <f aca="false">IF($G60="Yes",$A60+ROW()/100000,"")</f>
        <v/>
      </c>
    </row>
    <row r="61" customFormat="false" ht="15" hidden="false" customHeight="false" outlineLevel="0" collapsed="false">
      <c r="A61" s="27"/>
      <c r="B61" s="24"/>
      <c r="C61" s="24"/>
      <c r="D61" s="24"/>
      <c r="E61" s="28"/>
      <c r="F61" s="30" t="str">
        <f aca="false">IF($A61="","",$A61-WEEKDAY($A61,3))</f>
        <v/>
      </c>
      <c r="G61" s="29" t="str">
        <f aca="false">IF($A61="","",IF($F61=AsOf-WEEKDAY(AsOf,3),"Yes",""))</f>
        <v/>
      </c>
      <c r="H61" s="29" t="str">
        <f aca="false">IF($G61="Yes",$A61+ROW()/100000,"")</f>
        <v/>
      </c>
    </row>
    <row r="62" customFormat="false" ht="15" hidden="false" customHeight="false" outlineLevel="0" collapsed="false">
      <c r="A62" s="27"/>
      <c r="B62" s="24"/>
      <c r="C62" s="24"/>
      <c r="D62" s="24"/>
      <c r="E62" s="28"/>
      <c r="F62" s="30" t="str">
        <f aca="false">IF($A62="","",$A62-WEEKDAY($A62,3))</f>
        <v/>
      </c>
      <c r="G62" s="29" t="str">
        <f aca="false">IF($A62="","",IF($F62=AsOf-WEEKDAY(AsOf,3),"Yes",""))</f>
        <v/>
      </c>
      <c r="H62" s="29" t="str">
        <f aca="false">IF($G62="Yes",$A62+ROW()/100000,"")</f>
        <v/>
      </c>
    </row>
    <row r="63" customFormat="false" ht="15" hidden="false" customHeight="false" outlineLevel="0" collapsed="false">
      <c r="A63" s="27"/>
      <c r="B63" s="24"/>
      <c r="C63" s="24"/>
      <c r="D63" s="24"/>
      <c r="E63" s="28"/>
      <c r="F63" s="30" t="str">
        <f aca="false">IF($A63="","",$A63-WEEKDAY($A63,3))</f>
        <v/>
      </c>
      <c r="G63" s="29" t="str">
        <f aca="false">IF($A63="","",IF($F63=AsOf-WEEKDAY(AsOf,3),"Yes",""))</f>
        <v/>
      </c>
      <c r="H63" s="29" t="str">
        <f aca="false">IF($G63="Yes",$A63+ROW()/100000,"")</f>
        <v/>
      </c>
    </row>
    <row r="64" customFormat="false" ht="15" hidden="false" customHeight="false" outlineLevel="0" collapsed="false">
      <c r="A64" s="27"/>
      <c r="B64" s="24"/>
      <c r="C64" s="24"/>
      <c r="D64" s="24"/>
      <c r="E64" s="28"/>
      <c r="F64" s="30" t="str">
        <f aca="false">IF($A64="","",$A64-WEEKDAY($A64,3))</f>
        <v/>
      </c>
      <c r="G64" s="29" t="str">
        <f aca="false">IF($A64="","",IF($F64=AsOf-WEEKDAY(AsOf,3),"Yes",""))</f>
        <v/>
      </c>
      <c r="H64" s="29" t="str">
        <f aca="false">IF($G64="Yes",$A64+ROW()/100000,"")</f>
        <v/>
      </c>
    </row>
    <row r="65" customFormat="false" ht="15" hidden="false" customHeight="false" outlineLevel="0" collapsed="false">
      <c r="A65" s="27"/>
      <c r="B65" s="24"/>
      <c r="C65" s="24"/>
      <c r="D65" s="24"/>
      <c r="E65" s="28"/>
      <c r="F65" s="30" t="str">
        <f aca="false">IF($A65="","",$A65-WEEKDAY($A65,3))</f>
        <v/>
      </c>
      <c r="G65" s="29" t="str">
        <f aca="false">IF($A65="","",IF($F65=AsOf-WEEKDAY(AsOf,3),"Yes",""))</f>
        <v/>
      </c>
      <c r="H65" s="29" t="str">
        <f aca="false">IF($G65="Yes",$A65+ROW()/100000,"")</f>
        <v/>
      </c>
    </row>
    <row r="66" customFormat="false" ht="15" hidden="false" customHeight="false" outlineLevel="0" collapsed="false">
      <c r="A66" s="27"/>
      <c r="B66" s="24"/>
      <c r="C66" s="24"/>
      <c r="D66" s="24"/>
      <c r="E66" s="28"/>
      <c r="F66" s="30" t="str">
        <f aca="false">IF($A66="","",$A66-WEEKDAY($A66,3))</f>
        <v/>
      </c>
      <c r="G66" s="29" t="str">
        <f aca="false">IF($A66="","",IF($F66=AsOf-WEEKDAY(AsOf,3),"Yes",""))</f>
        <v/>
      </c>
      <c r="H66" s="29" t="str">
        <f aca="false">IF($G66="Yes",$A66+ROW()/100000,"")</f>
        <v/>
      </c>
    </row>
    <row r="67" customFormat="false" ht="15" hidden="false" customHeight="false" outlineLevel="0" collapsed="false">
      <c r="A67" s="27"/>
      <c r="B67" s="24"/>
      <c r="C67" s="24"/>
      <c r="D67" s="24"/>
      <c r="E67" s="28"/>
      <c r="F67" s="30" t="str">
        <f aca="false">IF($A67="","",$A67-WEEKDAY($A67,3))</f>
        <v/>
      </c>
      <c r="G67" s="29" t="str">
        <f aca="false">IF($A67="","",IF($F67=AsOf-WEEKDAY(AsOf,3),"Yes",""))</f>
        <v/>
      </c>
      <c r="H67" s="29" t="str">
        <f aca="false">IF($G67="Yes",$A67+ROW()/100000,"")</f>
        <v/>
      </c>
    </row>
    <row r="68" customFormat="false" ht="15" hidden="false" customHeight="false" outlineLevel="0" collapsed="false">
      <c r="A68" s="27"/>
      <c r="B68" s="24"/>
      <c r="C68" s="24"/>
      <c r="D68" s="24"/>
      <c r="E68" s="28"/>
      <c r="F68" s="30" t="str">
        <f aca="false">IF($A68="","",$A68-WEEKDAY($A68,3))</f>
        <v/>
      </c>
      <c r="G68" s="29" t="str">
        <f aca="false">IF($A68="","",IF($F68=AsOf-WEEKDAY(AsOf,3),"Yes",""))</f>
        <v/>
      </c>
      <c r="H68" s="29" t="str">
        <f aca="false">IF($G68="Yes",$A68+ROW()/100000,"")</f>
        <v/>
      </c>
    </row>
    <row r="69" customFormat="false" ht="15" hidden="false" customHeight="false" outlineLevel="0" collapsed="false">
      <c r="A69" s="27"/>
      <c r="B69" s="24"/>
      <c r="C69" s="24"/>
      <c r="D69" s="24"/>
      <c r="E69" s="28"/>
      <c r="F69" s="30" t="str">
        <f aca="false">IF($A69="","",$A69-WEEKDAY($A69,3))</f>
        <v/>
      </c>
      <c r="G69" s="29" t="str">
        <f aca="false">IF($A69="","",IF($F69=AsOf-WEEKDAY(AsOf,3),"Yes",""))</f>
        <v/>
      </c>
      <c r="H69" s="29" t="str">
        <f aca="false">IF($G69="Yes",$A69+ROW()/100000,"")</f>
        <v/>
      </c>
    </row>
    <row r="70" customFormat="false" ht="15" hidden="false" customHeight="false" outlineLevel="0" collapsed="false">
      <c r="A70" s="27"/>
      <c r="B70" s="24"/>
      <c r="C70" s="24"/>
      <c r="D70" s="24"/>
      <c r="E70" s="28"/>
      <c r="F70" s="30" t="str">
        <f aca="false">IF($A70="","",$A70-WEEKDAY($A70,3))</f>
        <v/>
      </c>
      <c r="G70" s="29" t="str">
        <f aca="false">IF($A70="","",IF($F70=AsOf-WEEKDAY(AsOf,3),"Yes",""))</f>
        <v/>
      </c>
      <c r="H70" s="29" t="str">
        <f aca="false">IF($G70="Yes",$A70+ROW()/100000,"")</f>
        <v/>
      </c>
    </row>
    <row r="71" customFormat="false" ht="15" hidden="false" customHeight="false" outlineLevel="0" collapsed="false">
      <c r="A71" s="27"/>
      <c r="B71" s="24"/>
      <c r="C71" s="24"/>
      <c r="D71" s="24"/>
      <c r="E71" s="28"/>
      <c r="F71" s="30" t="str">
        <f aca="false">IF($A71="","",$A71-WEEKDAY($A71,3))</f>
        <v/>
      </c>
      <c r="G71" s="29" t="str">
        <f aca="false">IF($A71="","",IF($F71=AsOf-WEEKDAY(AsOf,3),"Yes",""))</f>
        <v/>
      </c>
      <c r="H71" s="29" t="str">
        <f aca="false">IF($G71="Yes",$A71+ROW()/100000,"")</f>
        <v/>
      </c>
    </row>
    <row r="72" customFormat="false" ht="15" hidden="false" customHeight="false" outlineLevel="0" collapsed="false">
      <c r="A72" s="27"/>
      <c r="B72" s="24"/>
      <c r="C72" s="24"/>
      <c r="D72" s="24"/>
      <c r="E72" s="28"/>
      <c r="F72" s="30" t="str">
        <f aca="false">IF($A72="","",$A72-WEEKDAY($A72,3))</f>
        <v/>
      </c>
      <c r="G72" s="29" t="str">
        <f aca="false">IF($A72="","",IF($F72=AsOf-WEEKDAY(AsOf,3),"Yes",""))</f>
        <v/>
      </c>
      <c r="H72" s="29" t="str">
        <f aca="false">IF($G72="Yes",$A72+ROW()/100000,"")</f>
        <v/>
      </c>
    </row>
    <row r="73" customFormat="false" ht="15" hidden="false" customHeight="false" outlineLevel="0" collapsed="false">
      <c r="A73" s="27"/>
      <c r="B73" s="24"/>
      <c r="C73" s="24"/>
      <c r="D73" s="24"/>
      <c r="E73" s="28"/>
      <c r="F73" s="30" t="str">
        <f aca="false">IF($A73="","",$A73-WEEKDAY($A73,3))</f>
        <v/>
      </c>
      <c r="G73" s="29" t="str">
        <f aca="false">IF($A73="","",IF($F73=AsOf-WEEKDAY(AsOf,3),"Yes",""))</f>
        <v/>
      </c>
      <c r="H73" s="29" t="str">
        <f aca="false">IF($G73="Yes",$A73+ROW()/100000,"")</f>
        <v/>
      </c>
    </row>
    <row r="74" customFormat="false" ht="15" hidden="false" customHeight="false" outlineLevel="0" collapsed="false">
      <c r="A74" s="27"/>
      <c r="B74" s="24"/>
      <c r="C74" s="24"/>
      <c r="D74" s="24"/>
      <c r="E74" s="28"/>
      <c r="F74" s="30" t="str">
        <f aca="false">IF($A74="","",$A74-WEEKDAY($A74,3))</f>
        <v/>
      </c>
      <c r="G74" s="29" t="str">
        <f aca="false">IF($A74="","",IF($F74=AsOf-WEEKDAY(AsOf,3),"Yes",""))</f>
        <v/>
      </c>
      <c r="H74" s="29" t="str">
        <f aca="false">IF($G74="Yes",$A74+ROW()/100000,"")</f>
        <v/>
      </c>
    </row>
    <row r="75" customFormat="false" ht="15" hidden="false" customHeight="false" outlineLevel="0" collapsed="false">
      <c r="A75" s="27"/>
      <c r="B75" s="24"/>
      <c r="C75" s="24"/>
      <c r="D75" s="24"/>
      <c r="E75" s="28"/>
      <c r="F75" s="30" t="str">
        <f aca="false">IF($A75="","",$A75-WEEKDAY($A75,3))</f>
        <v/>
      </c>
      <c r="G75" s="29" t="str">
        <f aca="false">IF($A75="","",IF($F75=AsOf-WEEKDAY(AsOf,3),"Yes",""))</f>
        <v/>
      </c>
      <c r="H75" s="29" t="str">
        <f aca="false">IF($G75="Yes",$A75+ROW()/100000,"")</f>
        <v/>
      </c>
    </row>
    <row r="76" customFormat="false" ht="15" hidden="false" customHeight="false" outlineLevel="0" collapsed="false">
      <c r="A76" s="27"/>
      <c r="B76" s="24"/>
      <c r="C76" s="24"/>
      <c r="D76" s="24"/>
      <c r="E76" s="28"/>
      <c r="F76" s="30" t="str">
        <f aca="false">IF($A76="","",$A76-WEEKDAY($A76,3))</f>
        <v/>
      </c>
      <c r="G76" s="29" t="str">
        <f aca="false">IF($A76="","",IF($F76=AsOf-WEEKDAY(AsOf,3),"Yes",""))</f>
        <v/>
      </c>
      <c r="H76" s="29" t="str">
        <f aca="false">IF($G76="Yes",$A76+ROW()/100000,"")</f>
        <v/>
      </c>
    </row>
    <row r="77" customFormat="false" ht="15" hidden="false" customHeight="false" outlineLevel="0" collapsed="false">
      <c r="A77" s="27"/>
      <c r="B77" s="24"/>
      <c r="C77" s="24"/>
      <c r="D77" s="24"/>
      <c r="E77" s="28"/>
      <c r="F77" s="30" t="str">
        <f aca="false">IF($A77="","",$A77-WEEKDAY($A77,3))</f>
        <v/>
      </c>
      <c r="G77" s="29" t="str">
        <f aca="false">IF($A77="","",IF($F77=AsOf-WEEKDAY(AsOf,3),"Yes",""))</f>
        <v/>
      </c>
      <c r="H77" s="29" t="str">
        <f aca="false">IF($G77="Yes",$A77+ROW()/100000,"")</f>
        <v/>
      </c>
    </row>
    <row r="78" customFormat="false" ht="15" hidden="false" customHeight="false" outlineLevel="0" collapsed="false">
      <c r="A78" s="27"/>
      <c r="B78" s="24"/>
      <c r="C78" s="24"/>
      <c r="D78" s="24"/>
      <c r="E78" s="28"/>
      <c r="F78" s="30" t="str">
        <f aca="false">IF($A78="","",$A78-WEEKDAY($A78,3))</f>
        <v/>
      </c>
      <c r="G78" s="29" t="str">
        <f aca="false">IF($A78="","",IF($F78=AsOf-WEEKDAY(AsOf,3),"Yes",""))</f>
        <v/>
      </c>
      <c r="H78" s="29" t="str">
        <f aca="false">IF($G78="Yes",$A78+ROW()/100000,"")</f>
        <v/>
      </c>
    </row>
    <row r="79" customFormat="false" ht="15" hidden="false" customHeight="false" outlineLevel="0" collapsed="false">
      <c r="A79" s="27"/>
      <c r="B79" s="24"/>
      <c r="C79" s="24"/>
      <c r="D79" s="24"/>
      <c r="E79" s="28"/>
      <c r="F79" s="30" t="str">
        <f aca="false">IF($A79="","",$A79-WEEKDAY($A79,3))</f>
        <v/>
      </c>
      <c r="G79" s="29" t="str">
        <f aca="false">IF($A79="","",IF($F79=AsOf-WEEKDAY(AsOf,3),"Yes",""))</f>
        <v/>
      </c>
      <c r="H79" s="29" t="str">
        <f aca="false">IF($G79="Yes",$A79+ROW()/100000,"")</f>
        <v/>
      </c>
    </row>
    <row r="80" customFormat="false" ht="15" hidden="false" customHeight="false" outlineLevel="0" collapsed="false">
      <c r="A80" s="27"/>
      <c r="B80" s="24"/>
      <c r="C80" s="24"/>
      <c r="D80" s="24"/>
      <c r="E80" s="28"/>
      <c r="F80" s="30" t="str">
        <f aca="false">IF($A80="","",$A80-WEEKDAY($A80,3))</f>
        <v/>
      </c>
      <c r="G80" s="29" t="str">
        <f aca="false">IF($A80="","",IF($F80=AsOf-WEEKDAY(AsOf,3),"Yes",""))</f>
        <v/>
      </c>
      <c r="H80" s="29" t="str">
        <f aca="false">IF($G80="Yes",$A80+ROW()/100000,"")</f>
        <v/>
      </c>
    </row>
    <row r="81" customFormat="false" ht="15" hidden="false" customHeight="false" outlineLevel="0" collapsed="false">
      <c r="A81" s="27"/>
      <c r="B81" s="24"/>
      <c r="C81" s="24"/>
      <c r="D81" s="24"/>
      <c r="E81" s="28"/>
      <c r="F81" s="30" t="str">
        <f aca="false">IF($A81="","",$A81-WEEKDAY($A81,3))</f>
        <v/>
      </c>
      <c r="G81" s="29" t="str">
        <f aca="false">IF($A81="","",IF($F81=AsOf-WEEKDAY(AsOf,3),"Yes",""))</f>
        <v/>
      </c>
      <c r="H81" s="29" t="str">
        <f aca="false">IF($G81="Yes",$A81+ROW()/100000,"")</f>
        <v/>
      </c>
    </row>
    <row r="82" customFormat="false" ht="15" hidden="false" customHeight="false" outlineLevel="0" collapsed="false">
      <c r="A82" s="27"/>
      <c r="B82" s="24"/>
      <c r="C82" s="24"/>
      <c r="D82" s="24"/>
      <c r="E82" s="28"/>
      <c r="F82" s="30" t="str">
        <f aca="false">IF($A82="","",$A82-WEEKDAY($A82,3))</f>
        <v/>
      </c>
      <c r="G82" s="29" t="str">
        <f aca="false">IF($A82="","",IF($F82=AsOf-WEEKDAY(AsOf,3),"Yes",""))</f>
        <v/>
      </c>
      <c r="H82" s="29" t="str">
        <f aca="false">IF($G82="Yes",$A82+ROW()/100000,"")</f>
        <v/>
      </c>
    </row>
    <row r="83" customFormat="false" ht="15" hidden="false" customHeight="false" outlineLevel="0" collapsed="false">
      <c r="A83" s="27"/>
      <c r="B83" s="24"/>
      <c r="C83" s="24"/>
      <c r="D83" s="24"/>
      <c r="E83" s="28"/>
      <c r="F83" s="30" t="str">
        <f aca="false">IF($A83="","",$A83-WEEKDAY($A83,3))</f>
        <v/>
      </c>
      <c r="G83" s="29" t="str">
        <f aca="false">IF($A83="","",IF($F83=AsOf-WEEKDAY(AsOf,3),"Yes",""))</f>
        <v/>
      </c>
      <c r="H83" s="29" t="str">
        <f aca="false">IF($G83="Yes",$A83+ROW()/100000,"")</f>
        <v/>
      </c>
    </row>
    <row r="84" customFormat="false" ht="15" hidden="false" customHeight="false" outlineLevel="0" collapsed="false">
      <c r="A84" s="27"/>
      <c r="B84" s="24"/>
      <c r="C84" s="24"/>
      <c r="D84" s="24"/>
      <c r="E84" s="28"/>
      <c r="F84" s="30" t="str">
        <f aca="false">IF($A84="","",$A84-WEEKDAY($A84,3))</f>
        <v/>
      </c>
      <c r="G84" s="29" t="str">
        <f aca="false">IF($A84="","",IF($F84=AsOf-WEEKDAY(AsOf,3),"Yes",""))</f>
        <v/>
      </c>
      <c r="H84" s="29" t="str">
        <f aca="false">IF($G84="Yes",$A84+ROW()/100000,"")</f>
        <v/>
      </c>
    </row>
    <row r="85" customFormat="false" ht="15" hidden="false" customHeight="false" outlineLevel="0" collapsed="false">
      <c r="A85" s="27"/>
      <c r="B85" s="24"/>
      <c r="C85" s="24"/>
      <c r="D85" s="24"/>
      <c r="E85" s="28"/>
      <c r="F85" s="30" t="str">
        <f aca="false">IF($A85="","",$A85-WEEKDAY($A85,3))</f>
        <v/>
      </c>
      <c r="G85" s="29" t="str">
        <f aca="false">IF($A85="","",IF($F85=AsOf-WEEKDAY(AsOf,3),"Yes",""))</f>
        <v/>
      </c>
      <c r="H85" s="29" t="str">
        <f aca="false">IF($G85="Yes",$A85+ROW()/100000,"")</f>
        <v/>
      </c>
    </row>
    <row r="86" customFormat="false" ht="15" hidden="false" customHeight="false" outlineLevel="0" collapsed="false">
      <c r="A86" s="27"/>
      <c r="B86" s="24"/>
      <c r="C86" s="24"/>
      <c r="D86" s="24"/>
      <c r="E86" s="28"/>
      <c r="F86" s="30" t="str">
        <f aca="false">IF($A86="","",$A86-WEEKDAY($A86,3))</f>
        <v/>
      </c>
      <c r="G86" s="29" t="str">
        <f aca="false">IF($A86="","",IF($F86=AsOf-WEEKDAY(AsOf,3),"Yes",""))</f>
        <v/>
      </c>
      <c r="H86" s="29" t="str">
        <f aca="false">IF($G86="Yes",$A86+ROW()/100000,"")</f>
        <v/>
      </c>
    </row>
    <row r="87" customFormat="false" ht="15" hidden="false" customHeight="false" outlineLevel="0" collapsed="false">
      <c r="A87" s="27"/>
      <c r="B87" s="24"/>
      <c r="C87" s="24"/>
      <c r="D87" s="24"/>
      <c r="E87" s="28"/>
      <c r="F87" s="30" t="str">
        <f aca="false">IF($A87="","",$A87-WEEKDAY($A87,3))</f>
        <v/>
      </c>
      <c r="G87" s="29" t="str">
        <f aca="false">IF($A87="","",IF($F87=AsOf-WEEKDAY(AsOf,3),"Yes",""))</f>
        <v/>
      </c>
      <c r="H87" s="29" t="str">
        <f aca="false">IF($G87="Yes",$A87+ROW()/100000,"")</f>
        <v/>
      </c>
    </row>
    <row r="88" customFormat="false" ht="15" hidden="false" customHeight="false" outlineLevel="0" collapsed="false">
      <c r="A88" s="27"/>
      <c r="B88" s="24"/>
      <c r="C88" s="24"/>
      <c r="D88" s="24"/>
      <c r="E88" s="28"/>
      <c r="F88" s="30" t="str">
        <f aca="false">IF($A88="","",$A88-WEEKDAY($A88,3))</f>
        <v/>
      </c>
      <c r="G88" s="29" t="str">
        <f aca="false">IF($A88="","",IF($F88=AsOf-WEEKDAY(AsOf,3),"Yes",""))</f>
        <v/>
      </c>
      <c r="H88" s="29" t="str">
        <f aca="false">IF($G88="Yes",$A88+ROW()/100000,"")</f>
        <v/>
      </c>
    </row>
    <row r="89" customFormat="false" ht="15" hidden="false" customHeight="false" outlineLevel="0" collapsed="false">
      <c r="A89" s="27"/>
      <c r="B89" s="24"/>
      <c r="C89" s="24"/>
      <c r="D89" s="24"/>
      <c r="E89" s="28"/>
      <c r="F89" s="30" t="str">
        <f aca="false">IF($A89="","",$A89-WEEKDAY($A89,3))</f>
        <v/>
      </c>
      <c r="G89" s="29" t="str">
        <f aca="false">IF($A89="","",IF($F89=AsOf-WEEKDAY(AsOf,3),"Yes",""))</f>
        <v/>
      </c>
      <c r="H89" s="29" t="str">
        <f aca="false">IF($G89="Yes",$A89+ROW()/100000,"")</f>
        <v/>
      </c>
    </row>
    <row r="90" customFormat="false" ht="15" hidden="false" customHeight="false" outlineLevel="0" collapsed="false">
      <c r="A90" s="27"/>
      <c r="B90" s="24"/>
      <c r="C90" s="24"/>
      <c r="D90" s="24"/>
      <c r="E90" s="28"/>
      <c r="F90" s="30" t="str">
        <f aca="false">IF($A90="","",$A90-WEEKDAY($A90,3))</f>
        <v/>
      </c>
      <c r="G90" s="29" t="str">
        <f aca="false">IF($A90="","",IF($F90=AsOf-WEEKDAY(AsOf,3),"Yes",""))</f>
        <v/>
      </c>
      <c r="H90" s="29" t="str">
        <f aca="false">IF($G90="Yes",$A90+ROW()/100000,"")</f>
        <v/>
      </c>
    </row>
    <row r="91" customFormat="false" ht="15" hidden="false" customHeight="false" outlineLevel="0" collapsed="false">
      <c r="A91" s="27"/>
      <c r="B91" s="24"/>
      <c r="C91" s="24"/>
      <c r="D91" s="24"/>
      <c r="E91" s="28"/>
      <c r="F91" s="30" t="str">
        <f aca="false">IF($A91="","",$A91-WEEKDAY($A91,3))</f>
        <v/>
      </c>
      <c r="G91" s="29" t="str">
        <f aca="false">IF($A91="","",IF($F91=AsOf-WEEKDAY(AsOf,3),"Yes",""))</f>
        <v/>
      </c>
      <c r="H91" s="29" t="str">
        <f aca="false">IF($G91="Yes",$A91+ROW()/100000,"")</f>
        <v/>
      </c>
    </row>
    <row r="92" customFormat="false" ht="15" hidden="false" customHeight="false" outlineLevel="0" collapsed="false">
      <c r="A92" s="27"/>
      <c r="B92" s="24"/>
      <c r="C92" s="24"/>
      <c r="D92" s="24"/>
      <c r="E92" s="28"/>
      <c r="F92" s="30" t="str">
        <f aca="false">IF($A92="","",$A92-WEEKDAY($A92,3))</f>
        <v/>
      </c>
      <c r="G92" s="29" t="str">
        <f aca="false">IF($A92="","",IF($F92=AsOf-WEEKDAY(AsOf,3),"Yes",""))</f>
        <v/>
      </c>
      <c r="H92" s="29" t="str">
        <f aca="false">IF($G92="Yes",$A92+ROW()/100000,"")</f>
        <v/>
      </c>
    </row>
    <row r="93" customFormat="false" ht="15" hidden="false" customHeight="false" outlineLevel="0" collapsed="false">
      <c r="A93" s="27"/>
      <c r="B93" s="24"/>
      <c r="C93" s="24"/>
      <c r="D93" s="24"/>
      <c r="E93" s="28"/>
      <c r="F93" s="30" t="str">
        <f aca="false">IF($A93="","",$A93-WEEKDAY($A93,3))</f>
        <v/>
      </c>
      <c r="G93" s="29" t="str">
        <f aca="false">IF($A93="","",IF($F93=AsOf-WEEKDAY(AsOf,3),"Yes",""))</f>
        <v/>
      </c>
      <c r="H93" s="29" t="str">
        <f aca="false">IF($G93="Yes",$A93+ROW()/100000,"")</f>
        <v/>
      </c>
    </row>
    <row r="94" customFormat="false" ht="15" hidden="false" customHeight="false" outlineLevel="0" collapsed="false">
      <c r="A94" s="27"/>
      <c r="B94" s="24"/>
      <c r="C94" s="24"/>
      <c r="D94" s="24"/>
      <c r="E94" s="28"/>
      <c r="F94" s="30" t="str">
        <f aca="false">IF($A94="","",$A94-WEEKDAY($A94,3))</f>
        <v/>
      </c>
      <c r="G94" s="29" t="str">
        <f aca="false">IF($A94="","",IF($F94=AsOf-WEEKDAY(AsOf,3),"Yes",""))</f>
        <v/>
      </c>
      <c r="H94" s="29" t="str">
        <f aca="false">IF($G94="Yes",$A94+ROW()/100000,"")</f>
        <v/>
      </c>
    </row>
    <row r="95" customFormat="false" ht="15" hidden="false" customHeight="false" outlineLevel="0" collapsed="false">
      <c r="A95" s="27"/>
      <c r="B95" s="24"/>
      <c r="C95" s="24"/>
      <c r="D95" s="24"/>
      <c r="E95" s="28"/>
      <c r="F95" s="30" t="str">
        <f aca="false">IF($A95="","",$A95-WEEKDAY($A95,3))</f>
        <v/>
      </c>
      <c r="G95" s="29" t="str">
        <f aca="false">IF($A95="","",IF($F95=AsOf-WEEKDAY(AsOf,3),"Yes",""))</f>
        <v/>
      </c>
      <c r="H95" s="29" t="str">
        <f aca="false">IF($G95="Yes",$A95+ROW()/100000,"")</f>
        <v/>
      </c>
    </row>
    <row r="96" customFormat="false" ht="15" hidden="false" customHeight="false" outlineLevel="0" collapsed="false">
      <c r="A96" s="27"/>
      <c r="B96" s="24"/>
      <c r="C96" s="24"/>
      <c r="D96" s="24"/>
      <c r="E96" s="28"/>
      <c r="F96" s="30" t="str">
        <f aca="false">IF($A96="","",$A96-WEEKDAY($A96,3))</f>
        <v/>
      </c>
      <c r="G96" s="29" t="str">
        <f aca="false">IF($A96="","",IF($F96=AsOf-WEEKDAY(AsOf,3),"Yes",""))</f>
        <v/>
      </c>
      <c r="H96" s="29" t="str">
        <f aca="false">IF($G96="Yes",$A96+ROW()/100000,"")</f>
        <v/>
      </c>
    </row>
    <row r="97" customFormat="false" ht="15" hidden="false" customHeight="false" outlineLevel="0" collapsed="false">
      <c r="A97" s="27"/>
      <c r="B97" s="24"/>
      <c r="C97" s="24"/>
      <c r="D97" s="24"/>
      <c r="E97" s="28"/>
      <c r="F97" s="30" t="str">
        <f aca="false">IF($A97="","",$A97-WEEKDAY($A97,3))</f>
        <v/>
      </c>
      <c r="G97" s="29" t="str">
        <f aca="false">IF($A97="","",IF($F97=AsOf-WEEKDAY(AsOf,3),"Yes",""))</f>
        <v/>
      </c>
      <c r="H97" s="29" t="str">
        <f aca="false">IF($G97="Yes",$A97+ROW()/100000,"")</f>
        <v/>
      </c>
    </row>
    <row r="98" customFormat="false" ht="15" hidden="false" customHeight="false" outlineLevel="0" collapsed="false">
      <c r="A98" s="27"/>
      <c r="B98" s="24"/>
      <c r="C98" s="24"/>
      <c r="D98" s="24"/>
      <c r="E98" s="28"/>
      <c r="F98" s="30" t="str">
        <f aca="false">IF($A98="","",$A98-WEEKDAY($A98,3))</f>
        <v/>
      </c>
      <c r="G98" s="29" t="str">
        <f aca="false">IF($A98="","",IF($F98=AsOf-WEEKDAY(AsOf,3),"Yes",""))</f>
        <v/>
      </c>
      <c r="H98" s="29" t="str">
        <f aca="false">IF($G98="Yes",$A98+ROW()/100000,"")</f>
        <v/>
      </c>
    </row>
    <row r="99" customFormat="false" ht="15" hidden="false" customHeight="false" outlineLevel="0" collapsed="false">
      <c r="A99" s="27"/>
      <c r="B99" s="24"/>
      <c r="C99" s="24"/>
      <c r="D99" s="24"/>
      <c r="E99" s="28"/>
      <c r="F99" s="30" t="str">
        <f aca="false">IF($A99="","",$A99-WEEKDAY($A99,3))</f>
        <v/>
      </c>
      <c r="G99" s="29" t="str">
        <f aca="false">IF($A99="","",IF($F99=AsOf-WEEKDAY(AsOf,3),"Yes",""))</f>
        <v/>
      </c>
      <c r="H99" s="29" t="str">
        <f aca="false">IF($G99="Yes",$A99+ROW()/100000,"")</f>
        <v/>
      </c>
    </row>
    <row r="100" customFormat="false" ht="15" hidden="false" customHeight="false" outlineLevel="0" collapsed="false">
      <c r="A100" s="27"/>
      <c r="B100" s="24"/>
      <c r="C100" s="24"/>
      <c r="D100" s="24"/>
      <c r="E100" s="28"/>
      <c r="F100" s="30" t="str">
        <f aca="false">IF($A100="","",$A100-WEEKDAY($A100,3))</f>
        <v/>
      </c>
      <c r="G100" s="29" t="str">
        <f aca="false">IF($A100="","",IF($F100=AsOf-WEEKDAY(AsOf,3),"Yes",""))</f>
        <v/>
      </c>
      <c r="H100" s="29" t="str">
        <f aca="false">IF($G100="Yes",$A100+ROW()/100000,"")</f>
        <v/>
      </c>
    </row>
    <row r="101" customFormat="false" ht="15" hidden="false" customHeight="false" outlineLevel="0" collapsed="false">
      <c r="A101" s="27"/>
      <c r="B101" s="24"/>
      <c r="C101" s="24"/>
      <c r="D101" s="24"/>
      <c r="E101" s="28"/>
      <c r="F101" s="30" t="str">
        <f aca="false">IF($A101="","",$A101-WEEKDAY($A101,3))</f>
        <v/>
      </c>
      <c r="G101" s="29" t="str">
        <f aca="false">IF($A101="","",IF($F101=AsOf-WEEKDAY(AsOf,3),"Yes",""))</f>
        <v/>
      </c>
      <c r="H101" s="29" t="str">
        <f aca="false">IF($G101="Yes",$A101+ROW()/100000,"")</f>
        <v/>
      </c>
    </row>
    <row r="102" customFormat="false" ht="15" hidden="false" customHeight="false" outlineLevel="0" collapsed="false">
      <c r="A102" s="27"/>
      <c r="B102" s="24"/>
      <c r="C102" s="24"/>
      <c r="D102" s="24"/>
      <c r="E102" s="28"/>
      <c r="F102" s="30" t="str">
        <f aca="false">IF($A102="","",$A102-WEEKDAY($A102,3))</f>
        <v/>
      </c>
      <c r="G102" s="29" t="str">
        <f aca="false">IF($A102="","",IF($F102=AsOf-WEEKDAY(AsOf,3),"Yes",""))</f>
        <v/>
      </c>
      <c r="H102" s="29" t="str">
        <f aca="false">IF($G102="Yes",$A102+ROW()/100000,"")</f>
        <v/>
      </c>
    </row>
    <row r="103" customFormat="false" ht="15" hidden="false" customHeight="false" outlineLevel="0" collapsed="false">
      <c r="A103" s="27"/>
      <c r="B103" s="24"/>
      <c r="C103" s="24"/>
      <c r="D103" s="24"/>
      <c r="E103" s="28"/>
      <c r="F103" s="30" t="str">
        <f aca="false">IF($A103="","",$A103-WEEKDAY($A103,3))</f>
        <v/>
      </c>
      <c r="G103" s="29" t="str">
        <f aca="false">IF($A103="","",IF($F103=AsOf-WEEKDAY(AsOf,3),"Yes",""))</f>
        <v/>
      </c>
      <c r="H103" s="29" t="str">
        <f aca="false">IF($G103="Yes",$A103+ROW()/100000,"")</f>
        <v/>
      </c>
    </row>
    <row r="104" customFormat="false" ht="15" hidden="false" customHeight="false" outlineLevel="0" collapsed="false">
      <c r="A104" s="27"/>
      <c r="B104" s="24"/>
      <c r="C104" s="24"/>
      <c r="D104" s="24"/>
      <c r="E104" s="28"/>
      <c r="F104" s="30" t="str">
        <f aca="false">IF($A104="","",$A104-WEEKDAY($A104,3))</f>
        <v/>
      </c>
      <c r="G104" s="29" t="str">
        <f aca="false">IF($A104="","",IF($F104=AsOf-WEEKDAY(AsOf,3),"Yes",""))</f>
        <v/>
      </c>
      <c r="H104" s="29" t="str">
        <f aca="false">IF($G104="Yes",$A104+ROW()/100000,"")</f>
        <v/>
      </c>
    </row>
    <row r="105" customFormat="false" ht="15" hidden="false" customHeight="false" outlineLevel="0" collapsed="false">
      <c r="A105" s="27"/>
      <c r="B105" s="24"/>
      <c r="C105" s="24"/>
      <c r="D105" s="24"/>
      <c r="E105" s="28"/>
      <c r="F105" s="30" t="str">
        <f aca="false">IF($A105="","",$A105-WEEKDAY($A105,3))</f>
        <v/>
      </c>
      <c r="G105" s="29" t="str">
        <f aca="false">IF($A105="","",IF($F105=AsOf-WEEKDAY(AsOf,3),"Yes",""))</f>
        <v/>
      </c>
      <c r="H105" s="29" t="str">
        <f aca="false">IF($G105="Yes",$A105+ROW()/100000,"")</f>
        <v/>
      </c>
    </row>
    <row r="106" customFormat="false" ht="15" hidden="false" customHeight="false" outlineLevel="0" collapsed="false">
      <c r="A106" s="27"/>
      <c r="B106" s="24"/>
      <c r="C106" s="24"/>
      <c r="D106" s="24"/>
      <c r="E106" s="28"/>
      <c r="F106" s="30" t="str">
        <f aca="false">IF($A106="","",$A106-WEEKDAY($A106,3))</f>
        <v/>
      </c>
      <c r="G106" s="29" t="str">
        <f aca="false">IF($A106="","",IF($F106=AsOf-WEEKDAY(AsOf,3),"Yes",""))</f>
        <v/>
      </c>
      <c r="H106" s="29" t="str">
        <f aca="false">IF($G106="Yes",$A106+ROW()/100000,"")</f>
        <v/>
      </c>
    </row>
    <row r="107" customFormat="false" ht="15" hidden="false" customHeight="false" outlineLevel="0" collapsed="false">
      <c r="A107" s="27"/>
      <c r="B107" s="24"/>
      <c r="C107" s="24"/>
      <c r="D107" s="24"/>
      <c r="E107" s="28"/>
      <c r="F107" s="30" t="str">
        <f aca="false">IF($A107="","",$A107-WEEKDAY($A107,3))</f>
        <v/>
      </c>
      <c r="G107" s="29" t="str">
        <f aca="false">IF($A107="","",IF($F107=AsOf-WEEKDAY(AsOf,3),"Yes",""))</f>
        <v/>
      </c>
      <c r="H107" s="29" t="str">
        <f aca="false">IF($G107="Yes",$A107+ROW()/100000,"")</f>
        <v/>
      </c>
    </row>
    <row r="108" customFormat="false" ht="15" hidden="false" customHeight="false" outlineLevel="0" collapsed="false">
      <c r="A108" s="27"/>
      <c r="B108" s="24"/>
      <c r="C108" s="24"/>
      <c r="D108" s="24"/>
      <c r="E108" s="28"/>
      <c r="F108" s="30" t="str">
        <f aca="false">IF($A108="","",$A108-WEEKDAY($A108,3))</f>
        <v/>
      </c>
      <c r="G108" s="29" t="str">
        <f aca="false">IF($A108="","",IF($F108=AsOf-WEEKDAY(AsOf,3),"Yes",""))</f>
        <v/>
      </c>
      <c r="H108" s="29" t="str">
        <f aca="false">IF($G108="Yes",$A108+ROW()/100000,"")</f>
        <v/>
      </c>
    </row>
    <row r="109" customFormat="false" ht="15" hidden="false" customHeight="false" outlineLevel="0" collapsed="false">
      <c r="A109" s="27"/>
      <c r="B109" s="24"/>
      <c r="C109" s="24"/>
      <c r="D109" s="24"/>
      <c r="E109" s="28"/>
      <c r="F109" s="30" t="str">
        <f aca="false">IF($A109="","",$A109-WEEKDAY($A109,3))</f>
        <v/>
      </c>
      <c r="G109" s="29" t="str">
        <f aca="false">IF($A109="","",IF($F109=AsOf-WEEKDAY(AsOf,3),"Yes",""))</f>
        <v/>
      </c>
      <c r="H109" s="29" t="str">
        <f aca="false">IF($G109="Yes",$A109+ROW()/100000,"")</f>
        <v/>
      </c>
    </row>
    <row r="110" customFormat="false" ht="15" hidden="false" customHeight="false" outlineLevel="0" collapsed="false">
      <c r="A110" s="27"/>
      <c r="B110" s="24"/>
      <c r="C110" s="24"/>
      <c r="D110" s="24"/>
      <c r="E110" s="28"/>
      <c r="F110" s="30" t="str">
        <f aca="false">IF($A110="","",$A110-WEEKDAY($A110,3))</f>
        <v/>
      </c>
      <c r="G110" s="29" t="str">
        <f aca="false">IF($A110="","",IF($F110=AsOf-WEEKDAY(AsOf,3),"Yes",""))</f>
        <v/>
      </c>
      <c r="H110" s="29" t="str">
        <f aca="false">IF($G110="Yes",$A110+ROW()/100000,"")</f>
        <v/>
      </c>
    </row>
    <row r="111" customFormat="false" ht="15" hidden="false" customHeight="false" outlineLevel="0" collapsed="false">
      <c r="A111" s="27"/>
      <c r="B111" s="24"/>
      <c r="C111" s="24"/>
      <c r="D111" s="24"/>
      <c r="E111" s="28"/>
      <c r="F111" s="30" t="str">
        <f aca="false">IF($A111="","",$A111-WEEKDAY($A111,3))</f>
        <v/>
      </c>
      <c r="G111" s="29" t="str">
        <f aca="false">IF($A111="","",IF($F111=AsOf-WEEKDAY(AsOf,3),"Yes",""))</f>
        <v/>
      </c>
      <c r="H111" s="29" t="str">
        <f aca="false">IF($G111="Yes",$A111+ROW()/100000,"")</f>
        <v/>
      </c>
    </row>
    <row r="112" customFormat="false" ht="15" hidden="false" customHeight="false" outlineLevel="0" collapsed="false">
      <c r="A112" s="27"/>
      <c r="B112" s="24"/>
      <c r="C112" s="24"/>
      <c r="D112" s="24"/>
      <c r="E112" s="28"/>
      <c r="F112" s="30" t="str">
        <f aca="false">IF($A112="","",$A112-WEEKDAY($A112,3))</f>
        <v/>
      </c>
      <c r="G112" s="29" t="str">
        <f aca="false">IF($A112="","",IF($F112=AsOf-WEEKDAY(AsOf,3),"Yes",""))</f>
        <v/>
      </c>
      <c r="H112" s="29" t="str">
        <f aca="false">IF($G112="Yes",$A112+ROW()/100000,"")</f>
        <v/>
      </c>
    </row>
    <row r="113" customFormat="false" ht="15" hidden="false" customHeight="false" outlineLevel="0" collapsed="false">
      <c r="A113" s="27"/>
      <c r="B113" s="24"/>
      <c r="C113" s="24"/>
      <c r="D113" s="24"/>
      <c r="E113" s="28"/>
      <c r="F113" s="30" t="str">
        <f aca="false">IF($A113="","",$A113-WEEKDAY($A113,3))</f>
        <v/>
      </c>
      <c r="G113" s="29" t="str">
        <f aca="false">IF($A113="","",IF($F113=AsOf-WEEKDAY(AsOf,3),"Yes",""))</f>
        <v/>
      </c>
      <c r="H113" s="29" t="str">
        <f aca="false">IF($G113="Yes",$A113+ROW()/100000,"")</f>
        <v/>
      </c>
    </row>
    <row r="114" customFormat="false" ht="15" hidden="false" customHeight="false" outlineLevel="0" collapsed="false">
      <c r="A114" s="27"/>
      <c r="B114" s="24"/>
      <c r="C114" s="24"/>
      <c r="D114" s="24"/>
      <c r="E114" s="28"/>
      <c r="F114" s="30" t="str">
        <f aca="false">IF($A114="","",$A114-WEEKDAY($A114,3))</f>
        <v/>
      </c>
      <c r="G114" s="29" t="str">
        <f aca="false">IF($A114="","",IF($F114=AsOf-WEEKDAY(AsOf,3),"Yes",""))</f>
        <v/>
      </c>
      <c r="H114" s="29" t="str">
        <f aca="false">IF($G114="Yes",$A114+ROW()/100000,"")</f>
        <v/>
      </c>
    </row>
    <row r="115" customFormat="false" ht="15" hidden="false" customHeight="false" outlineLevel="0" collapsed="false">
      <c r="A115" s="27"/>
      <c r="B115" s="24"/>
      <c r="C115" s="24"/>
      <c r="D115" s="24"/>
      <c r="E115" s="28"/>
      <c r="F115" s="30" t="str">
        <f aca="false">IF($A115="","",$A115-WEEKDAY($A115,3))</f>
        <v/>
      </c>
      <c r="G115" s="29" t="str">
        <f aca="false">IF($A115="","",IF($F115=AsOf-WEEKDAY(AsOf,3),"Yes",""))</f>
        <v/>
      </c>
      <c r="H115" s="29" t="str">
        <f aca="false">IF($G115="Yes",$A115+ROW()/100000,"")</f>
        <v/>
      </c>
    </row>
    <row r="116" customFormat="false" ht="15" hidden="false" customHeight="false" outlineLevel="0" collapsed="false">
      <c r="A116" s="27"/>
      <c r="B116" s="24"/>
      <c r="C116" s="24"/>
      <c r="D116" s="24"/>
      <c r="E116" s="28"/>
      <c r="F116" s="30" t="str">
        <f aca="false">IF($A116="","",$A116-WEEKDAY($A116,3))</f>
        <v/>
      </c>
      <c r="G116" s="29" t="str">
        <f aca="false">IF($A116="","",IF($F116=AsOf-WEEKDAY(AsOf,3),"Yes",""))</f>
        <v/>
      </c>
      <c r="H116" s="29" t="str">
        <f aca="false">IF($G116="Yes",$A116+ROW()/100000,"")</f>
        <v/>
      </c>
    </row>
    <row r="117" customFormat="false" ht="15" hidden="false" customHeight="false" outlineLevel="0" collapsed="false">
      <c r="A117" s="27"/>
      <c r="B117" s="24"/>
      <c r="C117" s="24"/>
      <c r="D117" s="24"/>
      <c r="E117" s="28"/>
      <c r="F117" s="30" t="str">
        <f aca="false">IF($A117="","",$A117-WEEKDAY($A117,3))</f>
        <v/>
      </c>
      <c r="G117" s="29" t="str">
        <f aca="false">IF($A117="","",IF($F117=AsOf-WEEKDAY(AsOf,3),"Yes",""))</f>
        <v/>
      </c>
      <c r="H117" s="29" t="str">
        <f aca="false">IF($G117="Yes",$A117+ROW()/100000,"")</f>
        <v/>
      </c>
    </row>
    <row r="118" customFormat="false" ht="15" hidden="false" customHeight="false" outlineLevel="0" collapsed="false">
      <c r="A118" s="27"/>
      <c r="B118" s="24"/>
      <c r="C118" s="24"/>
      <c r="D118" s="24"/>
      <c r="E118" s="28"/>
      <c r="F118" s="30" t="str">
        <f aca="false">IF($A118="","",$A118-WEEKDAY($A118,3))</f>
        <v/>
      </c>
      <c r="G118" s="29" t="str">
        <f aca="false">IF($A118="","",IF($F118=AsOf-WEEKDAY(AsOf,3),"Yes",""))</f>
        <v/>
      </c>
      <c r="H118" s="29" t="str">
        <f aca="false">IF($G118="Yes",$A118+ROW()/100000,"")</f>
        <v/>
      </c>
    </row>
    <row r="119" customFormat="false" ht="15" hidden="false" customHeight="false" outlineLevel="0" collapsed="false">
      <c r="A119" s="27"/>
      <c r="B119" s="24"/>
      <c r="C119" s="24"/>
      <c r="D119" s="24"/>
      <c r="E119" s="28"/>
      <c r="F119" s="30" t="str">
        <f aca="false">IF($A119="","",$A119-WEEKDAY($A119,3))</f>
        <v/>
      </c>
      <c r="G119" s="29" t="str">
        <f aca="false">IF($A119="","",IF($F119=AsOf-WEEKDAY(AsOf,3),"Yes",""))</f>
        <v/>
      </c>
      <c r="H119" s="29" t="str">
        <f aca="false">IF($G119="Yes",$A119+ROW()/100000,"")</f>
        <v/>
      </c>
    </row>
    <row r="120" customFormat="false" ht="15" hidden="false" customHeight="false" outlineLevel="0" collapsed="false">
      <c r="A120" s="27"/>
      <c r="B120" s="24"/>
      <c r="C120" s="24"/>
      <c r="D120" s="24"/>
      <c r="E120" s="28"/>
      <c r="F120" s="30" t="str">
        <f aca="false">IF($A120="","",$A120-WEEKDAY($A120,3))</f>
        <v/>
      </c>
      <c r="G120" s="29" t="str">
        <f aca="false">IF($A120="","",IF($F120=AsOf-WEEKDAY(AsOf,3),"Yes",""))</f>
        <v/>
      </c>
      <c r="H120" s="29" t="str">
        <f aca="false">IF($G120="Yes",$A120+ROW()/100000,"")</f>
        <v/>
      </c>
    </row>
    <row r="121" customFormat="false" ht="15" hidden="false" customHeight="false" outlineLevel="0" collapsed="false">
      <c r="A121" s="27"/>
      <c r="B121" s="24"/>
      <c r="C121" s="24"/>
      <c r="D121" s="24"/>
      <c r="E121" s="28"/>
      <c r="F121" s="30" t="str">
        <f aca="false">IF($A121="","",$A121-WEEKDAY($A121,3))</f>
        <v/>
      </c>
      <c r="G121" s="29" t="str">
        <f aca="false">IF($A121="","",IF($F121=AsOf-WEEKDAY(AsOf,3),"Yes",""))</f>
        <v/>
      </c>
      <c r="H121" s="29" t="str">
        <f aca="false">IF($G121="Yes",$A121+ROW()/100000,"")</f>
        <v/>
      </c>
    </row>
    <row r="122" customFormat="false" ht="15" hidden="false" customHeight="false" outlineLevel="0" collapsed="false">
      <c r="A122" s="27"/>
      <c r="B122" s="24"/>
      <c r="C122" s="24"/>
      <c r="D122" s="24"/>
      <c r="E122" s="28"/>
      <c r="F122" s="30" t="str">
        <f aca="false">IF($A122="","",$A122-WEEKDAY($A122,3))</f>
        <v/>
      </c>
      <c r="G122" s="29" t="str">
        <f aca="false">IF($A122="","",IF($F122=AsOf-WEEKDAY(AsOf,3),"Yes",""))</f>
        <v/>
      </c>
      <c r="H122" s="29" t="str">
        <f aca="false">IF($G122="Yes",$A122+ROW()/100000,"")</f>
        <v/>
      </c>
    </row>
    <row r="123" customFormat="false" ht="15" hidden="false" customHeight="false" outlineLevel="0" collapsed="false">
      <c r="A123" s="27"/>
      <c r="B123" s="24"/>
      <c r="C123" s="24"/>
      <c r="D123" s="24"/>
      <c r="E123" s="28"/>
      <c r="F123" s="30" t="str">
        <f aca="false">IF($A123="","",$A123-WEEKDAY($A123,3))</f>
        <v/>
      </c>
      <c r="G123" s="29" t="str">
        <f aca="false">IF($A123="","",IF($F123=AsOf-WEEKDAY(AsOf,3),"Yes",""))</f>
        <v/>
      </c>
      <c r="H123" s="29" t="str">
        <f aca="false">IF($G123="Yes",$A123+ROW()/100000,"")</f>
        <v/>
      </c>
    </row>
    <row r="124" customFormat="false" ht="15" hidden="false" customHeight="false" outlineLevel="0" collapsed="false">
      <c r="A124" s="27"/>
      <c r="B124" s="24"/>
      <c r="C124" s="24"/>
      <c r="D124" s="24"/>
      <c r="E124" s="28"/>
      <c r="F124" s="30" t="str">
        <f aca="false">IF($A124="","",$A124-WEEKDAY($A124,3))</f>
        <v/>
      </c>
      <c r="G124" s="29" t="str">
        <f aca="false">IF($A124="","",IF($F124=AsOf-WEEKDAY(AsOf,3),"Yes",""))</f>
        <v/>
      </c>
      <c r="H124" s="29" t="str">
        <f aca="false">IF($G124="Yes",$A124+ROW()/100000,"")</f>
        <v/>
      </c>
    </row>
    <row r="125" customFormat="false" ht="15" hidden="false" customHeight="false" outlineLevel="0" collapsed="false">
      <c r="A125" s="27"/>
      <c r="B125" s="24"/>
      <c r="C125" s="24"/>
      <c r="D125" s="24"/>
      <c r="E125" s="28"/>
      <c r="F125" s="30" t="str">
        <f aca="false">IF($A125="","",$A125-WEEKDAY($A125,3))</f>
        <v/>
      </c>
      <c r="G125" s="29" t="str">
        <f aca="false">IF($A125="","",IF($F125=AsOf-WEEKDAY(AsOf,3),"Yes",""))</f>
        <v/>
      </c>
      <c r="H125" s="29" t="str">
        <f aca="false">IF($G125="Yes",$A125+ROW()/100000,"")</f>
        <v/>
      </c>
    </row>
    <row r="126" customFormat="false" ht="15" hidden="false" customHeight="false" outlineLevel="0" collapsed="false">
      <c r="A126" s="27"/>
      <c r="B126" s="24"/>
      <c r="C126" s="24"/>
      <c r="D126" s="24"/>
      <c r="E126" s="28"/>
      <c r="F126" s="30" t="str">
        <f aca="false">IF($A126="","",$A126-WEEKDAY($A126,3))</f>
        <v/>
      </c>
      <c r="G126" s="29" t="str">
        <f aca="false">IF($A126="","",IF($F126=AsOf-WEEKDAY(AsOf,3),"Yes",""))</f>
        <v/>
      </c>
      <c r="H126" s="29" t="str">
        <f aca="false">IF($G126="Yes",$A126+ROW()/100000,"")</f>
        <v/>
      </c>
    </row>
    <row r="127" customFormat="false" ht="15" hidden="false" customHeight="false" outlineLevel="0" collapsed="false">
      <c r="A127" s="27"/>
      <c r="B127" s="24"/>
      <c r="C127" s="24"/>
      <c r="D127" s="24"/>
      <c r="E127" s="28"/>
      <c r="F127" s="30" t="str">
        <f aca="false">IF($A127="","",$A127-WEEKDAY($A127,3))</f>
        <v/>
      </c>
      <c r="G127" s="29" t="str">
        <f aca="false">IF($A127="","",IF($F127=AsOf-WEEKDAY(AsOf,3),"Yes",""))</f>
        <v/>
      </c>
      <c r="H127" s="29" t="str">
        <f aca="false">IF($G127="Yes",$A127+ROW()/100000,"")</f>
        <v/>
      </c>
    </row>
    <row r="128" customFormat="false" ht="15" hidden="false" customHeight="false" outlineLevel="0" collapsed="false">
      <c r="A128" s="27"/>
      <c r="B128" s="24"/>
      <c r="C128" s="24"/>
      <c r="D128" s="24"/>
      <c r="E128" s="28"/>
      <c r="F128" s="30" t="str">
        <f aca="false">IF($A128="","",$A128-WEEKDAY($A128,3))</f>
        <v/>
      </c>
      <c r="G128" s="29" t="str">
        <f aca="false">IF($A128="","",IF($F128=AsOf-WEEKDAY(AsOf,3),"Yes",""))</f>
        <v/>
      </c>
      <c r="H128" s="29" t="str">
        <f aca="false">IF($G128="Yes",$A128+ROW()/100000,"")</f>
        <v/>
      </c>
    </row>
    <row r="129" customFormat="false" ht="15" hidden="false" customHeight="false" outlineLevel="0" collapsed="false">
      <c r="A129" s="27"/>
      <c r="B129" s="24"/>
      <c r="C129" s="24"/>
      <c r="D129" s="24"/>
      <c r="E129" s="28"/>
      <c r="F129" s="30" t="str">
        <f aca="false">IF($A129="","",$A129-WEEKDAY($A129,3))</f>
        <v/>
      </c>
      <c r="G129" s="29" t="str">
        <f aca="false">IF($A129="","",IF($F129=AsOf-WEEKDAY(AsOf,3),"Yes",""))</f>
        <v/>
      </c>
      <c r="H129" s="29" t="str">
        <f aca="false">IF($G129="Yes",$A129+ROW()/100000,"")</f>
        <v/>
      </c>
    </row>
    <row r="130" customFormat="false" ht="15" hidden="false" customHeight="false" outlineLevel="0" collapsed="false">
      <c r="A130" s="27"/>
      <c r="B130" s="24"/>
      <c r="C130" s="24"/>
      <c r="D130" s="24"/>
      <c r="E130" s="28"/>
      <c r="F130" s="30" t="str">
        <f aca="false">IF($A130="","",$A130-WEEKDAY($A130,3))</f>
        <v/>
      </c>
      <c r="G130" s="29" t="str">
        <f aca="false">IF($A130="","",IF($F130=AsOf-WEEKDAY(AsOf,3),"Yes",""))</f>
        <v/>
      </c>
      <c r="H130" s="29" t="str">
        <f aca="false">IF($G130="Yes",$A130+ROW()/100000,"")</f>
        <v/>
      </c>
    </row>
    <row r="131" customFormat="false" ht="15" hidden="false" customHeight="false" outlineLevel="0" collapsed="false">
      <c r="A131" s="27"/>
      <c r="B131" s="24"/>
      <c r="C131" s="24"/>
      <c r="D131" s="24"/>
      <c r="E131" s="28"/>
      <c r="F131" s="30" t="str">
        <f aca="false">IF($A131="","",$A131-WEEKDAY($A131,3))</f>
        <v/>
      </c>
      <c r="G131" s="29" t="str">
        <f aca="false">IF($A131="","",IF($F131=AsOf-WEEKDAY(AsOf,3),"Yes",""))</f>
        <v/>
      </c>
      <c r="H131" s="29" t="str">
        <f aca="false">IF($G131="Yes",$A131+ROW()/100000,"")</f>
        <v/>
      </c>
    </row>
    <row r="132" customFormat="false" ht="15" hidden="false" customHeight="false" outlineLevel="0" collapsed="false">
      <c r="A132" s="27"/>
      <c r="B132" s="24"/>
      <c r="C132" s="24"/>
      <c r="D132" s="24"/>
      <c r="E132" s="28"/>
      <c r="F132" s="30" t="str">
        <f aca="false">IF($A132="","",$A132-WEEKDAY($A132,3))</f>
        <v/>
      </c>
      <c r="G132" s="29" t="str">
        <f aca="false">IF($A132="","",IF($F132=AsOf-WEEKDAY(AsOf,3),"Yes",""))</f>
        <v/>
      </c>
      <c r="H132" s="29" t="str">
        <f aca="false">IF($G132="Yes",$A132+ROW()/100000,"")</f>
        <v/>
      </c>
    </row>
    <row r="133" customFormat="false" ht="15" hidden="false" customHeight="false" outlineLevel="0" collapsed="false">
      <c r="A133" s="27"/>
      <c r="B133" s="24"/>
      <c r="C133" s="24"/>
      <c r="D133" s="24"/>
      <c r="E133" s="28"/>
      <c r="F133" s="30" t="str">
        <f aca="false">IF($A133="","",$A133-WEEKDAY($A133,3))</f>
        <v/>
      </c>
      <c r="G133" s="29" t="str">
        <f aca="false">IF($A133="","",IF($F133=AsOf-WEEKDAY(AsOf,3),"Yes",""))</f>
        <v/>
      </c>
      <c r="H133" s="29" t="str">
        <f aca="false">IF($G133="Yes",$A133+ROW()/100000,"")</f>
        <v/>
      </c>
    </row>
    <row r="134" customFormat="false" ht="15" hidden="false" customHeight="false" outlineLevel="0" collapsed="false">
      <c r="A134" s="27"/>
      <c r="B134" s="24"/>
      <c r="C134" s="24"/>
      <c r="D134" s="24"/>
      <c r="E134" s="28"/>
      <c r="F134" s="30" t="str">
        <f aca="false">IF($A134="","",$A134-WEEKDAY($A134,3))</f>
        <v/>
      </c>
      <c r="G134" s="29" t="str">
        <f aca="false">IF($A134="","",IF($F134=AsOf-WEEKDAY(AsOf,3),"Yes",""))</f>
        <v/>
      </c>
      <c r="H134" s="29" t="str">
        <f aca="false">IF($G134="Yes",$A134+ROW()/100000,"")</f>
        <v/>
      </c>
    </row>
    <row r="135" customFormat="false" ht="15" hidden="false" customHeight="false" outlineLevel="0" collapsed="false">
      <c r="A135" s="27"/>
      <c r="B135" s="24"/>
      <c r="C135" s="24"/>
      <c r="D135" s="24"/>
      <c r="E135" s="28"/>
      <c r="F135" s="30" t="str">
        <f aca="false">IF($A135="","",$A135-WEEKDAY($A135,3))</f>
        <v/>
      </c>
      <c r="G135" s="29" t="str">
        <f aca="false">IF($A135="","",IF($F135=AsOf-WEEKDAY(AsOf,3),"Yes",""))</f>
        <v/>
      </c>
      <c r="H135" s="29" t="str">
        <f aca="false">IF($G135="Yes",$A135+ROW()/100000,"")</f>
        <v/>
      </c>
    </row>
    <row r="136" customFormat="false" ht="15" hidden="false" customHeight="false" outlineLevel="0" collapsed="false">
      <c r="A136" s="27"/>
      <c r="B136" s="24"/>
      <c r="C136" s="24"/>
      <c r="D136" s="24"/>
      <c r="E136" s="28"/>
      <c r="F136" s="30" t="str">
        <f aca="false">IF($A136="","",$A136-WEEKDAY($A136,3))</f>
        <v/>
      </c>
      <c r="G136" s="29" t="str">
        <f aca="false">IF($A136="","",IF($F136=AsOf-WEEKDAY(AsOf,3),"Yes",""))</f>
        <v/>
      </c>
      <c r="H136" s="29" t="str">
        <f aca="false">IF($G136="Yes",$A136+ROW()/100000,"")</f>
        <v/>
      </c>
    </row>
    <row r="137" customFormat="false" ht="15" hidden="false" customHeight="false" outlineLevel="0" collapsed="false">
      <c r="A137" s="27"/>
      <c r="B137" s="24"/>
      <c r="C137" s="24"/>
      <c r="D137" s="24"/>
      <c r="E137" s="28"/>
      <c r="F137" s="30" t="str">
        <f aca="false">IF($A137="","",$A137-WEEKDAY($A137,3))</f>
        <v/>
      </c>
      <c r="G137" s="29" t="str">
        <f aca="false">IF($A137="","",IF($F137=AsOf-WEEKDAY(AsOf,3),"Yes",""))</f>
        <v/>
      </c>
      <c r="H137" s="29" t="str">
        <f aca="false">IF($G137="Yes",$A137+ROW()/100000,"")</f>
        <v/>
      </c>
    </row>
    <row r="138" customFormat="false" ht="15" hidden="false" customHeight="false" outlineLevel="0" collapsed="false">
      <c r="A138" s="27"/>
      <c r="B138" s="24"/>
      <c r="C138" s="24"/>
      <c r="D138" s="24"/>
      <c r="E138" s="28"/>
      <c r="F138" s="30" t="str">
        <f aca="false">IF($A138="","",$A138-WEEKDAY($A138,3))</f>
        <v/>
      </c>
      <c r="G138" s="29" t="str">
        <f aca="false">IF($A138="","",IF($F138=AsOf-WEEKDAY(AsOf,3),"Yes",""))</f>
        <v/>
      </c>
      <c r="H138" s="29" t="str">
        <f aca="false">IF($G138="Yes",$A138+ROW()/100000,"")</f>
        <v/>
      </c>
    </row>
    <row r="139" customFormat="false" ht="15" hidden="false" customHeight="false" outlineLevel="0" collapsed="false">
      <c r="A139" s="27"/>
      <c r="B139" s="24"/>
      <c r="C139" s="24"/>
      <c r="D139" s="24"/>
      <c r="E139" s="28"/>
      <c r="F139" s="30" t="str">
        <f aca="false">IF($A139="","",$A139-WEEKDAY($A139,3))</f>
        <v/>
      </c>
      <c r="G139" s="29" t="str">
        <f aca="false">IF($A139="","",IF($F139=AsOf-WEEKDAY(AsOf,3),"Yes",""))</f>
        <v/>
      </c>
      <c r="H139" s="29" t="str">
        <f aca="false">IF($G139="Yes",$A139+ROW()/100000,"")</f>
        <v/>
      </c>
    </row>
    <row r="140" customFormat="false" ht="15" hidden="false" customHeight="false" outlineLevel="0" collapsed="false">
      <c r="A140" s="27"/>
      <c r="B140" s="24"/>
      <c r="C140" s="24"/>
      <c r="D140" s="24"/>
      <c r="E140" s="28"/>
      <c r="F140" s="30" t="str">
        <f aca="false">IF($A140="","",$A140-WEEKDAY($A140,3))</f>
        <v/>
      </c>
      <c r="G140" s="29" t="str">
        <f aca="false">IF($A140="","",IF($F140=AsOf-WEEKDAY(AsOf,3),"Yes",""))</f>
        <v/>
      </c>
      <c r="H140" s="29" t="str">
        <f aca="false">IF($G140="Yes",$A140+ROW()/100000,"")</f>
        <v/>
      </c>
    </row>
    <row r="141" customFormat="false" ht="15" hidden="false" customHeight="false" outlineLevel="0" collapsed="false">
      <c r="A141" s="27"/>
      <c r="B141" s="24"/>
      <c r="C141" s="24"/>
      <c r="D141" s="24"/>
      <c r="E141" s="28"/>
      <c r="F141" s="30" t="str">
        <f aca="false">IF($A141="","",$A141-WEEKDAY($A141,3))</f>
        <v/>
      </c>
      <c r="G141" s="29" t="str">
        <f aca="false">IF($A141="","",IF($F141=AsOf-WEEKDAY(AsOf,3),"Yes",""))</f>
        <v/>
      </c>
      <c r="H141" s="29" t="str">
        <f aca="false">IF($G141="Yes",$A141+ROW()/100000,"")</f>
        <v/>
      </c>
    </row>
    <row r="142" customFormat="false" ht="15" hidden="false" customHeight="false" outlineLevel="0" collapsed="false">
      <c r="A142" s="27"/>
      <c r="B142" s="24"/>
      <c r="C142" s="24"/>
      <c r="D142" s="24"/>
      <c r="E142" s="28"/>
      <c r="F142" s="30" t="str">
        <f aca="false">IF($A142="","",$A142-WEEKDAY($A142,3))</f>
        <v/>
      </c>
      <c r="G142" s="29" t="str">
        <f aca="false">IF($A142="","",IF($F142=AsOf-WEEKDAY(AsOf,3),"Yes",""))</f>
        <v/>
      </c>
      <c r="H142" s="29" t="str">
        <f aca="false">IF($G142="Yes",$A142+ROW()/100000,"")</f>
        <v/>
      </c>
    </row>
    <row r="143" customFormat="false" ht="15" hidden="false" customHeight="false" outlineLevel="0" collapsed="false">
      <c r="A143" s="27"/>
      <c r="B143" s="24"/>
      <c r="C143" s="24"/>
      <c r="D143" s="24"/>
      <c r="E143" s="28"/>
      <c r="F143" s="30" t="str">
        <f aca="false">IF($A143="","",$A143-WEEKDAY($A143,3))</f>
        <v/>
      </c>
      <c r="G143" s="29" t="str">
        <f aca="false">IF($A143="","",IF($F143=AsOf-WEEKDAY(AsOf,3),"Yes",""))</f>
        <v/>
      </c>
      <c r="H143" s="29" t="str">
        <f aca="false">IF($G143="Yes",$A143+ROW()/100000,"")</f>
        <v/>
      </c>
    </row>
    <row r="144" customFormat="false" ht="15" hidden="false" customHeight="false" outlineLevel="0" collapsed="false">
      <c r="A144" s="27"/>
      <c r="B144" s="24"/>
      <c r="C144" s="24"/>
      <c r="D144" s="24"/>
      <c r="E144" s="28"/>
      <c r="F144" s="30" t="str">
        <f aca="false">IF($A144="","",$A144-WEEKDAY($A144,3))</f>
        <v/>
      </c>
      <c r="G144" s="29" t="str">
        <f aca="false">IF($A144="","",IF($F144=AsOf-WEEKDAY(AsOf,3),"Yes",""))</f>
        <v/>
      </c>
      <c r="H144" s="29" t="str">
        <f aca="false">IF($G144="Yes",$A144+ROW()/100000,"")</f>
        <v/>
      </c>
    </row>
    <row r="145" customFormat="false" ht="15" hidden="false" customHeight="false" outlineLevel="0" collapsed="false">
      <c r="A145" s="27"/>
      <c r="B145" s="24"/>
      <c r="C145" s="24"/>
      <c r="D145" s="24"/>
      <c r="E145" s="28"/>
      <c r="F145" s="30" t="str">
        <f aca="false">IF($A145="","",$A145-WEEKDAY($A145,3))</f>
        <v/>
      </c>
      <c r="G145" s="29" t="str">
        <f aca="false">IF($A145="","",IF($F145=AsOf-WEEKDAY(AsOf,3),"Yes",""))</f>
        <v/>
      </c>
      <c r="H145" s="29" t="str">
        <f aca="false">IF($G145="Yes",$A145+ROW()/100000,"")</f>
        <v/>
      </c>
    </row>
    <row r="146" customFormat="false" ht="15" hidden="false" customHeight="false" outlineLevel="0" collapsed="false">
      <c r="A146" s="27"/>
      <c r="B146" s="24"/>
      <c r="C146" s="24"/>
      <c r="D146" s="24"/>
      <c r="E146" s="28"/>
      <c r="F146" s="30" t="str">
        <f aca="false">IF($A146="","",$A146-WEEKDAY($A146,3))</f>
        <v/>
      </c>
      <c r="G146" s="29" t="str">
        <f aca="false">IF($A146="","",IF($F146=AsOf-WEEKDAY(AsOf,3),"Yes",""))</f>
        <v/>
      </c>
      <c r="H146" s="29" t="str">
        <f aca="false">IF($G146="Yes",$A146+ROW()/100000,"")</f>
        <v/>
      </c>
    </row>
    <row r="147" customFormat="false" ht="15" hidden="false" customHeight="false" outlineLevel="0" collapsed="false">
      <c r="A147" s="27"/>
      <c r="B147" s="24"/>
      <c r="C147" s="24"/>
      <c r="D147" s="24"/>
      <c r="E147" s="28"/>
      <c r="F147" s="30" t="str">
        <f aca="false">IF($A147="","",$A147-WEEKDAY($A147,3))</f>
        <v/>
      </c>
      <c r="G147" s="29" t="str">
        <f aca="false">IF($A147="","",IF($F147=AsOf-WEEKDAY(AsOf,3),"Yes",""))</f>
        <v/>
      </c>
      <c r="H147" s="29" t="str">
        <f aca="false">IF($G147="Yes",$A147+ROW()/100000,"")</f>
        <v/>
      </c>
    </row>
    <row r="148" customFormat="false" ht="15" hidden="false" customHeight="false" outlineLevel="0" collapsed="false">
      <c r="A148" s="27"/>
      <c r="B148" s="24"/>
      <c r="C148" s="24"/>
      <c r="D148" s="24"/>
      <c r="E148" s="28"/>
      <c r="F148" s="30" t="str">
        <f aca="false">IF($A148="","",$A148-WEEKDAY($A148,3))</f>
        <v/>
      </c>
      <c r="G148" s="29" t="str">
        <f aca="false">IF($A148="","",IF($F148=AsOf-WEEKDAY(AsOf,3),"Yes",""))</f>
        <v/>
      </c>
      <c r="H148" s="29" t="str">
        <f aca="false">IF($G148="Yes",$A148+ROW()/100000,"")</f>
        <v/>
      </c>
    </row>
    <row r="149" customFormat="false" ht="15" hidden="false" customHeight="false" outlineLevel="0" collapsed="false">
      <c r="A149" s="27"/>
      <c r="B149" s="24"/>
      <c r="C149" s="24"/>
      <c r="D149" s="24"/>
      <c r="E149" s="28"/>
      <c r="F149" s="30" t="str">
        <f aca="false">IF($A149="","",$A149-WEEKDAY($A149,3))</f>
        <v/>
      </c>
      <c r="G149" s="29" t="str">
        <f aca="false">IF($A149="","",IF($F149=AsOf-WEEKDAY(AsOf,3),"Yes",""))</f>
        <v/>
      </c>
      <c r="H149" s="29" t="str">
        <f aca="false">IF($G149="Yes",$A149+ROW()/100000,"")</f>
        <v/>
      </c>
    </row>
    <row r="150" customFormat="false" ht="15" hidden="false" customHeight="false" outlineLevel="0" collapsed="false">
      <c r="A150" s="27"/>
      <c r="B150" s="24"/>
      <c r="C150" s="24"/>
      <c r="D150" s="24"/>
      <c r="E150" s="28"/>
      <c r="F150" s="30" t="str">
        <f aca="false">IF($A150="","",$A150-WEEKDAY($A150,3))</f>
        <v/>
      </c>
      <c r="G150" s="29" t="str">
        <f aca="false">IF($A150="","",IF($F150=AsOf-WEEKDAY(AsOf,3),"Yes",""))</f>
        <v/>
      </c>
      <c r="H150" s="29" t="str">
        <f aca="false">IF($G150="Yes",$A150+ROW()/100000,"")</f>
        <v/>
      </c>
    </row>
    <row r="151" customFormat="false" ht="15" hidden="false" customHeight="false" outlineLevel="0" collapsed="false">
      <c r="A151" s="27"/>
      <c r="B151" s="24"/>
      <c r="C151" s="24"/>
      <c r="D151" s="24"/>
      <c r="E151" s="28"/>
      <c r="F151" s="30" t="str">
        <f aca="false">IF($A151="","",$A151-WEEKDAY($A151,3))</f>
        <v/>
      </c>
      <c r="G151" s="29" t="str">
        <f aca="false">IF($A151="","",IF($F151=AsOf-WEEKDAY(AsOf,3),"Yes",""))</f>
        <v/>
      </c>
      <c r="H151" s="29" t="str">
        <f aca="false">IF($G151="Yes",$A151+ROW()/100000,"")</f>
        <v/>
      </c>
    </row>
    <row r="152" customFormat="false" ht="15" hidden="false" customHeight="false" outlineLevel="0" collapsed="false">
      <c r="A152" s="27"/>
      <c r="B152" s="24"/>
      <c r="C152" s="24"/>
      <c r="D152" s="24"/>
      <c r="E152" s="28"/>
      <c r="F152" s="30" t="str">
        <f aca="false">IF($A152="","",$A152-WEEKDAY($A152,3))</f>
        <v/>
      </c>
      <c r="G152" s="29" t="str">
        <f aca="false">IF($A152="","",IF($F152=AsOf-WEEKDAY(AsOf,3),"Yes",""))</f>
        <v/>
      </c>
      <c r="H152" s="29" t="str">
        <f aca="false">IF($G152="Yes",$A152+ROW()/100000,"")</f>
        <v/>
      </c>
    </row>
    <row r="153" customFormat="false" ht="15" hidden="false" customHeight="false" outlineLevel="0" collapsed="false">
      <c r="A153" s="27"/>
      <c r="B153" s="24"/>
      <c r="C153" s="24"/>
      <c r="D153" s="24"/>
      <c r="E153" s="28"/>
      <c r="F153" s="30" t="str">
        <f aca="false">IF($A153="","",$A153-WEEKDAY($A153,3))</f>
        <v/>
      </c>
      <c r="G153" s="29" t="str">
        <f aca="false">IF($A153="","",IF($F153=AsOf-WEEKDAY(AsOf,3),"Yes",""))</f>
        <v/>
      </c>
      <c r="H153" s="29" t="str">
        <f aca="false">IF($G153="Yes",$A153+ROW()/100000,"")</f>
        <v/>
      </c>
    </row>
    <row r="154" customFormat="false" ht="15" hidden="false" customHeight="false" outlineLevel="0" collapsed="false">
      <c r="A154" s="27"/>
      <c r="B154" s="24"/>
      <c r="C154" s="24"/>
      <c r="D154" s="24"/>
      <c r="E154" s="28"/>
      <c r="F154" s="30" t="str">
        <f aca="false">IF($A154="","",$A154-WEEKDAY($A154,3))</f>
        <v/>
      </c>
      <c r="G154" s="29" t="str">
        <f aca="false">IF($A154="","",IF($F154=AsOf-WEEKDAY(AsOf,3),"Yes",""))</f>
        <v/>
      </c>
      <c r="H154" s="29" t="str">
        <f aca="false">IF($G154="Yes",$A154+ROW()/100000,"")</f>
        <v/>
      </c>
    </row>
    <row r="155" customFormat="false" ht="15" hidden="false" customHeight="false" outlineLevel="0" collapsed="false">
      <c r="A155" s="27"/>
      <c r="B155" s="24"/>
      <c r="C155" s="24"/>
      <c r="D155" s="24"/>
      <c r="E155" s="28"/>
      <c r="F155" s="30" t="str">
        <f aca="false">IF($A155="","",$A155-WEEKDAY($A155,3))</f>
        <v/>
      </c>
      <c r="G155" s="29" t="str">
        <f aca="false">IF($A155="","",IF($F155=AsOf-WEEKDAY(AsOf,3),"Yes",""))</f>
        <v/>
      </c>
      <c r="H155" s="29" t="str">
        <f aca="false">IF($G155="Yes",$A155+ROW()/100000,"")</f>
        <v/>
      </c>
    </row>
    <row r="156" customFormat="false" ht="15" hidden="false" customHeight="false" outlineLevel="0" collapsed="false">
      <c r="A156" s="27"/>
      <c r="B156" s="24"/>
      <c r="C156" s="24"/>
      <c r="D156" s="24"/>
      <c r="E156" s="28"/>
      <c r="F156" s="30" t="str">
        <f aca="false">IF($A156="","",$A156-WEEKDAY($A156,3))</f>
        <v/>
      </c>
      <c r="G156" s="29" t="str">
        <f aca="false">IF($A156="","",IF($F156=AsOf-WEEKDAY(AsOf,3),"Yes",""))</f>
        <v/>
      </c>
      <c r="H156" s="29" t="str">
        <f aca="false">IF($G156="Yes",$A156+ROW()/100000,"")</f>
        <v/>
      </c>
    </row>
    <row r="157" customFormat="false" ht="15" hidden="false" customHeight="false" outlineLevel="0" collapsed="false">
      <c r="A157" s="27"/>
      <c r="B157" s="24"/>
      <c r="C157" s="24"/>
      <c r="D157" s="24"/>
      <c r="E157" s="28"/>
      <c r="F157" s="30" t="str">
        <f aca="false">IF($A157="","",$A157-WEEKDAY($A157,3))</f>
        <v/>
      </c>
      <c r="G157" s="29" t="str">
        <f aca="false">IF($A157="","",IF($F157=AsOf-WEEKDAY(AsOf,3),"Yes",""))</f>
        <v/>
      </c>
      <c r="H157" s="29" t="str">
        <f aca="false">IF($G157="Yes",$A157+ROW()/100000,"")</f>
        <v/>
      </c>
    </row>
    <row r="158" customFormat="false" ht="15" hidden="false" customHeight="false" outlineLevel="0" collapsed="false">
      <c r="A158" s="27"/>
      <c r="B158" s="24"/>
      <c r="C158" s="24"/>
      <c r="D158" s="24"/>
      <c r="E158" s="28"/>
      <c r="F158" s="30" t="str">
        <f aca="false">IF($A158="","",$A158-WEEKDAY($A158,3))</f>
        <v/>
      </c>
      <c r="G158" s="29" t="str">
        <f aca="false">IF($A158="","",IF($F158=AsOf-WEEKDAY(AsOf,3),"Yes",""))</f>
        <v/>
      </c>
      <c r="H158" s="29" t="str">
        <f aca="false">IF($G158="Yes",$A158+ROW()/100000,"")</f>
        <v/>
      </c>
    </row>
    <row r="159" customFormat="false" ht="15" hidden="false" customHeight="false" outlineLevel="0" collapsed="false">
      <c r="A159" s="27"/>
      <c r="B159" s="24"/>
      <c r="C159" s="24"/>
      <c r="D159" s="24"/>
      <c r="E159" s="28"/>
      <c r="F159" s="30" t="str">
        <f aca="false">IF($A159="","",$A159-WEEKDAY($A159,3))</f>
        <v/>
      </c>
      <c r="G159" s="29" t="str">
        <f aca="false">IF($A159="","",IF($F159=AsOf-WEEKDAY(AsOf,3),"Yes",""))</f>
        <v/>
      </c>
      <c r="H159" s="29" t="str">
        <f aca="false">IF($G159="Yes",$A159+ROW()/100000,"")</f>
        <v/>
      </c>
    </row>
    <row r="160" customFormat="false" ht="15" hidden="false" customHeight="false" outlineLevel="0" collapsed="false">
      <c r="A160" s="27"/>
      <c r="B160" s="24"/>
      <c r="C160" s="24"/>
      <c r="D160" s="24"/>
      <c r="E160" s="28"/>
      <c r="F160" s="30" t="str">
        <f aca="false">IF($A160="","",$A160-WEEKDAY($A160,3))</f>
        <v/>
      </c>
      <c r="G160" s="29" t="str">
        <f aca="false">IF($A160="","",IF($F160=AsOf-WEEKDAY(AsOf,3),"Yes",""))</f>
        <v/>
      </c>
      <c r="H160" s="29" t="str">
        <f aca="false">IF($G160="Yes",$A160+ROW()/100000,"")</f>
        <v/>
      </c>
    </row>
    <row r="161" customFormat="false" ht="15" hidden="false" customHeight="false" outlineLevel="0" collapsed="false">
      <c r="A161" s="27"/>
      <c r="B161" s="24"/>
      <c r="C161" s="24"/>
      <c r="D161" s="24"/>
      <c r="E161" s="28"/>
      <c r="F161" s="30" t="str">
        <f aca="false">IF($A161="","",$A161-WEEKDAY($A161,3))</f>
        <v/>
      </c>
      <c r="G161" s="29" t="str">
        <f aca="false">IF($A161="","",IF($F161=AsOf-WEEKDAY(AsOf,3),"Yes",""))</f>
        <v/>
      </c>
      <c r="H161" s="29" t="str">
        <f aca="false">IF($G161="Yes",$A161+ROW()/100000,"")</f>
        <v/>
      </c>
    </row>
    <row r="162" customFormat="false" ht="15" hidden="false" customHeight="false" outlineLevel="0" collapsed="false">
      <c r="A162" s="27"/>
      <c r="B162" s="24"/>
      <c r="C162" s="24"/>
      <c r="D162" s="24"/>
      <c r="E162" s="28"/>
      <c r="F162" s="30" t="str">
        <f aca="false">IF($A162="","",$A162-WEEKDAY($A162,3))</f>
        <v/>
      </c>
      <c r="G162" s="29" t="str">
        <f aca="false">IF($A162="","",IF($F162=AsOf-WEEKDAY(AsOf,3),"Yes",""))</f>
        <v/>
      </c>
      <c r="H162" s="29" t="str">
        <f aca="false">IF($G162="Yes",$A162+ROW()/100000,"")</f>
        <v/>
      </c>
    </row>
    <row r="163" customFormat="false" ht="15" hidden="false" customHeight="false" outlineLevel="0" collapsed="false">
      <c r="A163" s="27"/>
      <c r="B163" s="24"/>
      <c r="C163" s="24"/>
      <c r="D163" s="24"/>
      <c r="E163" s="28"/>
      <c r="F163" s="30" t="str">
        <f aca="false">IF($A163="","",$A163-WEEKDAY($A163,3))</f>
        <v/>
      </c>
      <c r="G163" s="29" t="str">
        <f aca="false">IF($A163="","",IF($F163=AsOf-WEEKDAY(AsOf,3),"Yes",""))</f>
        <v/>
      </c>
      <c r="H163" s="29" t="str">
        <f aca="false">IF($G163="Yes",$A163+ROW()/100000,"")</f>
        <v/>
      </c>
    </row>
    <row r="164" customFormat="false" ht="15" hidden="false" customHeight="false" outlineLevel="0" collapsed="false">
      <c r="A164" s="27"/>
      <c r="B164" s="24"/>
      <c r="C164" s="24"/>
      <c r="D164" s="24"/>
      <c r="E164" s="28"/>
      <c r="F164" s="30" t="str">
        <f aca="false">IF($A164="","",$A164-WEEKDAY($A164,3))</f>
        <v/>
      </c>
      <c r="G164" s="29" t="str">
        <f aca="false">IF($A164="","",IF($F164=AsOf-WEEKDAY(AsOf,3),"Yes",""))</f>
        <v/>
      </c>
      <c r="H164" s="29" t="str">
        <f aca="false">IF($G164="Yes",$A164+ROW()/100000,"")</f>
        <v/>
      </c>
    </row>
    <row r="165" customFormat="false" ht="15" hidden="false" customHeight="false" outlineLevel="0" collapsed="false">
      <c r="A165" s="27"/>
      <c r="B165" s="24"/>
      <c r="C165" s="24"/>
      <c r="D165" s="24"/>
      <c r="E165" s="28"/>
      <c r="F165" s="30" t="str">
        <f aca="false">IF($A165="","",$A165-WEEKDAY($A165,3))</f>
        <v/>
      </c>
      <c r="G165" s="29" t="str">
        <f aca="false">IF($A165="","",IF($F165=AsOf-WEEKDAY(AsOf,3),"Yes",""))</f>
        <v/>
      </c>
      <c r="H165" s="29" t="str">
        <f aca="false">IF($G165="Yes",$A165+ROW()/100000,"")</f>
        <v/>
      </c>
    </row>
    <row r="166" customFormat="false" ht="15" hidden="false" customHeight="false" outlineLevel="0" collapsed="false">
      <c r="A166" s="27"/>
      <c r="B166" s="24"/>
      <c r="C166" s="24"/>
      <c r="D166" s="24"/>
      <c r="E166" s="28"/>
      <c r="F166" s="30" t="str">
        <f aca="false">IF($A166="","",$A166-WEEKDAY($A166,3))</f>
        <v/>
      </c>
      <c r="G166" s="29" t="str">
        <f aca="false">IF($A166="","",IF($F166=AsOf-WEEKDAY(AsOf,3),"Yes",""))</f>
        <v/>
      </c>
      <c r="H166" s="29" t="str">
        <f aca="false">IF($G166="Yes",$A166+ROW()/100000,"")</f>
        <v/>
      </c>
    </row>
    <row r="167" customFormat="false" ht="15" hidden="false" customHeight="false" outlineLevel="0" collapsed="false">
      <c r="A167" s="27"/>
      <c r="B167" s="24"/>
      <c r="C167" s="24"/>
      <c r="D167" s="24"/>
      <c r="E167" s="28"/>
      <c r="F167" s="30" t="str">
        <f aca="false">IF($A167="","",$A167-WEEKDAY($A167,3))</f>
        <v/>
      </c>
      <c r="G167" s="29" t="str">
        <f aca="false">IF($A167="","",IF($F167=AsOf-WEEKDAY(AsOf,3),"Yes",""))</f>
        <v/>
      </c>
      <c r="H167" s="29" t="str">
        <f aca="false">IF($G167="Yes",$A167+ROW()/100000,"")</f>
        <v/>
      </c>
    </row>
    <row r="168" customFormat="false" ht="15" hidden="false" customHeight="false" outlineLevel="0" collapsed="false">
      <c r="A168" s="27"/>
      <c r="B168" s="24"/>
      <c r="C168" s="24"/>
      <c r="D168" s="24"/>
      <c r="E168" s="28"/>
      <c r="F168" s="30" t="str">
        <f aca="false">IF($A168="","",$A168-WEEKDAY($A168,3))</f>
        <v/>
      </c>
      <c r="G168" s="29" t="str">
        <f aca="false">IF($A168="","",IF($F168=AsOf-WEEKDAY(AsOf,3),"Yes",""))</f>
        <v/>
      </c>
      <c r="H168" s="29" t="str">
        <f aca="false">IF($G168="Yes",$A168+ROW()/100000,"")</f>
        <v/>
      </c>
    </row>
    <row r="169" customFormat="false" ht="15" hidden="false" customHeight="false" outlineLevel="0" collapsed="false">
      <c r="A169" s="27"/>
      <c r="B169" s="24"/>
      <c r="C169" s="24"/>
      <c r="D169" s="24"/>
      <c r="E169" s="28"/>
      <c r="F169" s="30" t="str">
        <f aca="false">IF($A169="","",$A169-WEEKDAY($A169,3))</f>
        <v/>
      </c>
      <c r="G169" s="29" t="str">
        <f aca="false">IF($A169="","",IF($F169=AsOf-WEEKDAY(AsOf,3),"Yes",""))</f>
        <v/>
      </c>
      <c r="H169" s="29" t="str">
        <f aca="false">IF($G169="Yes",$A169+ROW()/100000,"")</f>
        <v/>
      </c>
    </row>
    <row r="170" customFormat="false" ht="15" hidden="false" customHeight="false" outlineLevel="0" collapsed="false">
      <c r="A170" s="27"/>
      <c r="B170" s="24"/>
      <c r="C170" s="24"/>
      <c r="D170" s="24"/>
      <c r="E170" s="28"/>
      <c r="F170" s="30" t="str">
        <f aca="false">IF($A170="","",$A170-WEEKDAY($A170,3))</f>
        <v/>
      </c>
      <c r="G170" s="29" t="str">
        <f aca="false">IF($A170="","",IF($F170=AsOf-WEEKDAY(AsOf,3),"Yes",""))</f>
        <v/>
      </c>
      <c r="H170" s="29" t="str">
        <f aca="false">IF($G170="Yes",$A170+ROW()/100000,"")</f>
        <v/>
      </c>
    </row>
    <row r="171" customFormat="false" ht="15" hidden="false" customHeight="false" outlineLevel="0" collapsed="false">
      <c r="A171" s="27"/>
      <c r="B171" s="24"/>
      <c r="C171" s="24"/>
      <c r="D171" s="24"/>
      <c r="E171" s="28"/>
      <c r="F171" s="30" t="str">
        <f aca="false">IF($A171="","",$A171-WEEKDAY($A171,3))</f>
        <v/>
      </c>
      <c r="G171" s="29" t="str">
        <f aca="false">IF($A171="","",IF($F171=AsOf-WEEKDAY(AsOf,3),"Yes",""))</f>
        <v/>
      </c>
      <c r="H171" s="29" t="str">
        <f aca="false">IF($G171="Yes",$A171+ROW()/100000,"")</f>
        <v/>
      </c>
    </row>
    <row r="172" customFormat="false" ht="15" hidden="false" customHeight="false" outlineLevel="0" collapsed="false">
      <c r="A172" s="27"/>
      <c r="B172" s="24"/>
      <c r="C172" s="24"/>
      <c r="D172" s="24"/>
      <c r="E172" s="28"/>
      <c r="F172" s="30" t="str">
        <f aca="false">IF($A172="","",$A172-WEEKDAY($A172,3))</f>
        <v/>
      </c>
      <c r="G172" s="29" t="str">
        <f aca="false">IF($A172="","",IF($F172=AsOf-WEEKDAY(AsOf,3),"Yes",""))</f>
        <v/>
      </c>
      <c r="H172" s="29" t="str">
        <f aca="false">IF($G172="Yes",$A172+ROW()/100000,"")</f>
        <v/>
      </c>
    </row>
    <row r="173" customFormat="false" ht="15" hidden="false" customHeight="false" outlineLevel="0" collapsed="false">
      <c r="A173" s="27"/>
      <c r="B173" s="24"/>
      <c r="C173" s="24"/>
      <c r="D173" s="24"/>
      <c r="E173" s="28"/>
      <c r="F173" s="30" t="str">
        <f aca="false">IF($A173="","",$A173-WEEKDAY($A173,3))</f>
        <v/>
      </c>
      <c r="G173" s="29" t="str">
        <f aca="false">IF($A173="","",IF($F173=AsOf-WEEKDAY(AsOf,3),"Yes",""))</f>
        <v/>
      </c>
      <c r="H173" s="29" t="str">
        <f aca="false">IF($G173="Yes",$A173+ROW()/100000,"")</f>
        <v/>
      </c>
    </row>
    <row r="174" customFormat="false" ht="15" hidden="false" customHeight="false" outlineLevel="0" collapsed="false">
      <c r="A174" s="27"/>
      <c r="B174" s="24"/>
      <c r="C174" s="24"/>
      <c r="D174" s="24"/>
      <c r="E174" s="28"/>
      <c r="F174" s="30" t="str">
        <f aca="false">IF($A174="","",$A174-WEEKDAY($A174,3))</f>
        <v/>
      </c>
      <c r="G174" s="29" t="str">
        <f aca="false">IF($A174="","",IF($F174=AsOf-WEEKDAY(AsOf,3),"Yes",""))</f>
        <v/>
      </c>
      <c r="H174" s="29" t="str">
        <f aca="false">IF($G174="Yes",$A174+ROW()/100000,"")</f>
        <v/>
      </c>
    </row>
    <row r="175" customFormat="false" ht="15" hidden="false" customHeight="false" outlineLevel="0" collapsed="false">
      <c r="A175" s="27"/>
      <c r="B175" s="24"/>
      <c r="C175" s="24"/>
      <c r="D175" s="24"/>
      <c r="E175" s="28"/>
      <c r="F175" s="30" t="str">
        <f aca="false">IF($A175="","",$A175-WEEKDAY($A175,3))</f>
        <v/>
      </c>
      <c r="G175" s="29" t="str">
        <f aca="false">IF($A175="","",IF($F175=AsOf-WEEKDAY(AsOf,3),"Yes",""))</f>
        <v/>
      </c>
      <c r="H175" s="29" t="str">
        <f aca="false">IF($G175="Yes",$A175+ROW()/100000,"")</f>
        <v/>
      </c>
    </row>
    <row r="176" customFormat="false" ht="15" hidden="false" customHeight="false" outlineLevel="0" collapsed="false">
      <c r="A176" s="27"/>
      <c r="B176" s="24"/>
      <c r="C176" s="24"/>
      <c r="D176" s="24"/>
      <c r="E176" s="28"/>
      <c r="F176" s="30" t="str">
        <f aca="false">IF($A176="","",$A176-WEEKDAY($A176,3))</f>
        <v/>
      </c>
      <c r="G176" s="29" t="str">
        <f aca="false">IF($A176="","",IF($F176=AsOf-WEEKDAY(AsOf,3),"Yes",""))</f>
        <v/>
      </c>
      <c r="H176" s="29" t="str">
        <f aca="false">IF($G176="Yes",$A176+ROW()/100000,"")</f>
        <v/>
      </c>
    </row>
    <row r="177" customFormat="false" ht="15" hidden="false" customHeight="false" outlineLevel="0" collapsed="false">
      <c r="A177" s="27"/>
      <c r="B177" s="24"/>
      <c r="C177" s="24"/>
      <c r="D177" s="24"/>
      <c r="E177" s="28"/>
      <c r="F177" s="30" t="str">
        <f aca="false">IF($A177="","",$A177-WEEKDAY($A177,3))</f>
        <v/>
      </c>
      <c r="G177" s="29" t="str">
        <f aca="false">IF($A177="","",IF($F177=AsOf-WEEKDAY(AsOf,3),"Yes",""))</f>
        <v/>
      </c>
      <c r="H177" s="29" t="str">
        <f aca="false">IF($G177="Yes",$A177+ROW()/100000,"")</f>
        <v/>
      </c>
    </row>
    <row r="178" customFormat="false" ht="15" hidden="false" customHeight="false" outlineLevel="0" collapsed="false">
      <c r="A178" s="27"/>
      <c r="B178" s="24"/>
      <c r="C178" s="24"/>
      <c r="D178" s="24"/>
      <c r="E178" s="28"/>
      <c r="F178" s="30" t="str">
        <f aca="false">IF($A178="","",$A178-WEEKDAY($A178,3))</f>
        <v/>
      </c>
      <c r="G178" s="29" t="str">
        <f aca="false">IF($A178="","",IF($F178=AsOf-WEEKDAY(AsOf,3),"Yes",""))</f>
        <v/>
      </c>
      <c r="H178" s="29" t="str">
        <f aca="false">IF($G178="Yes",$A178+ROW()/100000,"")</f>
        <v/>
      </c>
    </row>
    <row r="179" customFormat="false" ht="15" hidden="false" customHeight="false" outlineLevel="0" collapsed="false">
      <c r="A179" s="27"/>
      <c r="B179" s="24"/>
      <c r="C179" s="24"/>
      <c r="D179" s="24"/>
      <c r="E179" s="28"/>
      <c r="F179" s="30" t="str">
        <f aca="false">IF($A179="","",$A179-WEEKDAY($A179,3))</f>
        <v/>
      </c>
      <c r="G179" s="29" t="str">
        <f aca="false">IF($A179="","",IF($F179=AsOf-WEEKDAY(AsOf,3),"Yes",""))</f>
        <v/>
      </c>
      <c r="H179" s="29" t="str">
        <f aca="false">IF($G179="Yes",$A179+ROW()/100000,"")</f>
        <v/>
      </c>
    </row>
    <row r="180" customFormat="false" ht="15" hidden="false" customHeight="false" outlineLevel="0" collapsed="false">
      <c r="A180" s="27"/>
      <c r="B180" s="24"/>
      <c r="C180" s="24"/>
      <c r="D180" s="24"/>
      <c r="E180" s="28"/>
      <c r="F180" s="30" t="str">
        <f aca="false">IF($A180="","",$A180-WEEKDAY($A180,3))</f>
        <v/>
      </c>
      <c r="G180" s="29" t="str">
        <f aca="false">IF($A180="","",IF($F180=AsOf-WEEKDAY(AsOf,3),"Yes",""))</f>
        <v/>
      </c>
      <c r="H180" s="29" t="str">
        <f aca="false">IF($G180="Yes",$A180+ROW()/100000,"")</f>
        <v/>
      </c>
    </row>
    <row r="181" customFormat="false" ht="15" hidden="false" customHeight="false" outlineLevel="0" collapsed="false">
      <c r="A181" s="27"/>
      <c r="B181" s="24"/>
      <c r="C181" s="24"/>
      <c r="D181" s="24"/>
      <c r="E181" s="28"/>
      <c r="F181" s="30" t="str">
        <f aca="false">IF($A181="","",$A181-WEEKDAY($A181,3))</f>
        <v/>
      </c>
      <c r="G181" s="29" t="str">
        <f aca="false">IF($A181="","",IF($F181=AsOf-WEEKDAY(AsOf,3),"Yes",""))</f>
        <v/>
      </c>
      <c r="H181" s="29" t="str">
        <f aca="false">IF($G181="Yes",$A181+ROW()/100000,"")</f>
        <v/>
      </c>
    </row>
    <row r="182" customFormat="false" ht="15" hidden="false" customHeight="false" outlineLevel="0" collapsed="false">
      <c r="A182" s="27"/>
      <c r="B182" s="24"/>
      <c r="C182" s="24"/>
      <c r="D182" s="24"/>
      <c r="E182" s="28"/>
      <c r="F182" s="30" t="str">
        <f aca="false">IF($A182="","",$A182-WEEKDAY($A182,3))</f>
        <v/>
      </c>
      <c r="G182" s="29" t="str">
        <f aca="false">IF($A182="","",IF($F182=AsOf-WEEKDAY(AsOf,3),"Yes",""))</f>
        <v/>
      </c>
      <c r="H182" s="29" t="str">
        <f aca="false">IF($G182="Yes",$A182+ROW()/100000,"")</f>
        <v/>
      </c>
    </row>
    <row r="183" customFormat="false" ht="15" hidden="false" customHeight="false" outlineLevel="0" collapsed="false">
      <c r="A183" s="27"/>
      <c r="B183" s="24"/>
      <c r="C183" s="24"/>
      <c r="D183" s="24"/>
      <c r="E183" s="28"/>
      <c r="F183" s="30" t="str">
        <f aca="false">IF($A183="","",$A183-WEEKDAY($A183,3))</f>
        <v/>
      </c>
      <c r="G183" s="29" t="str">
        <f aca="false">IF($A183="","",IF($F183=AsOf-WEEKDAY(AsOf,3),"Yes",""))</f>
        <v/>
      </c>
      <c r="H183" s="29" t="str">
        <f aca="false">IF($G183="Yes",$A183+ROW()/100000,"")</f>
        <v/>
      </c>
    </row>
    <row r="184" customFormat="false" ht="15" hidden="false" customHeight="false" outlineLevel="0" collapsed="false">
      <c r="A184" s="27"/>
      <c r="B184" s="24"/>
      <c r="C184" s="24"/>
      <c r="D184" s="24"/>
      <c r="E184" s="28"/>
      <c r="F184" s="30" t="str">
        <f aca="false">IF($A184="","",$A184-WEEKDAY($A184,3))</f>
        <v/>
      </c>
      <c r="G184" s="29" t="str">
        <f aca="false">IF($A184="","",IF($F184=AsOf-WEEKDAY(AsOf,3),"Yes",""))</f>
        <v/>
      </c>
      <c r="H184" s="29" t="str">
        <f aca="false">IF($G184="Yes",$A184+ROW()/100000,"")</f>
        <v/>
      </c>
    </row>
    <row r="185" customFormat="false" ht="15" hidden="false" customHeight="false" outlineLevel="0" collapsed="false">
      <c r="A185" s="27"/>
      <c r="B185" s="24"/>
      <c r="C185" s="24"/>
      <c r="D185" s="24"/>
      <c r="E185" s="28"/>
      <c r="F185" s="30" t="str">
        <f aca="false">IF($A185="","",$A185-WEEKDAY($A185,3))</f>
        <v/>
      </c>
      <c r="G185" s="29" t="str">
        <f aca="false">IF($A185="","",IF($F185=AsOf-WEEKDAY(AsOf,3),"Yes",""))</f>
        <v/>
      </c>
      <c r="H185" s="29" t="str">
        <f aca="false">IF($G185="Yes",$A185+ROW()/100000,"")</f>
        <v/>
      </c>
    </row>
    <row r="186" customFormat="false" ht="15" hidden="false" customHeight="false" outlineLevel="0" collapsed="false">
      <c r="A186" s="27"/>
      <c r="B186" s="24"/>
      <c r="C186" s="24"/>
      <c r="D186" s="24"/>
      <c r="E186" s="28"/>
      <c r="F186" s="30" t="str">
        <f aca="false">IF($A186="","",$A186-WEEKDAY($A186,3))</f>
        <v/>
      </c>
      <c r="G186" s="29" t="str">
        <f aca="false">IF($A186="","",IF($F186=AsOf-WEEKDAY(AsOf,3),"Yes",""))</f>
        <v/>
      </c>
      <c r="H186" s="29" t="str">
        <f aca="false">IF($G186="Yes",$A186+ROW()/100000,"")</f>
        <v/>
      </c>
    </row>
    <row r="187" customFormat="false" ht="15" hidden="false" customHeight="false" outlineLevel="0" collapsed="false">
      <c r="A187" s="27"/>
      <c r="B187" s="24"/>
      <c r="C187" s="24"/>
      <c r="D187" s="24"/>
      <c r="E187" s="28"/>
      <c r="F187" s="30" t="str">
        <f aca="false">IF($A187="","",$A187-WEEKDAY($A187,3))</f>
        <v/>
      </c>
      <c r="G187" s="29" t="str">
        <f aca="false">IF($A187="","",IF($F187=AsOf-WEEKDAY(AsOf,3),"Yes",""))</f>
        <v/>
      </c>
      <c r="H187" s="29" t="str">
        <f aca="false">IF($G187="Yes",$A187+ROW()/100000,"")</f>
        <v/>
      </c>
    </row>
    <row r="188" customFormat="false" ht="15" hidden="false" customHeight="false" outlineLevel="0" collapsed="false">
      <c r="A188" s="27"/>
      <c r="B188" s="24"/>
      <c r="C188" s="24"/>
      <c r="D188" s="24"/>
      <c r="E188" s="28"/>
      <c r="F188" s="30" t="str">
        <f aca="false">IF($A188="","",$A188-WEEKDAY($A188,3))</f>
        <v/>
      </c>
      <c r="G188" s="29" t="str">
        <f aca="false">IF($A188="","",IF($F188=AsOf-WEEKDAY(AsOf,3),"Yes",""))</f>
        <v/>
      </c>
      <c r="H188" s="29" t="str">
        <f aca="false">IF($G188="Yes",$A188+ROW()/100000,"")</f>
        <v/>
      </c>
    </row>
    <row r="189" customFormat="false" ht="15" hidden="false" customHeight="false" outlineLevel="0" collapsed="false">
      <c r="A189" s="27"/>
      <c r="B189" s="24"/>
      <c r="C189" s="24"/>
      <c r="D189" s="24"/>
      <c r="E189" s="28"/>
      <c r="F189" s="30" t="str">
        <f aca="false">IF($A189="","",$A189-WEEKDAY($A189,3))</f>
        <v/>
      </c>
      <c r="G189" s="29" t="str">
        <f aca="false">IF($A189="","",IF($F189=AsOf-WEEKDAY(AsOf,3),"Yes",""))</f>
        <v/>
      </c>
      <c r="H189" s="29" t="str">
        <f aca="false">IF($G189="Yes",$A189+ROW()/100000,"")</f>
        <v/>
      </c>
    </row>
    <row r="190" customFormat="false" ht="15" hidden="false" customHeight="false" outlineLevel="0" collapsed="false">
      <c r="A190" s="27"/>
      <c r="B190" s="24"/>
      <c r="C190" s="24"/>
      <c r="D190" s="24"/>
      <c r="E190" s="28"/>
      <c r="F190" s="30" t="str">
        <f aca="false">IF($A190="","",$A190-WEEKDAY($A190,3))</f>
        <v/>
      </c>
      <c r="G190" s="29" t="str">
        <f aca="false">IF($A190="","",IF($F190=AsOf-WEEKDAY(AsOf,3),"Yes",""))</f>
        <v/>
      </c>
      <c r="H190" s="29" t="str">
        <f aca="false">IF($G190="Yes",$A190+ROW()/100000,"")</f>
        <v/>
      </c>
    </row>
    <row r="191" customFormat="false" ht="15" hidden="false" customHeight="false" outlineLevel="0" collapsed="false">
      <c r="A191" s="27"/>
      <c r="B191" s="24"/>
      <c r="C191" s="24"/>
      <c r="D191" s="24"/>
      <c r="E191" s="28"/>
      <c r="F191" s="30" t="str">
        <f aca="false">IF($A191="","",$A191-WEEKDAY($A191,3))</f>
        <v/>
      </c>
      <c r="G191" s="29" t="str">
        <f aca="false">IF($A191="","",IF($F191=AsOf-WEEKDAY(AsOf,3),"Yes",""))</f>
        <v/>
      </c>
      <c r="H191" s="29" t="str">
        <f aca="false">IF($G191="Yes",$A191+ROW()/100000,"")</f>
        <v/>
      </c>
    </row>
    <row r="192" customFormat="false" ht="15" hidden="false" customHeight="false" outlineLevel="0" collapsed="false">
      <c r="A192" s="27"/>
      <c r="B192" s="24"/>
      <c r="C192" s="24"/>
      <c r="D192" s="24"/>
      <c r="E192" s="28"/>
      <c r="F192" s="30" t="str">
        <f aca="false">IF($A192="","",$A192-WEEKDAY($A192,3))</f>
        <v/>
      </c>
      <c r="G192" s="29" t="str">
        <f aca="false">IF($A192="","",IF($F192=AsOf-WEEKDAY(AsOf,3),"Yes",""))</f>
        <v/>
      </c>
      <c r="H192" s="29" t="str">
        <f aca="false">IF($G192="Yes",$A192+ROW()/100000,"")</f>
        <v/>
      </c>
    </row>
    <row r="193" customFormat="false" ht="15" hidden="false" customHeight="false" outlineLevel="0" collapsed="false">
      <c r="A193" s="27"/>
      <c r="B193" s="24"/>
      <c r="C193" s="24"/>
      <c r="D193" s="24"/>
      <c r="E193" s="28"/>
      <c r="F193" s="30" t="str">
        <f aca="false">IF($A193="","",$A193-WEEKDAY($A193,3))</f>
        <v/>
      </c>
      <c r="G193" s="29" t="str">
        <f aca="false">IF($A193="","",IF($F193=AsOf-WEEKDAY(AsOf,3),"Yes",""))</f>
        <v/>
      </c>
      <c r="H193" s="29" t="str">
        <f aca="false">IF($G193="Yes",$A193+ROW()/100000,"")</f>
        <v/>
      </c>
    </row>
    <row r="194" customFormat="false" ht="15" hidden="false" customHeight="false" outlineLevel="0" collapsed="false">
      <c r="A194" s="27"/>
      <c r="B194" s="24"/>
      <c r="C194" s="24"/>
      <c r="D194" s="24"/>
      <c r="E194" s="28"/>
      <c r="F194" s="30" t="str">
        <f aca="false">IF($A194="","",$A194-WEEKDAY($A194,3))</f>
        <v/>
      </c>
      <c r="G194" s="29" t="str">
        <f aca="false">IF($A194="","",IF($F194=AsOf-WEEKDAY(AsOf,3),"Yes",""))</f>
        <v/>
      </c>
      <c r="H194" s="29" t="str">
        <f aca="false">IF($G194="Yes",$A194+ROW()/100000,"")</f>
        <v/>
      </c>
    </row>
    <row r="195" customFormat="false" ht="15" hidden="false" customHeight="false" outlineLevel="0" collapsed="false">
      <c r="A195" s="27"/>
      <c r="B195" s="24"/>
      <c r="C195" s="24"/>
      <c r="D195" s="24"/>
      <c r="E195" s="28"/>
      <c r="F195" s="30" t="str">
        <f aca="false">IF($A195="","",$A195-WEEKDAY($A195,3))</f>
        <v/>
      </c>
      <c r="G195" s="29" t="str">
        <f aca="false">IF($A195="","",IF($F195=AsOf-WEEKDAY(AsOf,3),"Yes",""))</f>
        <v/>
      </c>
      <c r="H195" s="29" t="str">
        <f aca="false">IF($G195="Yes",$A195+ROW()/100000,"")</f>
        <v/>
      </c>
    </row>
    <row r="196" customFormat="false" ht="15" hidden="false" customHeight="false" outlineLevel="0" collapsed="false">
      <c r="A196" s="27"/>
      <c r="B196" s="24"/>
      <c r="C196" s="24"/>
      <c r="D196" s="24"/>
      <c r="E196" s="28"/>
      <c r="F196" s="30" t="str">
        <f aca="false">IF($A196="","",$A196-WEEKDAY($A196,3))</f>
        <v/>
      </c>
      <c r="G196" s="29" t="str">
        <f aca="false">IF($A196="","",IF($F196=AsOf-WEEKDAY(AsOf,3),"Yes",""))</f>
        <v/>
      </c>
      <c r="H196" s="29" t="str">
        <f aca="false">IF($G196="Yes",$A196+ROW()/100000,"")</f>
        <v/>
      </c>
    </row>
    <row r="197" customFormat="false" ht="15" hidden="false" customHeight="false" outlineLevel="0" collapsed="false">
      <c r="A197" s="27"/>
      <c r="B197" s="24"/>
      <c r="C197" s="24"/>
      <c r="D197" s="24"/>
      <c r="E197" s="28"/>
      <c r="F197" s="30" t="str">
        <f aca="false">IF($A197="","",$A197-WEEKDAY($A197,3))</f>
        <v/>
      </c>
      <c r="G197" s="29" t="str">
        <f aca="false">IF($A197="","",IF($F197=AsOf-WEEKDAY(AsOf,3),"Yes",""))</f>
        <v/>
      </c>
      <c r="H197" s="29" t="str">
        <f aca="false">IF($G197="Yes",$A197+ROW()/100000,"")</f>
        <v/>
      </c>
    </row>
    <row r="198" customFormat="false" ht="15" hidden="false" customHeight="false" outlineLevel="0" collapsed="false">
      <c r="A198" s="27"/>
      <c r="B198" s="24"/>
      <c r="C198" s="24"/>
      <c r="D198" s="24"/>
      <c r="E198" s="28"/>
      <c r="F198" s="30" t="str">
        <f aca="false">IF($A198="","",$A198-WEEKDAY($A198,3))</f>
        <v/>
      </c>
      <c r="G198" s="29" t="str">
        <f aca="false">IF($A198="","",IF($F198=AsOf-WEEKDAY(AsOf,3),"Yes",""))</f>
        <v/>
      </c>
      <c r="H198" s="29" t="str">
        <f aca="false">IF($G198="Yes",$A198+ROW()/100000,"")</f>
        <v/>
      </c>
    </row>
    <row r="199" customFormat="false" ht="15" hidden="false" customHeight="false" outlineLevel="0" collapsed="false">
      <c r="A199" s="27"/>
      <c r="B199" s="24"/>
      <c r="C199" s="24"/>
      <c r="D199" s="24"/>
      <c r="E199" s="28"/>
      <c r="F199" s="30" t="str">
        <f aca="false">IF($A199="","",$A199-WEEKDAY($A199,3))</f>
        <v/>
      </c>
      <c r="G199" s="29" t="str">
        <f aca="false">IF($A199="","",IF($F199=AsOf-WEEKDAY(AsOf,3),"Yes",""))</f>
        <v/>
      </c>
      <c r="H199" s="29" t="str">
        <f aca="false">IF($G199="Yes",$A199+ROW()/100000,"")</f>
        <v/>
      </c>
    </row>
    <row r="200" customFormat="false" ht="15" hidden="false" customHeight="false" outlineLevel="0" collapsed="false">
      <c r="A200" s="27"/>
      <c r="B200" s="24"/>
      <c r="C200" s="24"/>
      <c r="D200" s="24"/>
      <c r="E200" s="28"/>
      <c r="F200" s="30" t="str">
        <f aca="false">IF($A200="","",$A200-WEEKDAY($A200,3))</f>
        <v/>
      </c>
      <c r="G200" s="29" t="str">
        <f aca="false">IF($A200="","",IF($F200=AsOf-WEEKDAY(AsOf,3),"Yes",""))</f>
        <v/>
      </c>
      <c r="H200" s="29" t="str">
        <f aca="false">IF($G200="Yes",$A200+ROW()/100000,"")</f>
        <v/>
      </c>
    </row>
    <row r="201" customFormat="false" ht="15" hidden="false" customHeight="false" outlineLevel="0" collapsed="false">
      <c r="A201" s="27"/>
      <c r="B201" s="24"/>
      <c r="C201" s="24"/>
      <c r="D201" s="24"/>
      <c r="E201" s="28"/>
      <c r="F201" s="30" t="str">
        <f aca="false">IF($A201="","",$A201-WEEKDAY($A201,3))</f>
        <v/>
      </c>
      <c r="G201" s="29" t="str">
        <f aca="false">IF($A201="","",IF($F201=AsOf-WEEKDAY(AsOf,3),"Yes",""))</f>
        <v/>
      </c>
      <c r="H201" s="29" t="str">
        <f aca="false">IF($G201="Yes",$A201+ROW()/100000,"")</f>
        <v/>
      </c>
    </row>
    <row r="202" customFormat="false" ht="15" hidden="false" customHeight="false" outlineLevel="0" collapsed="false">
      <c r="A202" s="27"/>
      <c r="B202" s="24"/>
      <c r="C202" s="24"/>
      <c r="D202" s="24"/>
      <c r="E202" s="28"/>
      <c r="F202" s="30" t="str">
        <f aca="false">IF($A202="","",$A202-WEEKDAY($A202,3))</f>
        <v/>
      </c>
      <c r="G202" s="29" t="str">
        <f aca="false">IF($A202="","",IF($F202=AsOf-WEEKDAY(AsOf,3),"Yes",""))</f>
        <v/>
      </c>
      <c r="H202" s="29" t="str">
        <f aca="false">IF($G202="Yes",$A202+ROW()/100000,"")</f>
        <v/>
      </c>
    </row>
    <row r="203" customFormat="false" ht="15" hidden="false" customHeight="false" outlineLevel="0" collapsed="false">
      <c r="A203" s="27"/>
      <c r="B203" s="24"/>
      <c r="C203" s="24"/>
      <c r="D203" s="24"/>
      <c r="E203" s="28"/>
      <c r="F203" s="30" t="str">
        <f aca="false">IF($A203="","",$A203-WEEKDAY($A203,3))</f>
        <v/>
      </c>
      <c r="G203" s="29" t="str">
        <f aca="false">IF($A203="","",IF($F203=AsOf-WEEKDAY(AsOf,3),"Yes",""))</f>
        <v/>
      </c>
      <c r="H203" s="29" t="str">
        <f aca="false">IF($G203="Yes",$A203+ROW()/100000,"")</f>
        <v/>
      </c>
    </row>
    <row r="204" customFormat="false" ht="15" hidden="false" customHeight="false" outlineLevel="0" collapsed="false">
      <c r="A204" s="27"/>
      <c r="B204" s="24"/>
      <c r="C204" s="24"/>
      <c r="D204" s="24"/>
      <c r="E204" s="28"/>
      <c r="F204" s="30" t="str">
        <f aca="false">IF($A204="","",$A204-WEEKDAY($A204,3))</f>
        <v/>
      </c>
      <c r="G204" s="29" t="str">
        <f aca="false">IF($A204="","",IF($F204=AsOf-WEEKDAY(AsOf,3),"Yes",""))</f>
        <v/>
      </c>
      <c r="H204" s="29" t="str">
        <f aca="false">IF($G204="Yes",$A204+ROW()/100000,"")</f>
        <v/>
      </c>
    </row>
    <row r="205" customFormat="false" ht="15" hidden="false" customHeight="false" outlineLevel="0" collapsed="false">
      <c r="A205" s="27"/>
      <c r="B205" s="24"/>
      <c r="C205" s="24"/>
      <c r="D205" s="24"/>
      <c r="E205" s="28"/>
      <c r="F205" s="30" t="str">
        <f aca="false">IF($A205="","",$A205-WEEKDAY($A205,3))</f>
        <v/>
      </c>
      <c r="G205" s="29" t="str">
        <f aca="false">IF($A205="","",IF($F205=AsOf-WEEKDAY(AsOf,3),"Yes",""))</f>
        <v/>
      </c>
      <c r="H205" s="29" t="str">
        <f aca="false">IF($G205="Yes",$A205+ROW()/100000,"")</f>
        <v/>
      </c>
    </row>
    <row r="206" customFormat="false" ht="15" hidden="false" customHeight="false" outlineLevel="0" collapsed="false">
      <c r="A206" s="27"/>
      <c r="B206" s="24"/>
      <c r="C206" s="24"/>
      <c r="D206" s="24"/>
      <c r="E206" s="28"/>
      <c r="F206" s="30" t="str">
        <f aca="false">IF($A206="","",$A206-WEEKDAY($A206,3))</f>
        <v/>
      </c>
      <c r="G206" s="29" t="str">
        <f aca="false">IF($A206="","",IF($F206=AsOf-WEEKDAY(AsOf,3),"Yes",""))</f>
        <v/>
      </c>
      <c r="H206" s="29" t="str">
        <f aca="false">IF($G206="Yes",$A206+ROW()/100000,"")</f>
        <v/>
      </c>
    </row>
    <row r="207" customFormat="false" ht="15" hidden="false" customHeight="false" outlineLevel="0" collapsed="false">
      <c r="A207" s="27"/>
      <c r="B207" s="24"/>
      <c r="C207" s="24"/>
      <c r="D207" s="24"/>
      <c r="E207" s="28"/>
      <c r="F207" s="30" t="str">
        <f aca="false">IF($A207="","",$A207-WEEKDAY($A207,3))</f>
        <v/>
      </c>
      <c r="G207" s="29" t="str">
        <f aca="false">IF($A207="","",IF($F207=AsOf-WEEKDAY(AsOf,3),"Yes",""))</f>
        <v/>
      </c>
      <c r="H207" s="29" t="str">
        <f aca="false">IF($G207="Yes",$A207+ROW()/100000,"")</f>
        <v/>
      </c>
    </row>
    <row r="208" customFormat="false" ht="15" hidden="false" customHeight="false" outlineLevel="0" collapsed="false">
      <c r="A208" s="27"/>
      <c r="B208" s="24"/>
      <c r="C208" s="24"/>
      <c r="D208" s="24"/>
      <c r="E208" s="28"/>
      <c r="F208" s="30" t="str">
        <f aca="false">IF($A208="","",$A208-WEEKDAY($A208,3))</f>
        <v/>
      </c>
      <c r="G208" s="29" t="str">
        <f aca="false">IF($A208="","",IF($F208=AsOf-WEEKDAY(AsOf,3),"Yes",""))</f>
        <v/>
      </c>
      <c r="H208" s="29" t="str">
        <f aca="false">IF($G208="Yes",$A208+ROW()/100000,"")</f>
        <v/>
      </c>
    </row>
    <row r="209" customFormat="false" ht="15" hidden="false" customHeight="false" outlineLevel="0" collapsed="false">
      <c r="A209" s="27"/>
      <c r="B209" s="24"/>
      <c r="C209" s="24"/>
      <c r="D209" s="24"/>
      <c r="E209" s="28"/>
      <c r="F209" s="30" t="str">
        <f aca="false">IF($A209="","",$A209-WEEKDAY($A209,3))</f>
        <v/>
      </c>
      <c r="G209" s="29" t="str">
        <f aca="false">IF($A209="","",IF($F209=AsOf-WEEKDAY(AsOf,3),"Yes",""))</f>
        <v/>
      </c>
      <c r="H209" s="29" t="str">
        <f aca="false">IF($G209="Yes",$A209+ROW()/100000,"")</f>
        <v/>
      </c>
    </row>
    <row r="210" customFormat="false" ht="15" hidden="false" customHeight="false" outlineLevel="0" collapsed="false">
      <c r="A210" s="27"/>
      <c r="B210" s="24"/>
      <c r="C210" s="24"/>
      <c r="D210" s="24"/>
      <c r="E210" s="28"/>
      <c r="F210" s="30" t="str">
        <f aca="false">IF($A210="","",$A210-WEEKDAY($A210,3))</f>
        <v/>
      </c>
      <c r="G210" s="29" t="str">
        <f aca="false">IF($A210="","",IF($F210=AsOf-WEEKDAY(AsOf,3),"Yes",""))</f>
        <v/>
      </c>
      <c r="H210" s="29" t="str">
        <f aca="false">IF($G210="Yes",$A210+ROW()/100000,"")</f>
        <v/>
      </c>
    </row>
    <row r="211" customFormat="false" ht="15" hidden="false" customHeight="false" outlineLevel="0" collapsed="false">
      <c r="A211" s="27"/>
      <c r="B211" s="24"/>
      <c r="C211" s="24"/>
      <c r="D211" s="24"/>
      <c r="E211" s="28"/>
      <c r="F211" s="30" t="str">
        <f aca="false">IF($A211="","",$A211-WEEKDAY($A211,3))</f>
        <v/>
      </c>
      <c r="G211" s="29" t="str">
        <f aca="false">IF($A211="","",IF($F211=AsOf-WEEKDAY(AsOf,3),"Yes",""))</f>
        <v/>
      </c>
      <c r="H211" s="29" t="str">
        <f aca="false">IF($G211="Yes",$A211+ROW()/100000,"")</f>
        <v/>
      </c>
    </row>
    <row r="212" customFormat="false" ht="15" hidden="false" customHeight="false" outlineLevel="0" collapsed="false">
      <c r="A212" s="27"/>
      <c r="B212" s="24"/>
      <c r="C212" s="24"/>
      <c r="D212" s="24"/>
      <c r="E212" s="28"/>
      <c r="F212" s="30" t="str">
        <f aca="false">IF($A212="","",$A212-WEEKDAY($A212,3))</f>
        <v/>
      </c>
      <c r="G212" s="29" t="str">
        <f aca="false">IF($A212="","",IF($F212=AsOf-WEEKDAY(AsOf,3),"Yes",""))</f>
        <v/>
      </c>
      <c r="H212" s="29" t="str">
        <f aca="false">IF($G212="Yes",$A212+ROW()/100000,"")</f>
        <v/>
      </c>
    </row>
    <row r="213" customFormat="false" ht="15" hidden="false" customHeight="false" outlineLevel="0" collapsed="false">
      <c r="A213" s="27"/>
      <c r="B213" s="24"/>
      <c r="C213" s="24"/>
      <c r="D213" s="24"/>
      <c r="E213" s="28"/>
      <c r="F213" s="30" t="str">
        <f aca="false">IF($A213="","",$A213-WEEKDAY($A213,3))</f>
        <v/>
      </c>
      <c r="G213" s="29" t="str">
        <f aca="false">IF($A213="","",IF($F213=AsOf-WEEKDAY(AsOf,3),"Yes",""))</f>
        <v/>
      </c>
      <c r="H213" s="29" t="str">
        <f aca="false">IF($G213="Yes",$A213+ROW()/100000,"")</f>
        <v/>
      </c>
    </row>
    <row r="214" customFormat="false" ht="15" hidden="false" customHeight="false" outlineLevel="0" collapsed="false">
      <c r="A214" s="27"/>
      <c r="B214" s="24"/>
      <c r="C214" s="24"/>
      <c r="D214" s="24"/>
      <c r="E214" s="28"/>
      <c r="F214" s="30" t="str">
        <f aca="false">IF($A214="","",$A214-WEEKDAY($A214,3))</f>
        <v/>
      </c>
      <c r="G214" s="29" t="str">
        <f aca="false">IF($A214="","",IF($F214=AsOf-WEEKDAY(AsOf,3),"Yes",""))</f>
        <v/>
      </c>
      <c r="H214" s="29" t="str">
        <f aca="false">IF($G214="Yes",$A214+ROW()/100000,"")</f>
        <v/>
      </c>
    </row>
    <row r="215" customFormat="false" ht="15" hidden="false" customHeight="false" outlineLevel="0" collapsed="false">
      <c r="A215" s="27"/>
      <c r="B215" s="24"/>
      <c r="C215" s="24"/>
      <c r="D215" s="24"/>
      <c r="E215" s="28"/>
      <c r="F215" s="30" t="str">
        <f aca="false">IF($A215="","",$A215-WEEKDAY($A215,3))</f>
        <v/>
      </c>
      <c r="G215" s="29" t="str">
        <f aca="false">IF($A215="","",IF($F215=AsOf-WEEKDAY(AsOf,3),"Yes",""))</f>
        <v/>
      </c>
      <c r="H215" s="29" t="str">
        <f aca="false">IF($G215="Yes",$A215+ROW()/100000,"")</f>
        <v/>
      </c>
    </row>
    <row r="216" customFormat="false" ht="15" hidden="false" customHeight="false" outlineLevel="0" collapsed="false">
      <c r="A216" s="27"/>
      <c r="B216" s="24"/>
      <c r="C216" s="24"/>
      <c r="D216" s="24"/>
      <c r="E216" s="28"/>
      <c r="F216" s="30" t="str">
        <f aca="false">IF($A216="","",$A216-WEEKDAY($A216,3))</f>
        <v/>
      </c>
      <c r="G216" s="29" t="str">
        <f aca="false">IF($A216="","",IF($F216=AsOf-WEEKDAY(AsOf,3),"Yes",""))</f>
        <v/>
      </c>
      <c r="H216" s="29" t="str">
        <f aca="false">IF($G216="Yes",$A216+ROW()/100000,"")</f>
        <v/>
      </c>
    </row>
    <row r="217" customFormat="false" ht="15" hidden="false" customHeight="false" outlineLevel="0" collapsed="false">
      <c r="A217" s="27"/>
      <c r="B217" s="24"/>
      <c r="C217" s="24"/>
      <c r="D217" s="24"/>
      <c r="E217" s="28"/>
      <c r="F217" s="30" t="str">
        <f aca="false">IF($A217="","",$A217-WEEKDAY($A217,3))</f>
        <v/>
      </c>
      <c r="G217" s="29" t="str">
        <f aca="false">IF($A217="","",IF($F217=AsOf-WEEKDAY(AsOf,3),"Yes",""))</f>
        <v/>
      </c>
      <c r="H217" s="29" t="str">
        <f aca="false">IF($G217="Yes",$A217+ROW()/100000,"")</f>
        <v/>
      </c>
    </row>
    <row r="218" customFormat="false" ht="15" hidden="false" customHeight="false" outlineLevel="0" collapsed="false">
      <c r="A218" s="27"/>
      <c r="B218" s="24"/>
      <c r="C218" s="24"/>
      <c r="D218" s="24"/>
      <c r="E218" s="28"/>
      <c r="F218" s="30" t="str">
        <f aca="false">IF($A218="","",$A218-WEEKDAY($A218,3))</f>
        <v/>
      </c>
      <c r="G218" s="29" t="str">
        <f aca="false">IF($A218="","",IF($F218=AsOf-WEEKDAY(AsOf,3),"Yes",""))</f>
        <v/>
      </c>
      <c r="H218" s="29" t="str">
        <f aca="false">IF($G218="Yes",$A218+ROW()/100000,"")</f>
        <v/>
      </c>
    </row>
    <row r="219" customFormat="false" ht="15" hidden="false" customHeight="false" outlineLevel="0" collapsed="false">
      <c r="A219" s="27"/>
      <c r="B219" s="24"/>
      <c r="C219" s="24"/>
      <c r="D219" s="24"/>
      <c r="E219" s="28"/>
      <c r="F219" s="30" t="str">
        <f aca="false">IF($A219="","",$A219-WEEKDAY($A219,3))</f>
        <v/>
      </c>
      <c r="G219" s="29" t="str">
        <f aca="false">IF($A219="","",IF($F219=AsOf-WEEKDAY(AsOf,3),"Yes",""))</f>
        <v/>
      </c>
      <c r="H219" s="29" t="str">
        <f aca="false">IF($G219="Yes",$A219+ROW()/100000,"")</f>
        <v/>
      </c>
    </row>
    <row r="220" customFormat="false" ht="15" hidden="false" customHeight="false" outlineLevel="0" collapsed="false">
      <c r="A220" s="27"/>
      <c r="B220" s="24"/>
      <c r="C220" s="24"/>
      <c r="D220" s="24"/>
      <c r="E220" s="28"/>
      <c r="F220" s="30" t="str">
        <f aca="false">IF($A220="","",$A220-WEEKDAY($A220,3))</f>
        <v/>
      </c>
      <c r="G220" s="29" t="str">
        <f aca="false">IF($A220="","",IF($F220=AsOf-WEEKDAY(AsOf,3),"Yes",""))</f>
        <v/>
      </c>
      <c r="H220" s="29" t="str">
        <f aca="false">IF($G220="Yes",$A220+ROW()/100000,"")</f>
        <v/>
      </c>
    </row>
    <row r="221" customFormat="false" ht="15" hidden="false" customHeight="false" outlineLevel="0" collapsed="false">
      <c r="A221" s="27"/>
      <c r="B221" s="24"/>
      <c r="C221" s="24"/>
      <c r="D221" s="24"/>
      <c r="E221" s="28"/>
      <c r="F221" s="30" t="str">
        <f aca="false">IF($A221="","",$A221-WEEKDAY($A221,3))</f>
        <v/>
      </c>
      <c r="G221" s="29" t="str">
        <f aca="false">IF($A221="","",IF($F221=AsOf-WEEKDAY(AsOf,3),"Yes",""))</f>
        <v/>
      </c>
      <c r="H221" s="29" t="str">
        <f aca="false">IF($G221="Yes",$A221+ROW()/100000,"")</f>
        <v/>
      </c>
    </row>
    <row r="222" customFormat="false" ht="15" hidden="false" customHeight="false" outlineLevel="0" collapsed="false">
      <c r="A222" s="27"/>
      <c r="B222" s="24"/>
      <c r="C222" s="24"/>
      <c r="D222" s="24"/>
      <c r="E222" s="28"/>
      <c r="F222" s="30" t="str">
        <f aca="false">IF($A222="","",$A222-WEEKDAY($A222,3))</f>
        <v/>
      </c>
      <c r="G222" s="29" t="str">
        <f aca="false">IF($A222="","",IF($F222=AsOf-WEEKDAY(AsOf,3),"Yes",""))</f>
        <v/>
      </c>
      <c r="H222" s="29" t="str">
        <f aca="false">IF($G222="Yes",$A222+ROW()/100000,"")</f>
        <v/>
      </c>
    </row>
    <row r="223" customFormat="false" ht="15" hidden="false" customHeight="false" outlineLevel="0" collapsed="false">
      <c r="A223" s="27"/>
      <c r="B223" s="24"/>
      <c r="C223" s="24"/>
      <c r="D223" s="24"/>
      <c r="E223" s="28"/>
      <c r="F223" s="30" t="str">
        <f aca="false">IF($A223="","",$A223-WEEKDAY($A223,3))</f>
        <v/>
      </c>
      <c r="G223" s="29" t="str">
        <f aca="false">IF($A223="","",IF($F223=AsOf-WEEKDAY(AsOf,3),"Yes",""))</f>
        <v/>
      </c>
      <c r="H223" s="29" t="str">
        <f aca="false">IF($G223="Yes",$A223+ROW()/100000,"")</f>
        <v/>
      </c>
    </row>
    <row r="224" customFormat="false" ht="15" hidden="false" customHeight="false" outlineLevel="0" collapsed="false">
      <c r="A224" s="27"/>
      <c r="B224" s="24"/>
      <c r="C224" s="24"/>
      <c r="D224" s="24"/>
      <c r="E224" s="28"/>
      <c r="F224" s="30" t="str">
        <f aca="false">IF($A224="","",$A224-WEEKDAY($A224,3))</f>
        <v/>
      </c>
      <c r="G224" s="29" t="str">
        <f aca="false">IF($A224="","",IF($F224=AsOf-WEEKDAY(AsOf,3),"Yes",""))</f>
        <v/>
      </c>
      <c r="H224" s="29" t="str">
        <f aca="false">IF($G224="Yes",$A224+ROW()/100000,"")</f>
        <v/>
      </c>
    </row>
    <row r="225" customFormat="false" ht="15" hidden="false" customHeight="false" outlineLevel="0" collapsed="false">
      <c r="A225" s="27"/>
      <c r="B225" s="24"/>
      <c r="C225" s="24"/>
      <c r="D225" s="24"/>
      <c r="E225" s="28"/>
      <c r="F225" s="30" t="str">
        <f aca="false">IF($A225="","",$A225-WEEKDAY($A225,3))</f>
        <v/>
      </c>
      <c r="G225" s="29" t="str">
        <f aca="false">IF($A225="","",IF($F225=AsOf-WEEKDAY(AsOf,3),"Yes",""))</f>
        <v/>
      </c>
      <c r="H225" s="29" t="str">
        <f aca="false">IF($G225="Yes",$A225+ROW()/100000,"")</f>
        <v/>
      </c>
    </row>
    <row r="226" customFormat="false" ht="15" hidden="false" customHeight="false" outlineLevel="0" collapsed="false">
      <c r="A226" s="27"/>
      <c r="B226" s="24"/>
      <c r="C226" s="24"/>
      <c r="D226" s="24"/>
      <c r="E226" s="28"/>
      <c r="F226" s="30" t="str">
        <f aca="false">IF($A226="","",$A226-WEEKDAY($A226,3))</f>
        <v/>
      </c>
      <c r="G226" s="29" t="str">
        <f aca="false">IF($A226="","",IF($F226=AsOf-WEEKDAY(AsOf,3),"Yes",""))</f>
        <v/>
      </c>
      <c r="H226" s="29" t="str">
        <f aca="false">IF($G226="Yes",$A226+ROW()/100000,"")</f>
        <v/>
      </c>
    </row>
    <row r="227" customFormat="false" ht="15" hidden="false" customHeight="false" outlineLevel="0" collapsed="false">
      <c r="A227" s="27"/>
      <c r="B227" s="24"/>
      <c r="C227" s="24"/>
      <c r="D227" s="24"/>
      <c r="E227" s="28"/>
      <c r="F227" s="30" t="str">
        <f aca="false">IF($A227="","",$A227-WEEKDAY($A227,3))</f>
        <v/>
      </c>
      <c r="G227" s="29" t="str">
        <f aca="false">IF($A227="","",IF($F227=AsOf-WEEKDAY(AsOf,3),"Yes",""))</f>
        <v/>
      </c>
      <c r="H227" s="29" t="str">
        <f aca="false">IF($G227="Yes",$A227+ROW()/100000,"")</f>
        <v/>
      </c>
    </row>
    <row r="228" customFormat="false" ht="15" hidden="false" customHeight="false" outlineLevel="0" collapsed="false">
      <c r="A228" s="27"/>
      <c r="B228" s="24"/>
      <c r="C228" s="24"/>
      <c r="D228" s="24"/>
      <c r="E228" s="28"/>
      <c r="F228" s="30" t="str">
        <f aca="false">IF($A228="","",$A228-WEEKDAY($A228,3))</f>
        <v/>
      </c>
      <c r="G228" s="29" t="str">
        <f aca="false">IF($A228="","",IF($F228=AsOf-WEEKDAY(AsOf,3),"Yes",""))</f>
        <v/>
      </c>
      <c r="H228" s="29" t="str">
        <f aca="false">IF($G228="Yes",$A228+ROW()/100000,"")</f>
        <v/>
      </c>
    </row>
    <row r="229" customFormat="false" ht="15" hidden="false" customHeight="false" outlineLevel="0" collapsed="false">
      <c r="A229" s="27"/>
      <c r="B229" s="24"/>
      <c r="C229" s="24"/>
      <c r="D229" s="24"/>
      <c r="E229" s="28"/>
      <c r="F229" s="30" t="str">
        <f aca="false">IF($A229="","",$A229-WEEKDAY($A229,3))</f>
        <v/>
      </c>
      <c r="G229" s="29" t="str">
        <f aca="false">IF($A229="","",IF($F229=AsOf-WEEKDAY(AsOf,3),"Yes",""))</f>
        <v/>
      </c>
      <c r="H229" s="29" t="str">
        <f aca="false">IF($G229="Yes",$A229+ROW()/100000,"")</f>
        <v/>
      </c>
    </row>
    <row r="230" customFormat="false" ht="15" hidden="false" customHeight="false" outlineLevel="0" collapsed="false">
      <c r="A230" s="27"/>
      <c r="B230" s="24"/>
      <c r="C230" s="24"/>
      <c r="D230" s="24"/>
      <c r="E230" s="28"/>
      <c r="F230" s="30" t="str">
        <f aca="false">IF($A230="","",$A230-WEEKDAY($A230,3))</f>
        <v/>
      </c>
      <c r="G230" s="29" t="str">
        <f aca="false">IF($A230="","",IF($F230=AsOf-WEEKDAY(AsOf,3),"Yes",""))</f>
        <v/>
      </c>
      <c r="H230" s="29" t="str">
        <f aca="false">IF($G230="Yes",$A230+ROW()/100000,"")</f>
        <v/>
      </c>
    </row>
    <row r="231" customFormat="false" ht="15" hidden="false" customHeight="false" outlineLevel="0" collapsed="false">
      <c r="A231" s="27"/>
      <c r="B231" s="24"/>
      <c r="C231" s="24"/>
      <c r="D231" s="24"/>
      <c r="E231" s="28"/>
      <c r="F231" s="30" t="str">
        <f aca="false">IF($A231="","",$A231-WEEKDAY($A231,3))</f>
        <v/>
      </c>
      <c r="G231" s="29" t="str">
        <f aca="false">IF($A231="","",IF($F231=AsOf-WEEKDAY(AsOf,3),"Yes",""))</f>
        <v/>
      </c>
      <c r="H231" s="29" t="str">
        <f aca="false">IF($G231="Yes",$A231+ROW()/100000,"")</f>
        <v/>
      </c>
    </row>
    <row r="232" customFormat="false" ht="15" hidden="false" customHeight="false" outlineLevel="0" collapsed="false">
      <c r="A232" s="27"/>
      <c r="B232" s="24"/>
      <c r="C232" s="24"/>
      <c r="D232" s="24"/>
      <c r="E232" s="28"/>
      <c r="F232" s="30" t="str">
        <f aca="false">IF($A232="","",$A232-WEEKDAY($A232,3))</f>
        <v/>
      </c>
      <c r="G232" s="29" t="str">
        <f aca="false">IF($A232="","",IF($F232=AsOf-WEEKDAY(AsOf,3),"Yes",""))</f>
        <v/>
      </c>
      <c r="H232" s="29" t="str">
        <f aca="false">IF($G232="Yes",$A232+ROW()/100000,"")</f>
        <v/>
      </c>
    </row>
    <row r="233" customFormat="false" ht="15" hidden="false" customHeight="false" outlineLevel="0" collapsed="false">
      <c r="A233" s="27"/>
      <c r="B233" s="24"/>
      <c r="C233" s="24"/>
      <c r="D233" s="24"/>
      <c r="E233" s="28"/>
      <c r="F233" s="30" t="str">
        <f aca="false">IF($A233="","",$A233-WEEKDAY($A233,3))</f>
        <v/>
      </c>
      <c r="G233" s="29" t="str">
        <f aca="false">IF($A233="","",IF($F233=AsOf-WEEKDAY(AsOf,3),"Yes",""))</f>
        <v/>
      </c>
      <c r="H233" s="29" t="str">
        <f aca="false">IF($G233="Yes",$A233+ROW()/100000,"")</f>
        <v/>
      </c>
    </row>
    <row r="234" customFormat="false" ht="15" hidden="false" customHeight="false" outlineLevel="0" collapsed="false">
      <c r="A234" s="27"/>
      <c r="B234" s="24"/>
      <c r="C234" s="24"/>
      <c r="D234" s="24"/>
      <c r="E234" s="28"/>
      <c r="F234" s="30" t="str">
        <f aca="false">IF($A234="","",$A234-WEEKDAY($A234,3))</f>
        <v/>
      </c>
      <c r="G234" s="29" t="str">
        <f aca="false">IF($A234="","",IF($F234=AsOf-WEEKDAY(AsOf,3),"Yes",""))</f>
        <v/>
      </c>
      <c r="H234" s="29" t="str">
        <f aca="false">IF($G234="Yes",$A234+ROW()/100000,"")</f>
        <v/>
      </c>
    </row>
    <row r="235" customFormat="false" ht="15" hidden="false" customHeight="false" outlineLevel="0" collapsed="false">
      <c r="A235" s="27"/>
      <c r="B235" s="24"/>
      <c r="C235" s="24"/>
      <c r="D235" s="24"/>
      <c r="E235" s="28"/>
      <c r="F235" s="30" t="str">
        <f aca="false">IF($A235="","",$A235-WEEKDAY($A235,3))</f>
        <v/>
      </c>
      <c r="G235" s="29" t="str">
        <f aca="false">IF($A235="","",IF($F235=AsOf-WEEKDAY(AsOf,3),"Yes",""))</f>
        <v/>
      </c>
      <c r="H235" s="29" t="str">
        <f aca="false">IF($G235="Yes",$A235+ROW()/100000,"")</f>
        <v/>
      </c>
    </row>
    <row r="236" customFormat="false" ht="15" hidden="false" customHeight="false" outlineLevel="0" collapsed="false">
      <c r="A236" s="27"/>
      <c r="B236" s="24"/>
      <c r="C236" s="24"/>
      <c r="D236" s="24"/>
      <c r="E236" s="28"/>
      <c r="F236" s="30" t="str">
        <f aca="false">IF($A236="","",$A236-WEEKDAY($A236,3))</f>
        <v/>
      </c>
      <c r="G236" s="29" t="str">
        <f aca="false">IF($A236="","",IF($F236=AsOf-WEEKDAY(AsOf,3),"Yes",""))</f>
        <v/>
      </c>
      <c r="H236" s="29" t="str">
        <f aca="false">IF($G236="Yes",$A236+ROW()/100000,"")</f>
        <v/>
      </c>
    </row>
    <row r="237" customFormat="false" ht="15" hidden="false" customHeight="false" outlineLevel="0" collapsed="false">
      <c r="A237" s="27"/>
      <c r="B237" s="24"/>
      <c r="C237" s="24"/>
      <c r="D237" s="24"/>
      <c r="E237" s="28"/>
      <c r="F237" s="30" t="str">
        <f aca="false">IF($A237="","",$A237-WEEKDAY($A237,3))</f>
        <v/>
      </c>
      <c r="G237" s="29" t="str">
        <f aca="false">IF($A237="","",IF($F237=AsOf-WEEKDAY(AsOf,3),"Yes",""))</f>
        <v/>
      </c>
      <c r="H237" s="29" t="str">
        <f aca="false">IF($G237="Yes",$A237+ROW()/100000,"")</f>
        <v/>
      </c>
    </row>
    <row r="238" customFormat="false" ht="15" hidden="false" customHeight="false" outlineLevel="0" collapsed="false">
      <c r="A238" s="27"/>
      <c r="B238" s="24"/>
      <c r="C238" s="24"/>
      <c r="D238" s="24"/>
      <c r="E238" s="28"/>
      <c r="F238" s="30" t="str">
        <f aca="false">IF($A238="","",$A238-WEEKDAY($A238,3))</f>
        <v/>
      </c>
      <c r="G238" s="29" t="str">
        <f aca="false">IF($A238="","",IF($F238=AsOf-WEEKDAY(AsOf,3),"Yes",""))</f>
        <v/>
      </c>
      <c r="H238" s="29" t="str">
        <f aca="false">IF($G238="Yes",$A238+ROW()/100000,"")</f>
        <v/>
      </c>
    </row>
    <row r="239" customFormat="false" ht="15" hidden="false" customHeight="false" outlineLevel="0" collapsed="false">
      <c r="A239" s="27"/>
      <c r="B239" s="24"/>
      <c r="C239" s="24"/>
      <c r="D239" s="24"/>
      <c r="E239" s="28"/>
      <c r="F239" s="30" t="str">
        <f aca="false">IF($A239="","",$A239-WEEKDAY($A239,3))</f>
        <v/>
      </c>
      <c r="G239" s="29" t="str">
        <f aca="false">IF($A239="","",IF($F239=AsOf-WEEKDAY(AsOf,3),"Yes",""))</f>
        <v/>
      </c>
      <c r="H239" s="29" t="str">
        <f aca="false">IF($G239="Yes",$A239+ROW()/100000,"")</f>
        <v/>
      </c>
    </row>
    <row r="240" customFormat="false" ht="15" hidden="false" customHeight="false" outlineLevel="0" collapsed="false">
      <c r="A240" s="27"/>
      <c r="B240" s="24"/>
      <c r="C240" s="24"/>
      <c r="D240" s="24"/>
      <c r="E240" s="28"/>
      <c r="F240" s="30" t="str">
        <f aca="false">IF($A240="","",$A240-WEEKDAY($A240,3))</f>
        <v/>
      </c>
      <c r="G240" s="29" t="str">
        <f aca="false">IF($A240="","",IF($F240=AsOf-WEEKDAY(AsOf,3),"Yes",""))</f>
        <v/>
      </c>
      <c r="H240" s="29" t="str">
        <f aca="false">IF($G240="Yes",$A240+ROW()/100000,"")</f>
        <v/>
      </c>
    </row>
    <row r="241" customFormat="false" ht="15" hidden="false" customHeight="false" outlineLevel="0" collapsed="false">
      <c r="A241" s="27"/>
      <c r="B241" s="24"/>
      <c r="C241" s="24"/>
      <c r="D241" s="24"/>
      <c r="E241" s="28"/>
      <c r="F241" s="30" t="str">
        <f aca="false">IF($A241="","",$A241-WEEKDAY($A241,3))</f>
        <v/>
      </c>
      <c r="G241" s="29" t="str">
        <f aca="false">IF($A241="","",IF($F241=AsOf-WEEKDAY(AsOf,3),"Yes",""))</f>
        <v/>
      </c>
      <c r="H241" s="29" t="str">
        <f aca="false">IF($G241="Yes",$A241+ROW()/100000,"")</f>
        <v/>
      </c>
    </row>
    <row r="242" customFormat="false" ht="15" hidden="false" customHeight="false" outlineLevel="0" collapsed="false">
      <c r="A242" s="27"/>
      <c r="B242" s="24"/>
      <c r="C242" s="24"/>
      <c r="D242" s="24"/>
      <c r="E242" s="28"/>
      <c r="F242" s="30" t="str">
        <f aca="false">IF($A242="","",$A242-WEEKDAY($A242,3))</f>
        <v/>
      </c>
      <c r="G242" s="29" t="str">
        <f aca="false">IF($A242="","",IF($F242=AsOf-WEEKDAY(AsOf,3),"Yes",""))</f>
        <v/>
      </c>
      <c r="H242" s="29" t="str">
        <f aca="false">IF($G242="Yes",$A242+ROW()/100000,"")</f>
        <v/>
      </c>
    </row>
    <row r="243" customFormat="false" ht="15" hidden="false" customHeight="false" outlineLevel="0" collapsed="false">
      <c r="A243" s="27"/>
      <c r="B243" s="24"/>
      <c r="C243" s="24"/>
      <c r="D243" s="24"/>
      <c r="E243" s="28"/>
      <c r="F243" s="30" t="str">
        <f aca="false">IF($A243="","",$A243-WEEKDAY($A243,3))</f>
        <v/>
      </c>
      <c r="G243" s="29" t="str">
        <f aca="false">IF($A243="","",IF($F243=AsOf-WEEKDAY(AsOf,3),"Yes",""))</f>
        <v/>
      </c>
      <c r="H243" s="29" t="str">
        <f aca="false">IF($G243="Yes",$A243+ROW()/100000,"")</f>
        <v/>
      </c>
    </row>
    <row r="244" customFormat="false" ht="15" hidden="false" customHeight="false" outlineLevel="0" collapsed="false">
      <c r="A244" s="27"/>
      <c r="B244" s="24"/>
      <c r="C244" s="24"/>
      <c r="D244" s="24"/>
      <c r="E244" s="28"/>
      <c r="F244" s="30" t="str">
        <f aca="false">IF($A244="","",$A244-WEEKDAY($A244,3))</f>
        <v/>
      </c>
      <c r="G244" s="29" t="str">
        <f aca="false">IF($A244="","",IF($F244=AsOf-WEEKDAY(AsOf,3),"Yes",""))</f>
        <v/>
      </c>
      <c r="H244" s="29" t="str">
        <f aca="false">IF($G244="Yes",$A244+ROW()/100000,"")</f>
        <v/>
      </c>
    </row>
    <row r="245" customFormat="false" ht="15" hidden="false" customHeight="false" outlineLevel="0" collapsed="false">
      <c r="A245" s="27"/>
      <c r="B245" s="24"/>
      <c r="C245" s="24"/>
      <c r="D245" s="24"/>
      <c r="E245" s="28"/>
      <c r="F245" s="30" t="str">
        <f aca="false">IF($A245="","",$A245-WEEKDAY($A245,3))</f>
        <v/>
      </c>
      <c r="G245" s="29" t="str">
        <f aca="false">IF($A245="","",IF($F245=AsOf-WEEKDAY(AsOf,3),"Yes",""))</f>
        <v/>
      </c>
      <c r="H245" s="29" t="str">
        <f aca="false">IF($G245="Yes",$A245+ROW()/100000,"")</f>
        <v/>
      </c>
    </row>
    <row r="246" customFormat="false" ht="15" hidden="false" customHeight="false" outlineLevel="0" collapsed="false">
      <c r="A246" s="27"/>
      <c r="B246" s="24"/>
      <c r="C246" s="24"/>
      <c r="D246" s="24"/>
      <c r="E246" s="28"/>
      <c r="F246" s="30" t="str">
        <f aca="false">IF($A246="","",$A246-WEEKDAY($A246,3))</f>
        <v/>
      </c>
      <c r="G246" s="29" t="str">
        <f aca="false">IF($A246="","",IF($F246=AsOf-WEEKDAY(AsOf,3),"Yes",""))</f>
        <v/>
      </c>
      <c r="H246" s="29" t="str">
        <f aca="false">IF($G246="Yes",$A246+ROW()/100000,"")</f>
        <v/>
      </c>
    </row>
    <row r="247" customFormat="false" ht="15" hidden="false" customHeight="false" outlineLevel="0" collapsed="false">
      <c r="A247" s="27"/>
      <c r="B247" s="24"/>
      <c r="C247" s="24"/>
      <c r="D247" s="24"/>
      <c r="E247" s="28"/>
      <c r="F247" s="30" t="str">
        <f aca="false">IF($A247="","",$A247-WEEKDAY($A247,3))</f>
        <v/>
      </c>
      <c r="G247" s="29" t="str">
        <f aca="false">IF($A247="","",IF($F247=AsOf-WEEKDAY(AsOf,3),"Yes",""))</f>
        <v/>
      </c>
      <c r="H247" s="29" t="str">
        <f aca="false">IF($G247="Yes",$A247+ROW()/100000,"")</f>
        <v/>
      </c>
    </row>
    <row r="248" customFormat="false" ht="15" hidden="false" customHeight="false" outlineLevel="0" collapsed="false">
      <c r="A248" s="27"/>
      <c r="B248" s="24"/>
      <c r="C248" s="24"/>
      <c r="D248" s="24"/>
      <c r="E248" s="28"/>
      <c r="F248" s="30" t="str">
        <f aca="false">IF($A248="","",$A248-WEEKDAY($A248,3))</f>
        <v/>
      </c>
      <c r="G248" s="29" t="str">
        <f aca="false">IF($A248="","",IF($F248=AsOf-WEEKDAY(AsOf,3),"Yes",""))</f>
        <v/>
      </c>
      <c r="H248" s="29" t="str">
        <f aca="false">IF($G248="Yes",$A248+ROW()/100000,"")</f>
        <v/>
      </c>
    </row>
    <row r="249" customFormat="false" ht="15" hidden="false" customHeight="false" outlineLevel="0" collapsed="false">
      <c r="A249" s="27"/>
      <c r="B249" s="24"/>
      <c r="C249" s="24"/>
      <c r="D249" s="24"/>
      <c r="E249" s="28"/>
      <c r="F249" s="30" t="str">
        <f aca="false">IF($A249="","",$A249-WEEKDAY($A249,3))</f>
        <v/>
      </c>
      <c r="G249" s="29" t="str">
        <f aca="false">IF($A249="","",IF($F249=AsOf-WEEKDAY(AsOf,3),"Yes",""))</f>
        <v/>
      </c>
      <c r="H249" s="29" t="str">
        <f aca="false">IF($G249="Yes",$A249+ROW()/100000,"")</f>
        <v/>
      </c>
    </row>
    <row r="250" customFormat="false" ht="15" hidden="false" customHeight="false" outlineLevel="0" collapsed="false">
      <c r="A250" s="27"/>
      <c r="B250" s="24"/>
      <c r="C250" s="24"/>
      <c r="D250" s="24"/>
      <c r="E250" s="28"/>
      <c r="F250" s="30" t="str">
        <f aca="false">IF($A250="","",$A250-WEEKDAY($A250,3))</f>
        <v/>
      </c>
      <c r="G250" s="29" t="str">
        <f aca="false">IF($A250="","",IF($F250=AsOf-WEEKDAY(AsOf,3),"Yes",""))</f>
        <v/>
      </c>
      <c r="H250" s="29" t="str">
        <f aca="false">IF($G250="Yes",$A250+ROW()/100000,"")</f>
        <v/>
      </c>
    </row>
    <row r="251" customFormat="false" ht="15" hidden="false" customHeight="false" outlineLevel="0" collapsed="false">
      <c r="A251" s="27"/>
      <c r="B251" s="24"/>
      <c r="C251" s="24"/>
      <c r="D251" s="24"/>
      <c r="E251" s="28"/>
      <c r="F251" s="30" t="str">
        <f aca="false">IF($A251="","",$A251-WEEKDAY($A251,3))</f>
        <v/>
      </c>
      <c r="G251" s="29" t="str">
        <f aca="false">IF($A251="","",IF($F251=AsOf-WEEKDAY(AsOf,3),"Yes",""))</f>
        <v/>
      </c>
      <c r="H251" s="29" t="str">
        <f aca="false">IF($G251="Yes",$A251+ROW()/100000,"")</f>
        <v/>
      </c>
    </row>
    <row r="252" customFormat="false" ht="15" hidden="false" customHeight="false" outlineLevel="0" collapsed="false">
      <c r="A252" s="27"/>
      <c r="B252" s="24"/>
      <c r="C252" s="24"/>
      <c r="D252" s="24"/>
      <c r="E252" s="28"/>
      <c r="F252" s="30" t="str">
        <f aca="false">IF($A252="","",$A252-WEEKDAY($A252,3))</f>
        <v/>
      </c>
      <c r="G252" s="29" t="str">
        <f aca="false">IF($A252="","",IF($F252=AsOf-WEEKDAY(AsOf,3),"Yes",""))</f>
        <v/>
      </c>
      <c r="H252" s="29" t="str">
        <f aca="false">IF($G252="Yes",$A252+ROW()/100000,"")</f>
        <v/>
      </c>
    </row>
    <row r="253" customFormat="false" ht="15" hidden="false" customHeight="false" outlineLevel="0" collapsed="false">
      <c r="A253" s="27"/>
      <c r="B253" s="24"/>
      <c r="C253" s="24"/>
      <c r="D253" s="24"/>
      <c r="E253" s="28"/>
      <c r="F253" s="30" t="str">
        <f aca="false">IF($A253="","",$A253-WEEKDAY($A253,3))</f>
        <v/>
      </c>
      <c r="G253" s="29" t="str">
        <f aca="false">IF($A253="","",IF($F253=AsOf-WEEKDAY(AsOf,3),"Yes",""))</f>
        <v/>
      </c>
      <c r="H253" s="29" t="str">
        <f aca="false">IF($G253="Yes",$A253+ROW()/100000,"")</f>
        <v/>
      </c>
    </row>
    <row r="254" customFormat="false" ht="15" hidden="false" customHeight="false" outlineLevel="0" collapsed="false">
      <c r="A254" s="27"/>
      <c r="B254" s="24"/>
      <c r="C254" s="24"/>
      <c r="D254" s="24"/>
      <c r="E254" s="28"/>
      <c r="F254" s="30" t="str">
        <f aca="false">IF($A254="","",$A254-WEEKDAY($A254,3))</f>
        <v/>
      </c>
      <c r="G254" s="29" t="str">
        <f aca="false">IF($A254="","",IF($F254=AsOf-WEEKDAY(AsOf,3),"Yes",""))</f>
        <v/>
      </c>
      <c r="H254" s="29" t="str">
        <f aca="false">IF($G254="Yes",$A254+ROW()/100000,"")</f>
        <v/>
      </c>
    </row>
    <row r="255" customFormat="false" ht="15" hidden="false" customHeight="false" outlineLevel="0" collapsed="false">
      <c r="A255" s="27"/>
      <c r="B255" s="24"/>
      <c r="C255" s="24"/>
      <c r="D255" s="24"/>
      <c r="E255" s="28"/>
      <c r="F255" s="30" t="str">
        <f aca="false">IF($A255="","",$A255-WEEKDAY($A255,3))</f>
        <v/>
      </c>
      <c r="G255" s="29" t="str">
        <f aca="false">IF($A255="","",IF($F255=AsOf-WEEKDAY(AsOf,3),"Yes",""))</f>
        <v/>
      </c>
      <c r="H255" s="29" t="str">
        <f aca="false">IF($G255="Yes",$A255+ROW()/100000,"")</f>
        <v/>
      </c>
    </row>
    <row r="256" customFormat="false" ht="15" hidden="false" customHeight="false" outlineLevel="0" collapsed="false">
      <c r="A256" s="27"/>
      <c r="B256" s="24"/>
      <c r="C256" s="24"/>
      <c r="D256" s="24"/>
      <c r="E256" s="28"/>
      <c r="F256" s="30" t="str">
        <f aca="false">IF($A256="","",$A256-WEEKDAY($A256,3))</f>
        <v/>
      </c>
      <c r="G256" s="29" t="str">
        <f aca="false">IF($A256="","",IF($F256=AsOf-WEEKDAY(AsOf,3),"Yes",""))</f>
        <v/>
      </c>
      <c r="H256" s="29" t="str">
        <f aca="false">IF($G256="Yes",$A256+ROW()/100000,"")</f>
        <v/>
      </c>
    </row>
    <row r="257" customFormat="false" ht="15" hidden="false" customHeight="false" outlineLevel="0" collapsed="false">
      <c r="A257" s="27"/>
      <c r="B257" s="24"/>
      <c r="C257" s="24"/>
      <c r="D257" s="24"/>
      <c r="E257" s="28"/>
      <c r="F257" s="30" t="str">
        <f aca="false">IF($A257="","",$A257-WEEKDAY($A257,3))</f>
        <v/>
      </c>
      <c r="G257" s="29" t="str">
        <f aca="false">IF($A257="","",IF($F257=AsOf-WEEKDAY(AsOf,3),"Yes",""))</f>
        <v/>
      </c>
      <c r="H257" s="29" t="str">
        <f aca="false">IF($G257="Yes",$A257+ROW()/100000,"")</f>
        <v/>
      </c>
    </row>
    <row r="258" customFormat="false" ht="15" hidden="false" customHeight="false" outlineLevel="0" collapsed="false">
      <c r="A258" s="27"/>
      <c r="B258" s="24"/>
      <c r="C258" s="24"/>
      <c r="D258" s="24"/>
      <c r="E258" s="28"/>
      <c r="F258" s="30" t="str">
        <f aca="false">IF($A258="","",$A258-WEEKDAY($A258,3))</f>
        <v/>
      </c>
      <c r="G258" s="29" t="str">
        <f aca="false">IF($A258="","",IF($F258=AsOf-WEEKDAY(AsOf,3),"Yes",""))</f>
        <v/>
      </c>
      <c r="H258" s="29" t="str">
        <f aca="false">IF($G258="Yes",$A258+ROW()/100000,"")</f>
        <v/>
      </c>
    </row>
    <row r="259" customFormat="false" ht="15" hidden="false" customHeight="false" outlineLevel="0" collapsed="false">
      <c r="A259" s="27"/>
      <c r="B259" s="24"/>
      <c r="C259" s="24"/>
      <c r="D259" s="24"/>
      <c r="E259" s="28"/>
      <c r="F259" s="30" t="str">
        <f aca="false">IF($A259="","",$A259-WEEKDAY($A259,3))</f>
        <v/>
      </c>
      <c r="G259" s="29" t="str">
        <f aca="false">IF($A259="","",IF($F259=AsOf-WEEKDAY(AsOf,3),"Yes",""))</f>
        <v/>
      </c>
      <c r="H259" s="29" t="str">
        <f aca="false">IF($G259="Yes",$A259+ROW()/100000,"")</f>
        <v/>
      </c>
    </row>
    <row r="260" customFormat="false" ht="15" hidden="false" customHeight="false" outlineLevel="0" collapsed="false">
      <c r="A260" s="27"/>
      <c r="B260" s="24"/>
      <c r="C260" s="24"/>
      <c r="D260" s="24"/>
      <c r="E260" s="28"/>
      <c r="F260" s="30" t="str">
        <f aca="false">IF($A260="","",$A260-WEEKDAY($A260,3))</f>
        <v/>
      </c>
      <c r="G260" s="29" t="str">
        <f aca="false">IF($A260="","",IF($F260=AsOf-WEEKDAY(AsOf,3),"Yes",""))</f>
        <v/>
      </c>
      <c r="H260" s="29" t="str">
        <f aca="false">IF($G260="Yes",$A260+ROW()/100000,"")</f>
        <v/>
      </c>
    </row>
    <row r="261" customFormat="false" ht="15" hidden="false" customHeight="false" outlineLevel="0" collapsed="false">
      <c r="A261" s="27"/>
      <c r="B261" s="24"/>
      <c r="C261" s="24"/>
      <c r="D261" s="24"/>
      <c r="E261" s="28"/>
      <c r="F261" s="30" t="str">
        <f aca="false">IF($A261="","",$A261-WEEKDAY($A261,3))</f>
        <v/>
      </c>
      <c r="G261" s="29" t="str">
        <f aca="false">IF($A261="","",IF($F261=AsOf-WEEKDAY(AsOf,3),"Yes",""))</f>
        <v/>
      </c>
      <c r="H261" s="29" t="str">
        <f aca="false">IF($G261="Yes",$A261+ROW()/100000,"")</f>
        <v/>
      </c>
    </row>
    <row r="262" customFormat="false" ht="15" hidden="false" customHeight="false" outlineLevel="0" collapsed="false">
      <c r="A262" s="27"/>
      <c r="B262" s="24"/>
      <c r="C262" s="24"/>
      <c r="D262" s="24"/>
      <c r="E262" s="28"/>
      <c r="F262" s="30" t="str">
        <f aca="false">IF($A262="","",$A262-WEEKDAY($A262,3))</f>
        <v/>
      </c>
      <c r="G262" s="29" t="str">
        <f aca="false">IF($A262="","",IF($F262=AsOf-WEEKDAY(AsOf,3),"Yes",""))</f>
        <v/>
      </c>
      <c r="H262" s="29" t="str">
        <f aca="false">IF($G262="Yes",$A262+ROW()/100000,"")</f>
        <v/>
      </c>
    </row>
    <row r="263" customFormat="false" ht="15" hidden="false" customHeight="false" outlineLevel="0" collapsed="false">
      <c r="A263" s="27"/>
      <c r="B263" s="24"/>
      <c r="C263" s="24"/>
      <c r="D263" s="24"/>
      <c r="E263" s="28"/>
      <c r="F263" s="30" t="str">
        <f aca="false">IF($A263="","",$A263-WEEKDAY($A263,3))</f>
        <v/>
      </c>
      <c r="G263" s="29" t="str">
        <f aca="false">IF($A263="","",IF($F263=AsOf-WEEKDAY(AsOf,3),"Yes",""))</f>
        <v/>
      </c>
      <c r="H263" s="29" t="str">
        <f aca="false">IF($G263="Yes",$A263+ROW()/100000,"")</f>
        <v/>
      </c>
    </row>
    <row r="264" customFormat="false" ht="15" hidden="false" customHeight="false" outlineLevel="0" collapsed="false">
      <c r="A264" s="27"/>
      <c r="B264" s="24"/>
      <c r="C264" s="24"/>
      <c r="D264" s="24"/>
      <c r="E264" s="28"/>
      <c r="F264" s="30" t="str">
        <f aca="false">IF($A264="","",$A264-WEEKDAY($A264,3))</f>
        <v/>
      </c>
      <c r="G264" s="29" t="str">
        <f aca="false">IF($A264="","",IF($F264=AsOf-WEEKDAY(AsOf,3),"Yes",""))</f>
        <v/>
      </c>
      <c r="H264" s="29" t="str">
        <f aca="false">IF($G264="Yes",$A264+ROW()/100000,"")</f>
        <v/>
      </c>
    </row>
    <row r="265" customFormat="false" ht="15" hidden="false" customHeight="false" outlineLevel="0" collapsed="false">
      <c r="A265" s="27"/>
      <c r="B265" s="24"/>
      <c r="C265" s="24"/>
      <c r="D265" s="24"/>
      <c r="E265" s="28"/>
      <c r="F265" s="30" t="str">
        <f aca="false">IF($A265="","",$A265-WEEKDAY($A265,3))</f>
        <v/>
      </c>
      <c r="G265" s="29" t="str">
        <f aca="false">IF($A265="","",IF($F265=AsOf-WEEKDAY(AsOf,3),"Yes",""))</f>
        <v/>
      </c>
      <c r="H265" s="29" t="str">
        <f aca="false">IF($G265="Yes",$A265+ROW()/100000,"")</f>
        <v/>
      </c>
    </row>
    <row r="266" customFormat="false" ht="15" hidden="false" customHeight="false" outlineLevel="0" collapsed="false">
      <c r="A266" s="27"/>
      <c r="B266" s="24"/>
      <c r="C266" s="24"/>
      <c r="D266" s="24"/>
      <c r="E266" s="28"/>
      <c r="F266" s="30" t="str">
        <f aca="false">IF($A266="","",$A266-WEEKDAY($A266,3))</f>
        <v/>
      </c>
      <c r="G266" s="29" t="str">
        <f aca="false">IF($A266="","",IF($F266=AsOf-WEEKDAY(AsOf,3),"Yes",""))</f>
        <v/>
      </c>
      <c r="H266" s="29" t="str">
        <f aca="false">IF($G266="Yes",$A266+ROW()/100000,"")</f>
        <v/>
      </c>
    </row>
    <row r="267" customFormat="false" ht="15" hidden="false" customHeight="false" outlineLevel="0" collapsed="false">
      <c r="A267" s="27"/>
      <c r="B267" s="24"/>
      <c r="C267" s="24"/>
      <c r="D267" s="24"/>
      <c r="E267" s="28"/>
      <c r="F267" s="30" t="str">
        <f aca="false">IF($A267="","",$A267-WEEKDAY($A267,3))</f>
        <v/>
      </c>
      <c r="G267" s="29" t="str">
        <f aca="false">IF($A267="","",IF($F267=AsOf-WEEKDAY(AsOf,3),"Yes",""))</f>
        <v/>
      </c>
      <c r="H267" s="29" t="str">
        <f aca="false">IF($G267="Yes",$A267+ROW()/100000,"")</f>
        <v/>
      </c>
    </row>
    <row r="268" customFormat="false" ht="15" hidden="false" customHeight="false" outlineLevel="0" collapsed="false">
      <c r="A268" s="27"/>
      <c r="B268" s="24"/>
      <c r="C268" s="24"/>
      <c r="D268" s="24"/>
      <c r="E268" s="28"/>
      <c r="F268" s="30" t="str">
        <f aca="false">IF($A268="","",$A268-WEEKDAY($A268,3))</f>
        <v/>
      </c>
      <c r="G268" s="29" t="str">
        <f aca="false">IF($A268="","",IF($F268=AsOf-WEEKDAY(AsOf,3),"Yes",""))</f>
        <v/>
      </c>
      <c r="H268" s="29" t="str">
        <f aca="false">IF($G268="Yes",$A268+ROW()/100000,"")</f>
        <v/>
      </c>
    </row>
    <row r="269" customFormat="false" ht="15" hidden="false" customHeight="false" outlineLevel="0" collapsed="false">
      <c r="A269" s="27"/>
      <c r="B269" s="24"/>
      <c r="C269" s="24"/>
      <c r="D269" s="24"/>
      <c r="E269" s="28"/>
      <c r="F269" s="30" t="str">
        <f aca="false">IF($A269="","",$A269-WEEKDAY($A269,3))</f>
        <v/>
      </c>
      <c r="G269" s="29" t="str">
        <f aca="false">IF($A269="","",IF($F269=AsOf-WEEKDAY(AsOf,3),"Yes",""))</f>
        <v/>
      </c>
      <c r="H269" s="29" t="str">
        <f aca="false">IF($G269="Yes",$A269+ROW()/100000,"")</f>
        <v/>
      </c>
    </row>
    <row r="270" customFormat="false" ht="15" hidden="false" customHeight="false" outlineLevel="0" collapsed="false">
      <c r="A270" s="27"/>
      <c r="B270" s="24"/>
      <c r="C270" s="24"/>
      <c r="D270" s="24"/>
      <c r="E270" s="28"/>
      <c r="F270" s="30" t="str">
        <f aca="false">IF($A270="","",$A270-WEEKDAY($A270,3))</f>
        <v/>
      </c>
      <c r="G270" s="29" t="str">
        <f aca="false">IF($A270="","",IF($F270=AsOf-WEEKDAY(AsOf,3),"Yes",""))</f>
        <v/>
      </c>
      <c r="H270" s="29" t="str">
        <f aca="false">IF($G270="Yes",$A270+ROW()/100000,"")</f>
        <v/>
      </c>
    </row>
    <row r="271" customFormat="false" ht="15" hidden="false" customHeight="false" outlineLevel="0" collapsed="false">
      <c r="A271" s="27"/>
      <c r="B271" s="24"/>
      <c r="C271" s="24"/>
      <c r="D271" s="24"/>
      <c r="E271" s="28"/>
      <c r="F271" s="30" t="str">
        <f aca="false">IF($A271="","",$A271-WEEKDAY($A271,3))</f>
        <v/>
      </c>
      <c r="G271" s="29" t="str">
        <f aca="false">IF($A271="","",IF($F271=AsOf-WEEKDAY(AsOf,3),"Yes",""))</f>
        <v/>
      </c>
      <c r="H271" s="29" t="str">
        <f aca="false">IF($G271="Yes",$A271+ROW()/100000,"")</f>
        <v/>
      </c>
    </row>
    <row r="272" customFormat="false" ht="15" hidden="false" customHeight="false" outlineLevel="0" collapsed="false">
      <c r="A272" s="27"/>
      <c r="B272" s="24"/>
      <c r="C272" s="24"/>
      <c r="D272" s="24"/>
      <c r="E272" s="28"/>
      <c r="F272" s="30" t="str">
        <f aca="false">IF($A272="","",$A272-WEEKDAY($A272,3))</f>
        <v/>
      </c>
      <c r="G272" s="29" t="str">
        <f aca="false">IF($A272="","",IF($F272=AsOf-WEEKDAY(AsOf,3),"Yes",""))</f>
        <v/>
      </c>
      <c r="H272" s="29" t="str">
        <f aca="false">IF($G272="Yes",$A272+ROW()/100000,"")</f>
        <v/>
      </c>
    </row>
    <row r="273" customFormat="false" ht="15" hidden="false" customHeight="false" outlineLevel="0" collapsed="false">
      <c r="A273" s="27"/>
      <c r="B273" s="24"/>
      <c r="C273" s="24"/>
      <c r="D273" s="24"/>
      <c r="E273" s="28"/>
      <c r="F273" s="30" t="str">
        <f aca="false">IF($A273="","",$A273-WEEKDAY($A273,3))</f>
        <v/>
      </c>
      <c r="G273" s="29" t="str">
        <f aca="false">IF($A273="","",IF($F273=AsOf-WEEKDAY(AsOf,3),"Yes",""))</f>
        <v/>
      </c>
      <c r="H273" s="29" t="str">
        <f aca="false">IF($G273="Yes",$A273+ROW()/100000,"")</f>
        <v/>
      </c>
    </row>
    <row r="274" customFormat="false" ht="15" hidden="false" customHeight="false" outlineLevel="0" collapsed="false">
      <c r="A274" s="27"/>
      <c r="B274" s="24"/>
      <c r="C274" s="24"/>
      <c r="D274" s="24"/>
      <c r="E274" s="28"/>
      <c r="F274" s="30" t="str">
        <f aca="false">IF($A274="","",$A274-WEEKDAY($A274,3))</f>
        <v/>
      </c>
      <c r="G274" s="29" t="str">
        <f aca="false">IF($A274="","",IF($F274=AsOf-WEEKDAY(AsOf,3),"Yes",""))</f>
        <v/>
      </c>
      <c r="H274" s="29" t="str">
        <f aca="false">IF($G274="Yes",$A274+ROW()/100000,"")</f>
        <v/>
      </c>
    </row>
    <row r="275" customFormat="false" ht="15" hidden="false" customHeight="false" outlineLevel="0" collapsed="false">
      <c r="A275" s="27"/>
      <c r="B275" s="24"/>
      <c r="C275" s="24"/>
      <c r="D275" s="24"/>
      <c r="E275" s="28"/>
      <c r="F275" s="30" t="str">
        <f aca="false">IF($A275="","",$A275-WEEKDAY($A275,3))</f>
        <v/>
      </c>
      <c r="G275" s="29" t="str">
        <f aca="false">IF($A275="","",IF($F275=AsOf-WEEKDAY(AsOf,3),"Yes",""))</f>
        <v/>
      </c>
      <c r="H275" s="29" t="str">
        <f aca="false">IF($G275="Yes",$A275+ROW()/100000,"")</f>
        <v/>
      </c>
    </row>
    <row r="276" customFormat="false" ht="15" hidden="false" customHeight="false" outlineLevel="0" collapsed="false">
      <c r="A276" s="27"/>
      <c r="B276" s="24"/>
      <c r="C276" s="24"/>
      <c r="D276" s="24"/>
      <c r="E276" s="28"/>
      <c r="F276" s="30" t="str">
        <f aca="false">IF($A276="","",$A276-WEEKDAY($A276,3))</f>
        <v/>
      </c>
      <c r="G276" s="29" t="str">
        <f aca="false">IF($A276="","",IF($F276=AsOf-WEEKDAY(AsOf,3),"Yes",""))</f>
        <v/>
      </c>
      <c r="H276" s="29" t="str">
        <f aca="false">IF($G276="Yes",$A276+ROW()/100000,"")</f>
        <v/>
      </c>
    </row>
    <row r="277" customFormat="false" ht="15" hidden="false" customHeight="false" outlineLevel="0" collapsed="false">
      <c r="A277" s="27"/>
      <c r="B277" s="24"/>
      <c r="C277" s="24"/>
      <c r="D277" s="24"/>
      <c r="E277" s="28"/>
      <c r="F277" s="30" t="str">
        <f aca="false">IF($A277="","",$A277-WEEKDAY($A277,3))</f>
        <v/>
      </c>
      <c r="G277" s="29" t="str">
        <f aca="false">IF($A277="","",IF($F277=AsOf-WEEKDAY(AsOf,3),"Yes",""))</f>
        <v/>
      </c>
      <c r="H277" s="29" t="str">
        <f aca="false">IF($G277="Yes",$A277+ROW()/100000,"")</f>
        <v/>
      </c>
    </row>
    <row r="278" customFormat="false" ht="15" hidden="false" customHeight="false" outlineLevel="0" collapsed="false">
      <c r="A278" s="27"/>
      <c r="B278" s="24"/>
      <c r="C278" s="24"/>
      <c r="D278" s="24"/>
      <c r="E278" s="28"/>
      <c r="F278" s="30" t="str">
        <f aca="false">IF($A278="","",$A278-WEEKDAY($A278,3))</f>
        <v/>
      </c>
      <c r="G278" s="29" t="str">
        <f aca="false">IF($A278="","",IF($F278=AsOf-WEEKDAY(AsOf,3),"Yes",""))</f>
        <v/>
      </c>
      <c r="H278" s="29" t="str">
        <f aca="false">IF($G278="Yes",$A278+ROW()/100000,"")</f>
        <v/>
      </c>
    </row>
    <row r="279" customFormat="false" ht="15" hidden="false" customHeight="false" outlineLevel="0" collapsed="false">
      <c r="A279" s="27"/>
      <c r="B279" s="24"/>
      <c r="C279" s="24"/>
      <c r="D279" s="24"/>
      <c r="E279" s="28"/>
      <c r="F279" s="30" t="str">
        <f aca="false">IF($A279="","",$A279-WEEKDAY($A279,3))</f>
        <v/>
      </c>
      <c r="G279" s="29" t="str">
        <f aca="false">IF($A279="","",IF($F279=AsOf-WEEKDAY(AsOf,3),"Yes",""))</f>
        <v/>
      </c>
      <c r="H279" s="29" t="str">
        <f aca="false">IF($G279="Yes",$A279+ROW()/100000,"")</f>
        <v/>
      </c>
    </row>
    <row r="280" customFormat="false" ht="15" hidden="false" customHeight="false" outlineLevel="0" collapsed="false">
      <c r="A280" s="27"/>
      <c r="B280" s="24"/>
      <c r="C280" s="24"/>
      <c r="D280" s="24"/>
      <c r="E280" s="28"/>
      <c r="F280" s="30" t="str">
        <f aca="false">IF($A280="","",$A280-WEEKDAY($A280,3))</f>
        <v/>
      </c>
      <c r="G280" s="29" t="str">
        <f aca="false">IF($A280="","",IF($F280=AsOf-WEEKDAY(AsOf,3),"Yes",""))</f>
        <v/>
      </c>
      <c r="H280" s="29" t="str">
        <f aca="false">IF($G280="Yes",$A280+ROW()/100000,"")</f>
        <v/>
      </c>
    </row>
    <row r="281" customFormat="false" ht="15" hidden="false" customHeight="false" outlineLevel="0" collapsed="false">
      <c r="A281" s="27"/>
      <c r="B281" s="24"/>
      <c r="C281" s="24"/>
      <c r="D281" s="24"/>
      <c r="E281" s="28"/>
      <c r="F281" s="30" t="str">
        <f aca="false">IF($A281="","",$A281-WEEKDAY($A281,3))</f>
        <v/>
      </c>
      <c r="G281" s="29" t="str">
        <f aca="false">IF($A281="","",IF($F281=AsOf-WEEKDAY(AsOf,3),"Yes",""))</f>
        <v/>
      </c>
      <c r="H281" s="29" t="str">
        <f aca="false">IF($G281="Yes",$A281+ROW()/100000,"")</f>
        <v/>
      </c>
    </row>
    <row r="282" customFormat="false" ht="15" hidden="false" customHeight="false" outlineLevel="0" collapsed="false">
      <c r="A282" s="27"/>
      <c r="B282" s="24"/>
      <c r="C282" s="24"/>
      <c r="D282" s="24"/>
      <c r="E282" s="28"/>
      <c r="F282" s="30" t="str">
        <f aca="false">IF($A282="","",$A282-WEEKDAY($A282,3))</f>
        <v/>
      </c>
      <c r="G282" s="29" t="str">
        <f aca="false">IF($A282="","",IF($F282=AsOf-WEEKDAY(AsOf,3),"Yes",""))</f>
        <v/>
      </c>
      <c r="H282" s="29" t="str">
        <f aca="false">IF($G282="Yes",$A282+ROW()/100000,"")</f>
        <v/>
      </c>
    </row>
    <row r="283" customFormat="false" ht="15" hidden="false" customHeight="false" outlineLevel="0" collapsed="false">
      <c r="A283" s="27"/>
      <c r="B283" s="24"/>
      <c r="C283" s="24"/>
      <c r="D283" s="24"/>
      <c r="E283" s="28"/>
      <c r="F283" s="30" t="str">
        <f aca="false">IF($A283="","",$A283-WEEKDAY($A283,3))</f>
        <v/>
      </c>
      <c r="G283" s="29" t="str">
        <f aca="false">IF($A283="","",IF($F283=AsOf-WEEKDAY(AsOf,3),"Yes",""))</f>
        <v/>
      </c>
      <c r="H283" s="29" t="str">
        <f aca="false">IF($G283="Yes",$A283+ROW()/100000,"")</f>
        <v/>
      </c>
    </row>
    <row r="284" customFormat="false" ht="15" hidden="false" customHeight="false" outlineLevel="0" collapsed="false">
      <c r="A284" s="27"/>
      <c r="B284" s="24"/>
      <c r="C284" s="24"/>
      <c r="D284" s="24"/>
      <c r="E284" s="28"/>
      <c r="F284" s="30" t="str">
        <f aca="false">IF($A284="","",$A284-WEEKDAY($A284,3))</f>
        <v/>
      </c>
      <c r="G284" s="29" t="str">
        <f aca="false">IF($A284="","",IF($F284=AsOf-WEEKDAY(AsOf,3),"Yes",""))</f>
        <v/>
      </c>
      <c r="H284" s="29" t="str">
        <f aca="false">IF($G284="Yes",$A284+ROW()/100000,"")</f>
        <v/>
      </c>
    </row>
    <row r="285" customFormat="false" ht="15" hidden="false" customHeight="false" outlineLevel="0" collapsed="false">
      <c r="A285" s="27"/>
      <c r="B285" s="24"/>
      <c r="C285" s="24"/>
      <c r="D285" s="24"/>
      <c r="E285" s="28"/>
      <c r="F285" s="30" t="str">
        <f aca="false">IF($A285="","",$A285-WEEKDAY($A285,3))</f>
        <v/>
      </c>
      <c r="G285" s="29" t="str">
        <f aca="false">IF($A285="","",IF($F285=AsOf-WEEKDAY(AsOf,3),"Yes",""))</f>
        <v/>
      </c>
      <c r="H285" s="29" t="str">
        <f aca="false">IF($G285="Yes",$A285+ROW()/100000,"")</f>
        <v/>
      </c>
    </row>
    <row r="286" customFormat="false" ht="15" hidden="false" customHeight="false" outlineLevel="0" collapsed="false">
      <c r="A286" s="27"/>
      <c r="B286" s="24"/>
      <c r="C286" s="24"/>
      <c r="D286" s="24"/>
      <c r="E286" s="28"/>
      <c r="F286" s="30" t="str">
        <f aca="false">IF($A286="","",$A286-WEEKDAY($A286,3))</f>
        <v/>
      </c>
      <c r="G286" s="29" t="str">
        <f aca="false">IF($A286="","",IF($F286=AsOf-WEEKDAY(AsOf,3),"Yes",""))</f>
        <v/>
      </c>
      <c r="H286" s="29" t="str">
        <f aca="false">IF($G286="Yes",$A286+ROW()/100000,"")</f>
        <v/>
      </c>
    </row>
    <row r="287" customFormat="false" ht="15" hidden="false" customHeight="false" outlineLevel="0" collapsed="false">
      <c r="A287" s="27"/>
      <c r="B287" s="24"/>
      <c r="C287" s="24"/>
      <c r="D287" s="24"/>
      <c r="E287" s="28"/>
      <c r="F287" s="30" t="str">
        <f aca="false">IF($A287="","",$A287-WEEKDAY($A287,3))</f>
        <v/>
      </c>
      <c r="G287" s="29" t="str">
        <f aca="false">IF($A287="","",IF($F287=AsOf-WEEKDAY(AsOf,3),"Yes",""))</f>
        <v/>
      </c>
      <c r="H287" s="29" t="str">
        <f aca="false">IF($G287="Yes",$A287+ROW()/100000,"")</f>
        <v/>
      </c>
    </row>
    <row r="288" customFormat="false" ht="15" hidden="false" customHeight="false" outlineLevel="0" collapsed="false">
      <c r="A288" s="27"/>
      <c r="B288" s="24"/>
      <c r="C288" s="24"/>
      <c r="D288" s="24"/>
      <c r="E288" s="28"/>
      <c r="F288" s="30" t="str">
        <f aca="false">IF($A288="","",$A288-WEEKDAY($A288,3))</f>
        <v/>
      </c>
      <c r="G288" s="29" t="str">
        <f aca="false">IF($A288="","",IF($F288=AsOf-WEEKDAY(AsOf,3),"Yes",""))</f>
        <v/>
      </c>
      <c r="H288" s="29" t="str">
        <f aca="false">IF($G288="Yes",$A288+ROW()/100000,"")</f>
        <v/>
      </c>
    </row>
    <row r="289" customFormat="false" ht="15" hidden="false" customHeight="false" outlineLevel="0" collapsed="false">
      <c r="A289" s="27"/>
      <c r="B289" s="24"/>
      <c r="C289" s="24"/>
      <c r="D289" s="24"/>
      <c r="E289" s="28"/>
      <c r="F289" s="30" t="str">
        <f aca="false">IF($A289="","",$A289-WEEKDAY($A289,3))</f>
        <v/>
      </c>
      <c r="G289" s="29" t="str">
        <f aca="false">IF($A289="","",IF($F289=AsOf-WEEKDAY(AsOf,3),"Yes",""))</f>
        <v/>
      </c>
      <c r="H289" s="29" t="str">
        <f aca="false">IF($G289="Yes",$A289+ROW()/100000,"")</f>
        <v/>
      </c>
    </row>
    <row r="290" customFormat="false" ht="15" hidden="false" customHeight="false" outlineLevel="0" collapsed="false">
      <c r="A290" s="27"/>
      <c r="B290" s="24"/>
      <c r="C290" s="24"/>
      <c r="D290" s="24"/>
      <c r="E290" s="28"/>
      <c r="F290" s="30" t="str">
        <f aca="false">IF($A290="","",$A290-WEEKDAY($A290,3))</f>
        <v/>
      </c>
      <c r="G290" s="29" t="str">
        <f aca="false">IF($A290="","",IF($F290=AsOf-WEEKDAY(AsOf,3),"Yes",""))</f>
        <v/>
      </c>
      <c r="H290" s="29" t="str">
        <f aca="false">IF($G290="Yes",$A290+ROW()/100000,"")</f>
        <v/>
      </c>
    </row>
    <row r="291" customFormat="false" ht="15" hidden="false" customHeight="false" outlineLevel="0" collapsed="false">
      <c r="A291" s="27"/>
      <c r="B291" s="24"/>
      <c r="C291" s="24"/>
      <c r="D291" s="24"/>
      <c r="E291" s="28"/>
      <c r="F291" s="30" t="str">
        <f aca="false">IF($A291="","",$A291-WEEKDAY($A291,3))</f>
        <v/>
      </c>
      <c r="G291" s="29" t="str">
        <f aca="false">IF($A291="","",IF($F291=AsOf-WEEKDAY(AsOf,3),"Yes",""))</f>
        <v/>
      </c>
      <c r="H291" s="29" t="str">
        <f aca="false">IF($G291="Yes",$A291+ROW()/100000,"")</f>
        <v/>
      </c>
    </row>
    <row r="292" customFormat="false" ht="15" hidden="false" customHeight="false" outlineLevel="0" collapsed="false">
      <c r="A292" s="27"/>
      <c r="B292" s="24"/>
      <c r="C292" s="24"/>
      <c r="D292" s="24"/>
      <c r="E292" s="28"/>
      <c r="F292" s="30" t="str">
        <f aca="false">IF($A292="","",$A292-WEEKDAY($A292,3))</f>
        <v/>
      </c>
      <c r="G292" s="29" t="str">
        <f aca="false">IF($A292="","",IF($F292=AsOf-WEEKDAY(AsOf,3),"Yes",""))</f>
        <v/>
      </c>
      <c r="H292" s="29" t="str">
        <f aca="false">IF($G292="Yes",$A292+ROW()/100000,"")</f>
        <v/>
      </c>
    </row>
    <row r="293" customFormat="false" ht="15" hidden="false" customHeight="false" outlineLevel="0" collapsed="false">
      <c r="A293" s="27"/>
      <c r="B293" s="24"/>
      <c r="C293" s="24"/>
      <c r="D293" s="24"/>
      <c r="E293" s="28"/>
      <c r="F293" s="30" t="str">
        <f aca="false">IF($A293="","",$A293-WEEKDAY($A293,3))</f>
        <v/>
      </c>
      <c r="G293" s="29" t="str">
        <f aca="false">IF($A293="","",IF($F293=AsOf-WEEKDAY(AsOf,3),"Yes",""))</f>
        <v/>
      </c>
      <c r="H293" s="29" t="str">
        <f aca="false">IF($G293="Yes",$A293+ROW()/100000,"")</f>
        <v/>
      </c>
    </row>
    <row r="294" customFormat="false" ht="15" hidden="false" customHeight="false" outlineLevel="0" collapsed="false">
      <c r="A294" s="27"/>
      <c r="B294" s="24"/>
      <c r="C294" s="24"/>
      <c r="D294" s="24"/>
      <c r="E294" s="28"/>
      <c r="F294" s="30" t="str">
        <f aca="false">IF($A294="","",$A294-WEEKDAY($A294,3))</f>
        <v/>
      </c>
      <c r="G294" s="29" t="str">
        <f aca="false">IF($A294="","",IF($F294=AsOf-WEEKDAY(AsOf,3),"Yes",""))</f>
        <v/>
      </c>
      <c r="H294" s="29" t="str">
        <f aca="false">IF($G294="Yes",$A294+ROW()/100000,"")</f>
        <v/>
      </c>
    </row>
    <row r="295" customFormat="false" ht="15" hidden="false" customHeight="false" outlineLevel="0" collapsed="false">
      <c r="A295" s="27"/>
      <c r="B295" s="24"/>
      <c r="C295" s="24"/>
      <c r="D295" s="24"/>
      <c r="E295" s="28"/>
      <c r="F295" s="30" t="str">
        <f aca="false">IF($A295="","",$A295-WEEKDAY($A295,3))</f>
        <v/>
      </c>
      <c r="G295" s="29" t="str">
        <f aca="false">IF($A295="","",IF($F295=AsOf-WEEKDAY(AsOf,3),"Yes",""))</f>
        <v/>
      </c>
      <c r="H295" s="29" t="str">
        <f aca="false">IF($G295="Yes",$A295+ROW()/100000,"")</f>
        <v/>
      </c>
    </row>
    <row r="296" customFormat="false" ht="15" hidden="false" customHeight="false" outlineLevel="0" collapsed="false">
      <c r="A296" s="27"/>
      <c r="B296" s="24"/>
      <c r="C296" s="24"/>
      <c r="D296" s="24"/>
      <c r="E296" s="28"/>
      <c r="F296" s="30" t="str">
        <f aca="false">IF($A296="","",$A296-WEEKDAY($A296,3))</f>
        <v/>
      </c>
      <c r="G296" s="29" t="str">
        <f aca="false">IF($A296="","",IF($F296=AsOf-WEEKDAY(AsOf,3),"Yes",""))</f>
        <v/>
      </c>
      <c r="H296" s="29" t="str">
        <f aca="false">IF($G296="Yes",$A296+ROW()/100000,"")</f>
        <v/>
      </c>
    </row>
    <row r="297" customFormat="false" ht="15" hidden="false" customHeight="false" outlineLevel="0" collapsed="false">
      <c r="A297" s="27"/>
      <c r="B297" s="24"/>
      <c r="C297" s="24"/>
      <c r="D297" s="24"/>
      <c r="E297" s="28"/>
      <c r="F297" s="30" t="str">
        <f aca="false">IF($A297="","",$A297-WEEKDAY($A297,3))</f>
        <v/>
      </c>
      <c r="G297" s="29" t="str">
        <f aca="false">IF($A297="","",IF($F297=AsOf-WEEKDAY(AsOf,3),"Yes",""))</f>
        <v/>
      </c>
      <c r="H297" s="29" t="str">
        <f aca="false">IF($G297="Yes",$A297+ROW()/100000,"")</f>
        <v/>
      </c>
    </row>
    <row r="298" customFormat="false" ht="15" hidden="false" customHeight="false" outlineLevel="0" collapsed="false">
      <c r="A298" s="27"/>
      <c r="B298" s="24"/>
      <c r="C298" s="24"/>
      <c r="D298" s="24"/>
      <c r="E298" s="28"/>
      <c r="F298" s="30" t="str">
        <f aca="false">IF($A298="","",$A298-WEEKDAY($A298,3))</f>
        <v/>
      </c>
      <c r="G298" s="29" t="str">
        <f aca="false">IF($A298="","",IF($F298=AsOf-WEEKDAY(AsOf,3),"Yes",""))</f>
        <v/>
      </c>
      <c r="H298" s="29" t="str">
        <f aca="false">IF($G298="Yes",$A298+ROW()/100000,"")</f>
        <v/>
      </c>
    </row>
    <row r="299" customFormat="false" ht="15" hidden="false" customHeight="false" outlineLevel="0" collapsed="false">
      <c r="A299" s="27"/>
      <c r="B299" s="24"/>
      <c r="C299" s="24"/>
      <c r="D299" s="24"/>
      <c r="E299" s="28"/>
      <c r="F299" s="30" t="str">
        <f aca="false">IF($A299="","",$A299-WEEKDAY($A299,3))</f>
        <v/>
      </c>
      <c r="G299" s="29" t="str">
        <f aca="false">IF($A299="","",IF($F299=AsOf-WEEKDAY(AsOf,3),"Yes",""))</f>
        <v/>
      </c>
      <c r="H299" s="29" t="str">
        <f aca="false">IF($G299="Yes",$A299+ROW()/100000,"")</f>
        <v/>
      </c>
    </row>
    <row r="300" customFormat="false" ht="15" hidden="false" customHeight="false" outlineLevel="0" collapsed="false">
      <c r="A300" s="27"/>
      <c r="B300" s="24"/>
      <c r="C300" s="24"/>
      <c r="D300" s="24"/>
      <c r="E300" s="28"/>
      <c r="F300" s="30" t="str">
        <f aca="false">IF($A300="","",$A300-WEEKDAY($A300,3))</f>
        <v/>
      </c>
      <c r="G300" s="29" t="str">
        <f aca="false">IF($A300="","",IF($F300=AsOf-WEEKDAY(AsOf,3),"Yes",""))</f>
        <v/>
      </c>
      <c r="H300" s="29" t="str">
        <f aca="false">IF($G300="Yes",$A300+ROW()/100000,"")</f>
        <v/>
      </c>
    </row>
    <row r="301" customFormat="false" ht="15" hidden="false" customHeight="false" outlineLevel="0" collapsed="false">
      <c r="A301" s="27"/>
      <c r="B301" s="24"/>
      <c r="C301" s="24"/>
      <c r="D301" s="24"/>
      <c r="E301" s="28"/>
      <c r="F301" s="30" t="str">
        <f aca="false">IF($A301="","",$A301-WEEKDAY($A301,3))</f>
        <v/>
      </c>
      <c r="G301" s="29" t="str">
        <f aca="false">IF($A301="","",IF($F301=AsOf-WEEKDAY(AsOf,3),"Yes",""))</f>
        <v/>
      </c>
      <c r="H301" s="29" t="str">
        <f aca="false">IF($G301="Yes",$A301+ROW()/100000,"")</f>
        <v/>
      </c>
    </row>
    <row r="302" customFormat="false" ht="15" hidden="false" customHeight="false" outlineLevel="0" collapsed="false">
      <c r="A302" s="27"/>
      <c r="B302" s="24"/>
      <c r="C302" s="24"/>
      <c r="D302" s="24"/>
      <c r="E302" s="28"/>
      <c r="F302" s="30" t="str">
        <f aca="false">IF($A302="","",$A302-WEEKDAY($A302,3))</f>
        <v/>
      </c>
      <c r="G302" s="29" t="str">
        <f aca="false">IF($A302="","",IF($F302=AsOf-WEEKDAY(AsOf,3),"Yes",""))</f>
        <v/>
      </c>
      <c r="H302" s="29" t="str">
        <f aca="false">IF($G302="Yes",$A302+ROW()/100000,"")</f>
        <v/>
      </c>
    </row>
    <row r="303" customFormat="false" ht="15" hidden="false" customHeight="false" outlineLevel="0" collapsed="false">
      <c r="A303" s="27"/>
      <c r="B303" s="24"/>
      <c r="C303" s="24"/>
      <c r="D303" s="24"/>
      <c r="E303" s="28"/>
      <c r="F303" s="30" t="str">
        <f aca="false">IF($A303="","",$A303-WEEKDAY($A303,3))</f>
        <v/>
      </c>
      <c r="G303" s="29" t="str">
        <f aca="false">IF($A303="","",IF($F303=AsOf-WEEKDAY(AsOf,3),"Yes",""))</f>
        <v/>
      </c>
      <c r="H303" s="29" t="str">
        <f aca="false">IF($G303="Yes",$A303+ROW()/100000,"")</f>
        <v/>
      </c>
    </row>
    <row r="304" customFormat="false" ht="15" hidden="false" customHeight="false" outlineLevel="0" collapsed="false">
      <c r="A304" s="27"/>
      <c r="B304" s="24"/>
      <c r="C304" s="24"/>
      <c r="D304" s="24"/>
      <c r="E304" s="28"/>
      <c r="F304" s="30" t="str">
        <f aca="false">IF($A304="","",$A304-WEEKDAY($A304,3))</f>
        <v/>
      </c>
      <c r="G304" s="29" t="str">
        <f aca="false">IF($A304="","",IF($F304=AsOf-WEEKDAY(AsOf,3),"Yes",""))</f>
        <v/>
      </c>
      <c r="H304" s="29" t="str">
        <f aca="false">IF($G304="Yes",$A304+ROW()/100000,"")</f>
        <v/>
      </c>
    </row>
    <row r="305" customFormat="false" ht="15" hidden="false" customHeight="false" outlineLevel="0" collapsed="false">
      <c r="A305" s="27"/>
      <c r="B305" s="24"/>
      <c r="C305" s="24"/>
      <c r="D305" s="24"/>
      <c r="E305" s="28"/>
      <c r="F305" s="30" t="str">
        <f aca="false">IF($A305="","",$A305-WEEKDAY($A305,3))</f>
        <v/>
      </c>
      <c r="G305" s="29" t="str">
        <f aca="false">IF($A305="","",IF($F305=AsOf-WEEKDAY(AsOf,3),"Yes",""))</f>
        <v/>
      </c>
      <c r="H305" s="29" t="str">
        <f aca="false">IF($G305="Yes",$A305+ROW()/100000,"")</f>
        <v/>
      </c>
    </row>
    <row r="306" customFormat="false" ht="15" hidden="false" customHeight="false" outlineLevel="0" collapsed="false">
      <c r="A306" s="27"/>
      <c r="B306" s="24"/>
      <c r="C306" s="24"/>
      <c r="D306" s="24"/>
      <c r="E306" s="28"/>
      <c r="F306" s="30" t="str">
        <f aca="false">IF($A306="","",$A306-WEEKDAY($A306,3))</f>
        <v/>
      </c>
      <c r="G306" s="29" t="str">
        <f aca="false">IF($A306="","",IF($F306=AsOf-WEEKDAY(AsOf,3),"Yes",""))</f>
        <v/>
      </c>
      <c r="H306" s="29" t="str">
        <f aca="false">IF($G306="Yes",$A306+ROW()/100000,"")</f>
        <v/>
      </c>
    </row>
    <row r="307" customFormat="false" ht="15" hidden="false" customHeight="false" outlineLevel="0" collapsed="false">
      <c r="A307" s="27"/>
      <c r="B307" s="24"/>
      <c r="C307" s="24"/>
      <c r="D307" s="24"/>
      <c r="E307" s="28"/>
      <c r="F307" s="30" t="str">
        <f aca="false">IF($A307="","",$A307-WEEKDAY($A307,3))</f>
        <v/>
      </c>
      <c r="G307" s="29" t="str">
        <f aca="false">IF($A307="","",IF($F307=AsOf-WEEKDAY(AsOf,3),"Yes",""))</f>
        <v/>
      </c>
      <c r="H307" s="29" t="str">
        <f aca="false">IF($G307="Yes",$A307+ROW()/100000,"")</f>
        <v/>
      </c>
    </row>
    <row r="308" customFormat="false" ht="15" hidden="false" customHeight="false" outlineLevel="0" collapsed="false">
      <c r="A308" s="27"/>
      <c r="B308" s="24"/>
      <c r="C308" s="24"/>
      <c r="D308" s="24"/>
      <c r="E308" s="28"/>
      <c r="F308" s="30" t="str">
        <f aca="false">IF($A308="","",$A308-WEEKDAY($A308,3))</f>
        <v/>
      </c>
      <c r="G308" s="29" t="str">
        <f aca="false">IF($A308="","",IF($F308=AsOf-WEEKDAY(AsOf,3),"Yes",""))</f>
        <v/>
      </c>
      <c r="H308" s="29" t="str">
        <f aca="false">IF($G308="Yes",$A308+ROW()/100000,"")</f>
        <v/>
      </c>
    </row>
    <row r="309" customFormat="false" ht="15" hidden="false" customHeight="false" outlineLevel="0" collapsed="false">
      <c r="A309" s="27"/>
      <c r="B309" s="24"/>
      <c r="C309" s="24"/>
      <c r="D309" s="24"/>
      <c r="E309" s="28"/>
      <c r="F309" s="30" t="str">
        <f aca="false">IF($A309="","",$A309-WEEKDAY($A309,3))</f>
        <v/>
      </c>
      <c r="G309" s="29" t="str">
        <f aca="false">IF($A309="","",IF($F309=AsOf-WEEKDAY(AsOf,3),"Yes",""))</f>
        <v/>
      </c>
      <c r="H309" s="29" t="str">
        <f aca="false">IF($G309="Yes",$A309+ROW()/100000,"")</f>
        <v/>
      </c>
    </row>
    <row r="310" customFormat="false" ht="15" hidden="false" customHeight="false" outlineLevel="0" collapsed="false">
      <c r="A310" s="27"/>
      <c r="B310" s="24"/>
      <c r="C310" s="24"/>
      <c r="D310" s="24"/>
      <c r="E310" s="28"/>
      <c r="F310" s="30" t="str">
        <f aca="false">IF($A310="","",$A310-WEEKDAY($A310,3))</f>
        <v/>
      </c>
      <c r="G310" s="29" t="str">
        <f aca="false">IF($A310="","",IF($F310=AsOf-WEEKDAY(AsOf,3),"Yes",""))</f>
        <v/>
      </c>
      <c r="H310" s="29" t="str">
        <f aca="false">IF($G310="Yes",$A310+ROW()/100000,"")</f>
        <v/>
      </c>
    </row>
    <row r="311" customFormat="false" ht="15" hidden="false" customHeight="false" outlineLevel="0" collapsed="false">
      <c r="A311" s="27"/>
      <c r="B311" s="24"/>
      <c r="C311" s="24"/>
      <c r="D311" s="24"/>
      <c r="E311" s="28"/>
      <c r="F311" s="30" t="str">
        <f aca="false">IF($A311="","",$A311-WEEKDAY($A311,3))</f>
        <v/>
      </c>
      <c r="G311" s="29" t="str">
        <f aca="false">IF($A311="","",IF($F311=AsOf-WEEKDAY(AsOf,3),"Yes",""))</f>
        <v/>
      </c>
      <c r="H311" s="29" t="str">
        <f aca="false">IF($G311="Yes",$A311+ROW()/100000,"")</f>
        <v/>
      </c>
    </row>
    <row r="312" customFormat="false" ht="15" hidden="false" customHeight="false" outlineLevel="0" collapsed="false">
      <c r="A312" s="27"/>
      <c r="B312" s="24"/>
      <c r="C312" s="24"/>
      <c r="D312" s="24"/>
      <c r="E312" s="28"/>
      <c r="F312" s="30" t="str">
        <f aca="false">IF($A312="","",$A312-WEEKDAY($A312,3))</f>
        <v/>
      </c>
      <c r="G312" s="29" t="str">
        <f aca="false">IF($A312="","",IF($F312=AsOf-WEEKDAY(AsOf,3),"Yes",""))</f>
        <v/>
      </c>
      <c r="H312" s="29" t="str">
        <f aca="false">IF($G312="Yes",$A312+ROW()/100000,"")</f>
        <v/>
      </c>
    </row>
    <row r="313" customFormat="false" ht="15" hidden="false" customHeight="false" outlineLevel="0" collapsed="false">
      <c r="A313" s="27"/>
      <c r="B313" s="24"/>
      <c r="C313" s="24"/>
      <c r="D313" s="24"/>
      <c r="E313" s="28"/>
      <c r="F313" s="30" t="str">
        <f aca="false">IF($A313="","",$A313-WEEKDAY($A313,3))</f>
        <v/>
      </c>
      <c r="G313" s="29" t="str">
        <f aca="false">IF($A313="","",IF($F313=AsOf-WEEKDAY(AsOf,3),"Yes",""))</f>
        <v/>
      </c>
      <c r="H313" s="29" t="str">
        <f aca="false">IF($G313="Yes",$A313+ROW()/100000,"")</f>
        <v/>
      </c>
    </row>
    <row r="314" customFormat="false" ht="15" hidden="false" customHeight="false" outlineLevel="0" collapsed="false">
      <c r="A314" s="27"/>
      <c r="B314" s="24"/>
      <c r="C314" s="24"/>
      <c r="D314" s="24"/>
      <c r="E314" s="28"/>
      <c r="F314" s="30" t="str">
        <f aca="false">IF($A314="","",$A314-WEEKDAY($A314,3))</f>
        <v/>
      </c>
      <c r="G314" s="29" t="str">
        <f aca="false">IF($A314="","",IF($F314=AsOf-WEEKDAY(AsOf,3),"Yes",""))</f>
        <v/>
      </c>
      <c r="H314" s="29" t="str">
        <f aca="false">IF($G314="Yes",$A314+ROW()/100000,"")</f>
        <v/>
      </c>
    </row>
    <row r="315" customFormat="false" ht="15" hidden="false" customHeight="false" outlineLevel="0" collapsed="false">
      <c r="A315" s="27"/>
      <c r="B315" s="24"/>
      <c r="C315" s="24"/>
      <c r="D315" s="24"/>
      <c r="E315" s="28"/>
      <c r="F315" s="30" t="str">
        <f aca="false">IF($A315="","",$A315-WEEKDAY($A315,3))</f>
        <v/>
      </c>
      <c r="G315" s="29" t="str">
        <f aca="false">IF($A315="","",IF($F315=AsOf-WEEKDAY(AsOf,3),"Yes",""))</f>
        <v/>
      </c>
      <c r="H315" s="29" t="str">
        <f aca="false">IF($G315="Yes",$A315+ROW()/100000,"")</f>
        <v/>
      </c>
    </row>
    <row r="316" customFormat="false" ht="15" hidden="false" customHeight="false" outlineLevel="0" collapsed="false">
      <c r="A316" s="27"/>
      <c r="B316" s="24"/>
      <c r="C316" s="24"/>
      <c r="D316" s="24"/>
      <c r="E316" s="28"/>
      <c r="F316" s="30" t="str">
        <f aca="false">IF($A316="","",$A316-WEEKDAY($A316,3))</f>
        <v/>
      </c>
      <c r="G316" s="29" t="str">
        <f aca="false">IF($A316="","",IF($F316=AsOf-WEEKDAY(AsOf,3),"Yes",""))</f>
        <v/>
      </c>
      <c r="H316" s="29" t="str">
        <f aca="false">IF($G316="Yes",$A316+ROW()/100000,"")</f>
        <v/>
      </c>
    </row>
    <row r="317" customFormat="false" ht="15" hidden="false" customHeight="false" outlineLevel="0" collapsed="false">
      <c r="A317" s="27"/>
      <c r="B317" s="24"/>
      <c r="C317" s="24"/>
      <c r="D317" s="24"/>
      <c r="E317" s="28"/>
      <c r="F317" s="30" t="str">
        <f aca="false">IF($A317="","",$A317-WEEKDAY($A317,3))</f>
        <v/>
      </c>
      <c r="G317" s="29" t="str">
        <f aca="false">IF($A317="","",IF($F317=AsOf-WEEKDAY(AsOf,3),"Yes",""))</f>
        <v/>
      </c>
      <c r="H317" s="29" t="str">
        <f aca="false">IF($G317="Yes",$A317+ROW()/100000,"")</f>
        <v/>
      </c>
    </row>
    <row r="318" customFormat="false" ht="15" hidden="false" customHeight="false" outlineLevel="0" collapsed="false">
      <c r="A318" s="27"/>
      <c r="B318" s="24"/>
      <c r="C318" s="24"/>
      <c r="D318" s="24"/>
      <c r="E318" s="28"/>
      <c r="F318" s="30" t="str">
        <f aca="false">IF($A318="","",$A318-WEEKDAY($A318,3))</f>
        <v/>
      </c>
      <c r="G318" s="29" t="str">
        <f aca="false">IF($A318="","",IF($F318=AsOf-WEEKDAY(AsOf,3),"Yes",""))</f>
        <v/>
      </c>
      <c r="H318" s="29" t="str">
        <f aca="false">IF($G318="Yes",$A318+ROW()/100000,"")</f>
        <v/>
      </c>
    </row>
    <row r="319" customFormat="false" ht="15" hidden="false" customHeight="false" outlineLevel="0" collapsed="false">
      <c r="A319" s="27"/>
      <c r="B319" s="24"/>
      <c r="C319" s="24"/>
      <c r="D319" s="24"/>
      <c r="E319" s="28"/>
      <c r="F319" s="30" t="str">
        <f aca="false">IF($A319="","",$A319-WEEKDAY($A319,3))</f>
        <v/>
      </c>
      <c r="G319" s="29" t="str">
        <f aca="false">IF($A319="","",IF($F319=AsOf-WEEKDAY(AsOf,3),"Yes",""))</f>
        <v/>
      </c>
      <c r="H319" s="29" t="str">
        <f aca="false">IF($G319="Yes",$A319+ROW()/100000,"")</f>
        <v/>
      </c>
    </row>
    <row r="320" customFormat="false" ht="15" hidden="false" customHeight="false" outlineLevel="0" collapsed="false">
      <c r="A320" s="27"/>
      <c r="B320" s="24"/>
      <c r="C320" s="24"/>
      <c r="D320" s="24"/>
      <c r="E320" s="28"/>
      <c r="F320" s="30" t="str">
        <f aca="false">IF($A320="","",$A320-WEEKDAY($A320,3))</f>
        <v/>
      </c>
      <c r="G320" s="29" t="str">
        <f aca="false">IF($A320="","",IF($F320=AsOf-WEEKDAY(AsOf,3),"Yes",""))</f>
        <v/>
      </c>
      <c r="H320" s="29" t="str">
        <f aca="false">IF($G320="Yes",$A320+ROW()/100000,"")</f>
        <v/>
      </c>
    </row>
    <row r="321" customFormat="false" ht="15" hidden="false" customHeight="false" outlineLevel="0" collapsed="false">
      <c r="A321" s="27"/>
      <c r="B321" s="24"/>
      <c r="C321" s="24"/>
      <c r="D321" s="24"/>
      <c r="E321" s="28"/>
      <c r="F321" s="30" t="str">
        <f aca="false">IF($A321="","",$A321-WEEKDAY($A321,3))</f>
        <v/>
      </c>
      <c r="G321" s="29" t="str">
        <f aca="false">IF($A321="","",IF($F321=AsOf-WEEKDAY(AsOf,3),"Yes",""))</f>
        <v/>
      </c>
      <c r="H321" s="29" t="str">
        <f aca="false">IF($G321="Yes",$A321+ROW()/100000,"")</f>
        <v/>
      </c>
    </row>
    <row r="322" customFormat="false" ht="15" hidden="false" customHeight="false" outlineLevel="0" collapsed="false">
      <c r="A322" s="27"/>
      <c r="B322" s="24"/>
      <c r="C322" s="24"/>
      <c r="D322" s="24"/>
      <c r="E322" s="28"/>
      <c r="F322" s="30" t="str">
        <f aca="false">IF($A322="","",$A322-WEEKDAY($A322,3))</f>
        <v/>
      </c>
      <c r="G322" s="29" t="str">
        <f aca="false">IF($A322="","",IF($F322=AsOf-WEEKDAY(AsOf,3),"Yes",""))</f>
        <v/>
      </c>
      <c r="H322" s="29" t="str">
        <f aca="false">IF($G322="Yes",$A322+ROW()/100000,"")</f>
        <v/>
      </c>
    </row>
    <row r="323" customFormat="false" ht="15" hidden="false" customHeight="false" outlineLevel="0" collapsed="false">
      <c r="A323" s="27"/>
      <c r="B323" s="24"/>
      <c r="C323" s="24"/>
      <c r="D323" s="24"/>
      <c r="E323" s="28"/>
      <c r="F323" s="30" t="str">
        <f aca="false">IF($A323="","",$A323-WEEKDAY($A323,3))</f>
        <v/>
      </c>
      <c r="G323" s="29" t="str">
        <f aca="false">IF($A323="","",IF($F323=AsOf-WEEKDAY(AsOf,3),"Yes",""))</f>
        <v/>
      </c>
      <c r="H323" s="29" t="str">
        <f aca="false">IF($G323="Yes",$A323+ROW()/100000,"")</f>
        <v/>
      </c>
    </row>
    <row r="324" customFormat="false" ht="15" hidden="false" customHeight="false" outlineLevel="0" collapsed="false">
      <c r="A324" s="27"/>
      <c r="B324" s="24"/>
      <c r="C324" s="24"/>
      <c r="D324" s="24"/>
      <c r="E324" s="28"/>
      <c r="F324" s="30" t="str">
        <f aca="false">IF($A324="","",$A324-WEEKDAY($A324,3))</f>
        <v/>
      </c>
      <c r="G324" s="29" t="str">
        <f aca="false">IF($A324="","",IF($F324=AsOf-WEEKDAY(AsOf,3),"Yes",""))</f>
        <v/>
      </c>
      <c r="H324" s="29" t="str">
        <f aca="false">IF($G324="Yes",$A324+ROW()/100000,"")</f>
        <v/>
      </c>
    </row>
    <row r="325" customFormat="false" ht="15" hidden="false" customHeight="false" outlineLevel="0" collapsed="false">
      <c r="A325" s="27"/>
      <c r="B325" s="24"/>
      <c r="C325" s="24"/>
      <c r="D325" s="24"/>
      <c r="E325" s="28"/>
      <c r="F325" s="30" t="str">
        <f aca="false">IF($A325="","",$A325-WEEKDAY($A325,3))</f>
        <v/>
      </c>
      <c r="G325" s="29" t="str">
        <f aca="false">IF($A325="","",IF($F325=AsOf-WEEKDAY(AsOf,3),"Yes",""))</f>
        <v/>
      </c>
      <c r="H325" s="29" t="str">
        <f aca="false">IF($G325="Yes",$A325+ROW()/100000,"")</f>
        <v/>
      </c>
    </row>
    <row r="326" customFormat="false" ht="15" hidden="false" customHeight="false" outlineLevel="0" collapsed="false">
      <c r="A326" s="27"/>
      <c r="B326" s="24"/>
      <c r="C326" s="24"/>
      <c r="D326" s="24"/>
      <c r="E326" s="28"/>
      <c r="F326" s="30" t="str">
        <f aca="false">IF($A326="","",$A326-WEEKDAY($A326,3))</f>
        <v/>
      </c>
      <c r="G326" s="29" t="str">
        <f aca="false">IF($A326="","",IF($F326=AsOf-WEEKDAY(AsOf,3),"Yes",""))</f>
        <v/>
      </c>
      <c r="H326" s="29" t="str">
        <f aca="false">IF($G326="Yes",$A326+ROW()/100000,"")</f>
        <v/>
      </c>
    </row>
    <row r="327" customFormat="false" ht="15" hidden="false" customHeight="false" outlineLevel="0" collapsed="false">
      <c r="A327" s="27"/>
      <c r="B327" s="24"/>
      <c r="C327" s="24"/>
      <c r="D327" s="24"/>
      <c r="E327" s="28"/>
      <c r="F327" s="30" t="str">
        <f aca="false">IF($A327="","",$A327-WEEKDAY($A327,3))</f>
        <v/>
      </c>
      <c r="G327" s="29" t="str">
        <f aca="false">IF($A327="","",IF($F327=AsOf-WEEKDAY(AsOf,3),"Yes",""))</f>
        <v/>
      </c>
      <c r="H327" s="29" t="str">
        <f aca="false">IF($G327="Yes",$A327+ROW()/100000,"")</f>
        <v/>
      </c>
    </row>
    <row r="328" customFormat="false" ht="15" hidden="false" customHeight="false" outlineLevel="0" collapsed="false">
      <c r="A328" s="27"/>
      <c r="B328" s="24"/>
      <c r="C328" s="24"/>
      <c r="D328" s="24"/>
      <c r="E328" s="28"/>
      <c r="F328" s="30" t="str">
        <f aca="false">IF($A328="","",$A328-WEEKDAY($A328,3))</f>
        <v/>
      </c>
      <c r="G328" s="29" t="str">
        <f aca="false">IF($A328="","",IF($F328=AsOf-WEEKDAY(AsOf,3),"Yes",""))</f>
        <v/>
      </c>
      <c r="H328" s="29" t="str">
        <f aca="false">IF($G328="Yes",$A328+ROW()/100000,"")</f>
        <v/>
      </c>
    </row>
    <row r="329" customFormat="false" ht="15" hidden="false" customHeight="false" outlineLevel="0" collapsed="false">
      <c r="A329" s="27"/>
      <c r="B329" s="24"/>
      <c r="C329" s="24"/>
      <c r="D329" s="24"/>
      <c r="E329" s="28"/>
      <c r="F329" s="30" t="str">
        <f aca="false">IF($A329="","",$A329-WEEKDAY($A329,3))</f>
        <v/>
      </c>
      <c r="G329" s="29" t="str">
        <f aca="false">IF($A329="","",IF($F329=AsOf-WEEKDAY(AsOf,3),"Yes",""))</f>
        <v/>
      </c>
      <c r="H329" s="29" t="str">
        <f aca="false">IF($G329="Yes",$A329+ROW()/100000,"")</f>
        <v/>
      </c>
    </row>
    <row r="330" customFormat="false" ht="15" hidden="false" customHeight="false" outlineLevel="0" collapsed="false">
      <c r="A330" s="27"/>
      <c r="B330" s="24"/>
      <c r="C330" s="24"/>
      <c r="D330" s="24"/>
      <c r="E330" s="28"/>
      <c r="F330" s="30" t="str">
        <f aca="false">IF($A330="","",$A330-WEEKDAY($A330,3))</f>
        <v/>
      </c>
      <c r="G330" s="29" t="str">
        <f aca="false">IF($A330="","",IF($F330=AsOf-WEEKDAY(AsOf,3),"Yes",""))</f>
        <v/>
      </c>
      <c r="H330" s="29" t="str">
        <f aca="false">IF($G330="Yes",$A330+ROW()/100000,"")</f>
        <v/>
      </c>
    </row>
    <row r="331" customFormat="false" ht="15" hidden="false" customHeight="false" outlineLevel="0" collapsed="false">
      <c r="A331" s="27"/>
      <c r="B331" s="24"/>
      <c r="C331" s="24"/>
      <c r="D331" s="24"/>
      <c r="E331" s="28"/>
      <c r="F331" s="30" t="str">
        <f aca="false">IF($A331="","",$A331-WEEKDAY($A331,3))</f>
        <v/>
      </c>
      <c r="G331" s="29" t="str">
        <f aca="false">IF($A331="","",IF($F331=AsOf-WEEKDAY(AsOf,3),"Yes",""))</f>
        <v/>
      </c>
      <c r="H331" s="29" t="str">
        <f aca="false">IF($G331="Yes",$A331+ROW()/100000,"")</f>
        <v/>
      </c>
    </row>
    <row r="332" customFormat="false" ht="15" hidden="false" customHeight="false" outlineLevel="0" collapsed="false">
      <c r="A332" s="27"/>
      <c r="B332" s="24"/>
      <c r="C332" s="24"/>
      <c r="D332" s="24"/>
      <c r="E332" s="28"/>
      <c r="F332" s="30" t="str">
        <f aca="false">IF($A332="","",$A332-WEEKDAY($A332,3))</f>
        <v/>
      </c>
      <c r="G332" s="29" t="str">
        <f aca="false">IF($A332="","",IF($F332=AsOf-WEEKDAY(AsOf,3),"Yes",""))</f>
        <v/>
      </c>
      <c r="H332" s="29" t="str">
        <f aca="false">IF($G332="Yes",$A332+ROW()/100000,"")</f>
        <v/>
      </c>
    </row>
    <row r="333" customFormat="false" ht="15" hidden="false" customHeight="false" outlineLevel="0" collapsed="false">
      <c r="A333" s="27"/>
      <c r="B333" s="24"/>
      <c r="C333" s="24"/>
      <c r="D333" s="24"/>
      <c r="E333" s="28"/>
      <c r="F333" s="30" t="str">
        <f aca="false">IF($A333="","",$A333-WEEKDAY($A333,3))</f>
        <v/>
      </c>
      <c r="G333" s="29" t="str">
        <f aca="false">IF($A333="","",IF($F333=AsOf-WEEKDAY(AsOf,3),"Yes",""))</f>
        <v/>
      </c>
      <c r="H333" s="29" t="str">
        <f aca="false">IF($G333="Yes",$A333+ROW()/100000,"")</f>
        <v/>
      </c>
    </row>
    <row r="334" customFormat="false" ht="15" hidden="false" customHeight="false" outlineLevel="0" collapsed="false">
      <c r="A334" s="27"/>
      <c r="B334" s="24"/>
      <c r="C334" s="24"/>
      <c r="D334" s="24"/>
      <c r="E334" s="28"/>
      <c r="F334" s="30" t="str">
        <f aca="false">IF($A334="","",$A334-WEEKDAY($A334,3))</f>
        <v/>
      </c>
      <c r="G334" s="29" t="str">
        <f aca="false">IF($A334="","",IF($F334=AsOf-WEEKDAY(AsOf,3),"Yes",""))</f>
        <v/>
      </c>
      <c r="H334" s="29" t="str">
        <f aca="false">IF($G334="Yes",$A334+ROW()/100000,"")</f>
        <v/>
      </c>
    </row>
    <row r="335" customFormat="false" ht="15" hidden="false" customHeight="false" outlineLevel="0" collapsed="false">
      <c r="A335" s="27"/>
      <c r="B335" s="24"/>
      <c r="C335" s="24"/>
      <c r="D335" s="24"/>
      <c r="E335" s="28"/>
      <c r="F335" s="30" t="str">
        <f aca="false">IF($A335="","",$A335-WEEKDAY($A335,3))</f>
        <v/>
      </c>
      <c r="G335" s="29" t="str">
        <f aca="false">IF($A335="","",IF($F335=AsOf-WEEKDAY(AsOf,3),"Yes",""))</f>
        <v/>
      </c>
      <c r="H335" s="29" t="str">
        <f aca="false">IF($G335="Yes",$A335+ROW()/100000,"")</f>
        <v/>
      </c>
    </row>
    <row r="336" customFormat="false" ht="15" hidden="false" customHeight="false" outlineLevel="0" collapsed="false">
      <c r="A336" s="27"/>
      <c r="B336" s="24"/>
      <c r="C336" s="24"/>
      <c r="D336" s="24"/>
      <c r="E336" s="28"/>
      <c r="F336" s="30" t="str">
        <f aca="false">IF($A336="","",$A336-WEEKDAY($A336,3))</f>
        <v/>
      </c>
      <c r="G336" s="29" t="str">
        <f aca="false">IF($A336="","",IF($F336=AsOf-WEEKDAY(AsOf,3),"Yes",""))</f>
        <v/>
      </c>
      <c r="H336" s="29" t="str">
        <f aca="false">IF($G336="Yes",$A336+ROW()/100000,"")</f>
        <v/>
      </c>
    </row>
    <row r="337" customFormat="false" ht="15" hidden="false" customHeight="false" outlineLevel="0" collapsed="false">
      <c r="A337" s="27"/>
      <c r="B337" s="24"/>
      <c r="C337" s="24"/>
      <c r="D337" s="24"/>
      <c r="E337" s="28"/>
      <c r="F337" s="30" t="str">
        <f aca="false">IF($A337="","",$A337-WEEKDAY($A337,3))</f>
        <v/>
      </c>
      <c r="G337" s="29" t="str">
        <f aca="false">IF($A337="","",IF($F337=AsOf-WEEKDAY(AsOf,3),"Yes",""))</f>
        <v/>
      </c>
      <c r="H337" s="29" t="str">
        <f aca="false">IF($G337="Yes",$A337+ROW()/100000,"")</f>
        <v/>
      </c>
    </row>
    <row r="338" customFormat="false" ht="15" hidden="false" customHeight="false" outlineLevel="0" collapsed="false">
      <c r="A338" s="27"/>
      <c r="B338" s="24"/>
      <c r="C338" s="24"/>
      <c r="D338" s="24"/>
      <c r="E338" s="28"/>
      <c r="F338" s="30" t="str">
        <f aca="false">IF($A338="","",$A338-WEEKDAY($A338,3))</f>
        <v/>
      </c>
      <c r="G338" s="29" t="str">
        <f aca="false">IF($A338="","",IF($F338=AsOf-WEEKDAY(AsOf,3),"Yes",""))</f>
        <v/>
      </c>
      <c r="H338" s="29" t="str">
        <f aca="false">IF($G338="Yes",$A338+ROW()/100000,"")</f>
        <v/>
      </c>
    </row>
    <row r="339" customFormat="false" ht="15" hidden="false" customHeight="false" outlineLevel="0" collapsed="false">
      <c r="A339" s="27"/>
      <c r="B339" s="24"/>
      <c r="C339" s="24"/>
      <c r="D339" s="24"/>
      <c r="E339" s="28"/>
      <c r="F339" s="30" t="str">
        <f aca="false">IF($A339="","",$A339-WEEKDAY($A339,3))</f>
        <v/>
      </c>
      <c r="G339" s="29" t="str">
        <f aca="false">IF($A339="","",IF($F339=AsOf-WEEKDAY(AsOf,3),"Yes",""))</f>
        <v/>
      </c>
      <c r="H339" s="29" t="str">
        <f aca="false">IF($G339="Yes",$A339+ROW()/100000,"")</f>
        <v/>
      </c>
    </row>
    <row r="340" customFormat="false" ht="15" hidden="false" customHeight="false" outlineLevel="0" collapsed="false">
      <c r="A340" s="27"/>
      <c r="B340" s="24"/>
      <c r="C340" s="24"/>
      <c r="D340" s="24"/>
      <c r="E340" s="28"/>
      <c r="F340" s="30" t="str">
        <f aca="false">IF($A340="","",$A340-WEEKDAY($A340,3))</f>
        <v/>
      </c>
      <c r="G340" s="29" t="str">
        <f aca="false">IF($A340="","",IF($F340=AsOf-WEEKDAY(AsOf,3),"Yes",""))</f>
        <v/>
      </c>
      <c r="H340" s="29" t="str">
        <f aca="false">IF($G340="Yes",$A340+ROW()/100000,"")</f>
        <v/>
      </c>
    </row>
    <row r="341" customFormat="false" ht="15" hidden="false" customHeight="false" outlineLevel="0" collapsed="false">
      <c r="A341" s="27"/>
      <c r="B341" s="24"/>
      <c r="C341" s="24"/>
      <c r="D341" s="24"/>
      <c r="E341" s="28"/>
      <c r="F341" s="30" t="str">
        <f aca="false">IF($A341="","",$A341-WEEKDAY($A341,3))</f>
        <v/>
      </c>
      <c r="G341" s="29" t="str">
        <f aca="false">IF($A341="","",IF($F341=AsOf-WEEKDAY(AsOf,3),"Yes",""))</f>
        <v/>
      </c>
      <c r="H341" s="29" t="str">
        <f aca="false">IF($G341="Yes",$A341+ROW()/100000,"")</f>
        <v/>
      </c>
    </row>
    <row r="342" customFormat="false" ht="15" hidden="false" customHeight="false" outlineLevel="0" collapsed="false">
      <c r="A342" s="27"/>
      <c r="B342" s="24"/>
      <c r="C342" s="24"/>
      <c r="D342" s="24"/>
      <c r="E342" s="28"/>
      <c r="F342" s="30" t="str">
        <f aca="false">IF($A342="","",$A342-WEEKDAY($A342,3))</f>
        <v/>
      </c>
      <c r="G342" s="29" t="str">
        <f aca="false">IF($A342="","",IF($F342=AsOf-WEEKDAY(AsOf,3),"Yes",""))</f>
        <v/>
      </c>
      <c r="H342" s="29" t="str">
        <f aca="false">IF($G342="Yes",$A342+ROW()/100000,"")</f>
        <v/>
      </c>
    </row>
    <row r="343" customFormat="false" ht="15" hidden="false" customHeight="false" outlineLevel="0" collapsed="false">
      <c r="A343" s="27"/>
      <c r="B343" s="24"/>
      <c r="C343" s="24"/>
      <c r="D343" s="24"/>
      <c r="E343" s="28"/>
      <c r="F343" s="30" t="str">
        <f aca="false">IF($A343="","",$A343-WEEKDAY($A343,3))</f>
        <v/>
      </c>
      <c r="G343" s="29" t="str">
        <f aca="false">IF($A343="","",IF($F343=AsOf-WEEKDAY(AsOf,3),"Yes",""))</f>
        <v/>
      </c>
      <c r="H343" s="29" t="str">
        <f aca="false">IF($G343="Yes",$A343+ROW()/100000,"")</f>
        <v/>
      </c>
    </row>
    <row r="344" customFormat="false" ht="15" hidden="false" customHeight="false" outlineLevel="0" collapsed="false">
      <c r="A344" s="27"/>
      <c r="B344" s="24"/>
      <c r="C344" s="24"/>
      <c r="D344" s="24"/>
      <c r="E344" s="28"/>
      <c r="F344" s="30" t="str">
        <f aca="false">IF($A344="","",$A344-WEEKDAY($A344,3))</f>
        <v/>
      </c>
      <c r="G344" s="29" t="str">
        <f aca="false">IF($A344="","",IF($F344=AsOf-WEEKDAY(AsOf,3),"Yes",""))</f>
        <v/>
      </c>
      <c r="H344" s="29" t="str">
        <f aca="false">IF($G344="Yes",$A344+ROW()/100000,"")</f>
        <v/>
      </c>
    </row>
    <row r="345" customFormat="false" ht="15" hidden="false" customHeight="false" outlineLevel="0" collapsed="false">
      <c r="A345" s="27"/>
      <c r="B345" s="24"/>
      <c r="C345" s="24"/>
      <c r="D345" s="24"/>
      <c r="E345" s="28"/>
      <c r="F345" s="30" t="str">
        <f aca="false">IF($A345="","",$A345-WEEKDAY($A345,3))</f>
        <v/>
      </c>
      <c r="G345" s="29" t="str">
        <f aca="false">IF($A345="","",IF($F345=AsOf-WEEKDAY(AsOf,3),"Yes",""))</f>
        <v/>
      </c>
      <c r="H345" s="29" t="str">
        <f aca="false">IF($G345="Yes",$A345+ROW()/100000,"")</f>
        <v/>
      </c>
    </row>
    <row r="346" customFormat="false" ht="15" hidden="false" customHeight="false" outlineLevel="0" collapsed="false">
      <c r="A346" s="27"/>
      <c r="B346" s="24"/>
      <c r="C346" s="24"/>
      <c r="D346" s="24"/>
      <c r="E346" s="28"/>
      <c r="F346" s="30" t="str">
        <f aca="false">IF($A346="","",$A346-WEEKDAY($A346,3))</f>
        <v/>
      </c>
      <c r="G346" s="29" t="str">
        <f aca="false">IF($A346="","",IF($F346=AsOf-WEEKDAY(AsOf,3),"Yes",""))</f>
        <v/>
      </c>
      <c r="H346" s="29" t="str">
        <f aca="false">IF($G346="Yes",$A346+ROW()/100000,"")</f>
        <v/>
      </c>
    </row>
    <row r="347" customFormat="false" ht="15" hidden="false" customHeight="false" outlineLevel="0" collapsed="false">
      <c r="A347" s="27"/>
      <c r="B347" s="24"/>
      <c r="C347" s="24"/>
      <c r="D347" s="24"/>
      <c r="E347" s="28"/>
      <c r="F347" s="30" t="str">
        <f aca="false">IF($A347="","",$A347-WEEKDAY($A347,3))</f>
        <v/>
      </c>
      <c r="G347" s="29" t="str">
        <f aca="false">IF($A347="","",IF($F347=AsOf-WEEKDAY(AsOf,3),"Yes",""))</f>
        <v/>
      </c>
      <c r="H347" s="29" t="str">
        <f aca="false">IF($G347="Yes",$A347+ROW()/100000,"")</f>
        <v/>
      </c>
    </row>
    <row r="348" customFormat="false" ht="15" hidden="false" customHeight="false" outlineLevel="0" collapsed="false">
      <c r="A348" s="27"/>
      <c r="B348" s="24"/>
      <c r="C348" s="24"/>
      <c r="D348" s="24"/>
      <c r="E348" s="28"/>
      <c r="F348" s="30" t="str">
        <f aca="false">IF($A348="","",$A348-WEEKDAY($A348,3))</f>
        <v/>
      </c>
      <c r="G348" s="29" t="str">
        <f aca="false">IF($A348="","",IF($F348=AsOf-WEEKDAY(AsOf,3),"Yes",""))</f>
        <v/>
      </c>
      <c r="H348" s="29" t="str">
        <f aca="false">IF($G348="Yes",$A348+ROW()/100000,"")</f>
        <v/>
      </c>
    </row>
    <row r="349" customFormat="false" ht="15" hidden="false" customHeight="false" outlineLevel="0" collapsed="false">
      <c r="A349" s="27"/>
      <c r="B349" s="24"/>
      <c r="C349" s="24"/>
      <c r="D349" s="24"/>
      <c r="E349" s="28"/>
      <c r="F349" s="30" t="str">
        <f aca="false">IF($A349="","",$A349-WEEKDAY($A349,3))</f>
        <v/>
      </c>
      <c r="G349" s="29" t="str">
        <f aca="false">IF($A349="","",IF($F349=AsOf-WEEKDAY(AsOf,3),"Yes",""))</f>
        <v/>
      </c>
      <c r="H349" s="29" t="str">
        <f aca="false">IF($G349="Yes",$A349+ROW()/100000,"")</f>
        <v/>
      </c>
    </row>
    <row r="350" customFormat="false" ht="15" hidden="false" customHeight="false" outlineLevel="0" collapsed="false">
      <c r="A350" s="27"/>
      <c r="B350" s="24"/>
      <c r="C350" s="24"/>
      <c r="D350" s="24"/>
      <c r="E350" s="28"/>
      <c r="F350" s="30" t="str">
        <f aca="false">IF($A350="","",$A350-WEEKDAY($A350,3))</f>
        <v/>
      </c>
      <c r="G350" s="29" t="str">
        <f aca="false">IF($A350="","",IF($F350=AsOf-WEEKDAY(AsOf,3),"Yes",""))</f>
        <v/>
      </c>
      <c r="H350" s="29" t="str">
        <f aca="false">IF($G350="Yes",$A350+ROW()/100000,"")</f>
        <v/>
      </c>
    </row>
    <row r="351" customFormat="false" ht="15" hidden="false" customHeight="false" outlineLevel="0" collapsed="false">
      <c r="A351" s="27"/>
      <c r="B351" s="24"/>
      <c r="C351" s="24"/>
      <c r="D351" s="24"/>
      <c r="E351" s="28"/>
      <c r="F351" s="30" t="str">
        <f aca="false">IF($A351="","",$A351-WEEKDAY($A351,3))</f>
        <v/>
      </c>
      <c r="G351" s="29" t="str">
        <f aca="false">IF($A351="","",IF($F351=AsOf-WEEKDAY(AsOf,3),"Yes",""))</f>
        <v/>
      </c>
      <c r="H351" s="29" t="str">
        <f aca="false">IF($G351="Yes",$A351+ROW()/100000,"")</f>
        <v/>
      </c>
    </row>
    <row r="352" customFormat="false" ht="15" hidden="false" customHeight="false" outlineLevel="0" collapsed="false">
      <c r="A352" s="27"/>
      <c r="B352" s="24"/>
      <c r="C352" s="24"/>
      <c r="D352" s="24"/>
      <c r="E352" s="28"/>
      <c r="F352" s="30" t="str">
        <f aca="false">IF($A352="","",$A352-WEEKDAY($A352,3))</f>
        <v/>
      </c>
      <c r="G352" s="29" t="str">
        <f aca="false">IF($A352="","",IF($F352=AsOf-WEEKDAY(AsOf,3),"Yes",""))</f>
        <v/>
      </c>
      <c r="H352" s="29" t="str">
        <f aca="false">IF($G352="Yes",$A352+ROW()/100000,"")</f>
        <v/>
      </c>
    </row>
    <row r="353" customFormat="false" ht="15" hidden="false" customHeight="false" outlineLevel="0" collapsed="false">
      <c r="A353" s="27"/>
      <c r="B353" s="24"/>
      <c r="C353" s="24"/>
      <c r="D353" s="24"/>
      <c r="E353" s="28"/>
      <c r="F353" s="30" t="str">
        <f aca="false">IF($A353="","",$A353-WEEKDAY($A353,3))</f>
        <v/>
      </c>
      <c r="G353" s="29" t="str">
        <f aca="false">IF($A353="","",IF($F353=AsOf-WEEKDAY(AsOf,3),"Yes",""))</f>
        <v/>
      </c>
      <c r="H353" s="29" t="str">
        <f aca="false">IF($G353="Yes",$A353+ROW()/100000,"")</f>
        <v/>
      </c>
    </row>
    <row r="354" customFormat="false" ht="15" hidden="false" customHeight="false" outlineLevel="0" collapsed="false">
      <c r="A354" s="27"/>
      <c r="B354" s="24"/>
      <c r="C354" s="24"/>
      <c r="D354" s="24"/>
      <c r="E354" s="28"/>
      <c r="F354" s="30" t="str">
        <f aca="false">IF($A354="","",$A354-WEEKDAY($A354,3))</f>
        <v/>
      </c>
      <c r="G354" s="29" t="str">
        <f aca="false">IF($A354="","",IF($F354=AsOf-WEEKDAY(AsOf,3),"Yes",""))</f>
        <v/>
      </c>
      <c r="H354" s="29" t="str">
        <f aca="false">IF($G354="Yes",$A354+ROW()/100000,"")</f>
        <v/>
      </c>
    </row>
    <row r="355" customFormat="false" ht="15" hidden="false" customHeight="false" outlineLevel="0" collapsed="false">
      <c r="A355" s="27"/>
      <c r="B355" s="24"/>
      <c r="C355" s="24"/>
      <c r="D355" s="24"/>
      <c r="E355" s="28"/>
      <c r="F355" s="30" t="str">
        <f aca="false">IF($A355="","",$A355-WEEKDAY($A355,3))</f>
        <v/>
      </c>
      <c r="G355" s="29" t="str">
        <f aca="false">IF($A355="","",IF($F355=AsOf-WEEKDAY(AsOf,3),"Yes",""))</f>
        <v/>
      </c>
      <c r="H355" s="29" t="str">
        <f aca="false">IF($G355="Yes",$A355+ROW()/100000,"")</f>
        <v/>
      </c>
    </row>
    <row r="356" customFormat="false" ht="15" hidden="false" customHeight="false" outlineLevel="0" collapsed="false">
      <c r="A356" s="27"/>
      <c r="B356" s="24"/>
      <c r="C356" s="24"/>
      <c r="D356" s="24"/>
      <c r="E356" s="28"/>
      <c r="F356" s="30" t="str">
        <f aca="false">IF($A356="","",$A356-WEEKDAY($A356,3))</f>
        <v/>
      </c>
      <c r="G356" s="29" t="str">
        <f aca="false">IF($A356="","",IF($F356=AsOf-WEEKDAY(AsOf,3),"Yes",""))</f>
        <v/>
      </c>
      <c r="H356" s="29" t="str">
        <f aca="false">IF($G356="Yes",$A356+ROW()/100000,"")</f>
        <v/>
      </c>
    </row>
    <row r="357" customFormat="false" ht="15" hidden="false" customHeight="false" outlineLevel="0" collapsed="false">
      <c r="A357" s="27"/>
      <c r="B357" s="24"/>
      <c r="C357" s="24"/>
      <c r="D357" s="24"/>
      <c r="E357" s="28"/>
      <c r="F357" s="30" t="str">
        <f aca="false">IF($A357="","",$A357-WEEKDAY($A357,3))</f>
        <v/>
      </c>
      <c r="G357" s="29" t="str">
        <f aca="false">IF($A357="","",IF($F357=AsOf-WEEKDAY(AsOf,3),"Yes",""))</f>
        <v/>
      </c>
      <c r="H357" s="29" t="str">
        <f aca="false">IF($G357="Yes",$A357+ROW()/100000,"")</f>
        <v/>
      </c>
    </row>
    <row r="358" customFormat="false" ht="15" hidden="false" customHeight="false" outlineLevel="0" collapsed="false">
      <c r="A358" s="27"/>
      <c r="B358" s="24"/>
      <c r="C358" s="24"/>
      <c r="D358" s="24"/>
      <c r="E358" s="28"/>
      <c r="F358" s="30" t="str">
        <f aca="false">IF($A358="","",$A358-WEEKDAY($A358,3))</f>
        <v/>
      </c>
      <c r="G358" s="29" t="str">
        <f aca="false">IF($A358="","",IF($F358=AsOf-WEEKDAY(AsOf,3),"Yes",""))</f>
        <v/>
      </c>
      <c r="H358" s="29" t="str">
        <f aca="false">IF($G358="Yes",$A358+ROW()/100000,"")</f>
        <v/>
      </c>
    </row>
    <row r="359" customFormat="false" ht="15" hidden="false" customHeight="false" outlineLevel="0" collapsed="false">
      <c r="A359" s="27"/>
      <c r="B359" s="24"/>
      <c r="C359" s="24"/>
      <c r="D359" s="24"/>
      <c r="E359" s="28"/>
      <c r="F359" s="30" t="str">
        <f aca="false">IF($A359="","",$A359-WEEKDAY($A359,3))</f>
        <v/>
      </c>
      <c r="G359" s="29" t="str">
        <f aca="false">IF($A359="","",IF($F359=AsOf-WEEKDAY(AsOf,3),"Yes",""))</f>
        <v/>
      </c>
      <c r="H359" s="29" t="str">
        <f aca="false">IF($G359="Yes",$A359+ROW()/100000,"")</f>
        <v/>
      </c>
    </row>
    <row r="360" customFormat="false" ht="15" hidden="false" customHeight="false" outlineLevel="0" collapsed="false">
      <c r="A360" s="27"/>
      <c r="B360" s="24"/>
      <c r="C360" s="24"/>
      <c r="D360" s="24"/>
      <c r="E360" s="28"/>
      <c r="F360" s="30" t="str">
        <f aca="false">IF($A360="","",$A360-WEEKDAY($A360,3))</f>
        <v/>
      </c>
      <c r="G360" s="29" t="str">
        <f aca="false">IF($A360="","",IF($F360=AsOf-WEEKDAY(AsOf,3),"Yes",""))</f>
        <v/>
      </c>
      <c r="H360" s="29" t="str">
        <f aca="false">IF($G360="Yes",$A360+ROW()/100000,"")</f>
        <v/>
      </c>
    </row>
    <row r="361" customFormat="false" ht="15" hidden="false" customHeight="false" outlineLevel="0" collapsed="false">
      <c r="A361" s="27"/>
      <c r="B361" s="24"/>
      <c r="C361" s="24"/>
      <c r="D361" s="24"/>
      <c r="E361" s="28"/>
      <c r="F361" s="30" t="str">
        <f aca="false">IF($A361="","",$A361-WEEKDAY($A361,3))</f>
        <v/>
      </c>
      <c r="G361" s="29" t="str">
        <f aca="false">IF($A361="","",IF($F361=AsOf-WEEKDAY(AsOf,3),"Yes",""))</f>
        <v/>
      </c>
      <c r="H361" s="29" t="str">
        <f aca="false">IF($G361="Yes",$A361+ROW()/100000,"")</f>
        <v/>
      </c>
    </row>
    <row r="362" customFormat="false" ht="15" hidden="false" customHeight="false" outlineLevel="0" collapsed="false">
      <c r="A362" s="27"/>
      <c r="B362" s="24"/>
      <c r="C362" s="24"/>
      <c r="D362" s="24"/>
      <c r="E362" s="28"/>
      <c r="F362" s="30" t="str">
        <f aca="false">IF($A362="","",$A362-WEEKDAY($A362,3))</f>
        <v/>
      </c>
      <c r="G362" s="29" t="str">
        <f aca="false">IF($A362="","",IF($F362=AsOf-WEEKDAY(AsOf,3),"Yes",""))</f>
        <v/>
      </c>
      <c r="H362" s="29" t="str">
        <f aca="false">IF($G362="Yes",$A362+ROW()/100000,"")</f>
        <v/>
      </c>
    </row>
    <row r="363" customFormat="false" ht="15" hidden="false" customHeight="false" outlineLevel="0" collapsed="false">
      <c r="A363" s="27"/>
      <c r="B363" s="24"/>
      <c r="C363" s="24"/>
      <c r="D363" s="24"/>
      <c r="E363" s="28"/>
      <c r="F363" s="30" t="str">
        <f aca="false">IF($A363="","",$A363-WEEKDAY($A363,3))</f>
        <v/>
      </c>
      <c r="G363" s="29" t="str">
        <f aca="false">IF($A363="","",IF($F363=AsOf-WEEKDAY(AsOf,3),"Yes",""))</f>
        <v/>
      </c>
      <c r="H363" s="29" t="str">
        <f aca="false">IF($G363="Yes",$A363+ROW()/100000,"")</f>
        <v/>
      </c>
    </row>
    <row r="364" customFormat="false" ht="15" hidden="false" customHeight="false" outlineLevel="0" collapsed="false">
      <c r="A364" s="27"/>
      <c r="B364" s="24"/>
      <c r="C364" s="24"/>
      <c r="D364" s="24"/>
      <c r="E364" s="28"/>
      <c r="F364" s="30" t="str">
        <f aca="false">IF($A364="","",$A364-WEEKDAY($A364,3))</f>
        <v/>
      </c>
      <c r="G364" s="29" t="str">
        <f aca="false">IF($A364="","",IF($F364=AsOf-WEEKDAY(AsOf,3),"Yes",""))</f>
        <v/>
      </c>
      <c r="H364" s="29" t="str">
        <f aca="false">IF($G364="Yes",$A364+ROW()/100000,"")</f>
        <v/>
      </c>
    </row>
    <row r="365" customFormat="false" ht="15" hidden="false" customHeight="false" outlineLevel="0" collapsed="false">
      <c r="A365" s="27"/>
      <c r="B365" s="24"/>
      <c r="C365" s="24"/>
      <c r="D365" s="24"/>
      <c r="E365" s="28"/>
      <c r="F365" s="30" t="str">
        <f aca="false">IF($A365="","",$A365-WEEKDAY($A365,3))</f>
        <v/>
      </c>
      <c r="G365" s="29" t="str">
        <f aca="false">IF($A365="","",IF($F365=AsOf-WEEKDAY(AsOf,3),"Yes",""))</f>
        <v/>
      </c>
      <c r="H365" s="29" t="str">
        <f aca="false">IF($G365="Yes",$A365+ROW()/100000,"")</f>
        <v/>
      </c>
    </row>
    <row r="366" customFormat="false" ht="15" hidden="false" customHeight="false" outlineLevel="0" collapsed="false">
      <c r="A366" s="27"/>
      <c r="B366" s="24"/>
      <c r="C366" s="24"/>
      <c r="D366" s="24"/>
      <c r="E366" s="28"/>
      <c r="F366" s="30" t="str">
        <f aca="false">IF($A366="","",$A366-WEEKDAY($A366,3))</f>
        <v/>
      </c>
      <c r="G366" s="29" t="str">
        <f aca="false">IF($A366="","",IF($F366=AsOf-WEEKDAY(AsOf,3),"Yes",""))</f>
        <v/>
      </c>
      <c r="H366" s="29" t="str">
        <f aca="false">IF($G366="Yes",$A366+ROW()/100000,"")</f>
        <v/>
      </c>
    </row>
    <row r="367" customFormat="false" ht="15" hidden="false" customHeight="false" outlineLevel="0" collapsed="false">
      <c r="A367" s="27"/>
      <c r="B367" s="24"/>
      <c r="C367" s="24"/>
      <c r="D367" s="24"/>
      <c r="E367" s="28"/>
      <c r="F367" s="30" t="str">
        <f aca="false">IF($A367="","",$A367-WEEKDAY($A367,3))</f>
        <v/>
      </c>
      <c r="G367" s="29" t="str">
        <f aca="false">IF($A367="","",IF($F367=AsOf-WEEKDAY(AsOf,3),"Yes",""))</f>
        <v/>
      </c>
      <c r="H367" s="29" t="str">
        <f aca="false">IF($G367="Yes",$A367+ROW()/100000,"")</f>
        <v/>
      </c>
    </row>
    <row r="368" customFormat="false" ht="15" hidden="false" customHeight="false" outlineLevel="0" collapsed="false">
      <c r="A368" s="27"/>
      <c r="B368" s="24"/>
      <c r="C368" s="24"/>
      <c r="D368" s="24"/>
      <c r="E368" s="28"/>
      <c r="F368" s="30" t="str">
        <f aca="false">IF($A368="","",$A368-WEEKDAY($A368,3))</f>
        <v/>
      </c>
      <c r="G368" s="29" t="str">
        <f aca="false">IF($A368="","",IF($F368=AsOf-WEEKDAY(AsOf,3),"Yes",""))</f>
        <v/>
      </c>
      <c r="H368" s="29" t="str">
        <f aca="false">IF($G368="Yes",$A368+ROW()/100000,"")</f>
        <v/>
      </c>
    </row>
    <row r="369" customFormat="false" ht="15" hidden="false" customHeight="false" outlineLevel="0" collapsed="false">
      <c r="A369" s="27"/>
      <c r="B369" s="24"/>
      <c r="C369" s="24"/>
      <c r="D369" s="24"/>
      <c r="E369" s="28"/>
      <c r="F369" s="30" t="str">
        <f aca="false">IF($A369="","",$A369-WEEKDAY($A369,3))</f>
        <v/>
      </c>
      <c r="G369" s="29" t="str">
        <f aca="false">IF($A369="","",IF($F369=AsOf-WEEKDAY(AsOf,3),"Yes",""))</f>
        <v/>
      </c>
      <c r="H369" s="29" t="str">
        <f aca="false">IF($G369="Yes",$A369+ROW()/100000,"")</f>
        <v/>
      </c>
    </row>
    <row r="370" customFormat="false" ht="15" hidden="false" customHeight="false" outlineLevel="0" collapsed="false">
      <c r="A370" s="27"/>
      <c r="B370" s="24"/>
      <c r="C370" s="24"/>
      <c r="D370" s="24"/>
      <c r="E370" s="28"/>
      <c r="F370" s="30" t="str">
        <f aca="false">IF($A370="","",$A370-WEEKDAY($A370,3))</f>
        <v/>
      </c>
      <c r="G370" s="29" t="str">
        <f aca="false">IF($A370="","",IF($F370=AsOf-WEEKDAY(AsOf,3),"Yes",""))</f>
        <v/>
      </c>
      <c r="H370" s="29" t="str">
        <f aca="false">IF($G370="Yes",$A370+ROW()/100000,"")</f>
        <v/>
      </c>
    </row>
    <row r="371" customFormat="false" ht="15" hidden="false" customHeight="false" outlineLevel="0" collapsed="false">
      <c r="A371" s="27"/>
      <c r="B371" s="24"/>
      <c r="C371" s="24"/>
      <c r="D371" s="24"/>
      <c r="E371" s="28"/>
      <c r="F371" s="30" t="str">
        <f aca="false">IF($A371="","",$A371-WEEKDAY($A371,3))</f>
        <v/>
      </c>
      <c r="G371" s="29" t="str">
        <f aca="false">IF($A371="","",IF($F371=AsOf-WEEKDAY(AsOf,3),"Yes",""))</f>
        <v/>
      </c>
      <c r="H371" s="29" t="str">
        <f aca="false">IF($G371="Yes",$A371+ROW()/100000,"")</f>
        <v/>
      </c>
    </row>
    <row r="372" customFormat="false" ht="15" hidden="false" customHeight="false" outlineLevel="0" collapsed="false">
      <c r="A372" s="27"/>
      <c r="B372" s="24"/>
      <c r="C372" s="24"/>
      <c r="D372" s="24"/>
      <c r="E372" s="28"/>
      <c r="F372" s="30" t="str">
        <f aca="false">IF($A372="","",$A372-WEEKDAY($A372,3))</f>
        <v/>
      </c>
      <c r="G372" s="29" t="str">
        <f aca="false">IF($A372="","",IF($F372=AsOf-WEEKDAY(AsOf,3),"Yes",""))</f>
        <v/>
      </c>
      <c r="H372" s="29" t="str">
        <f aca="false">IF($G372="Yes",$A372+ROW()/100000,"")</f>
        <v/>
      </c>
    </row>
    <row r="373" customFormat="false" ht="15" hidden="false" customHeight="false" outlineLevel="0" collapsed="false">
      <c r="A373" s="27"/>
      <c r="B373" s="24"/>
      <c r="C373" s="24"/>
      <c r="D373" s="24"/>
      <c r="E373" s="28"/>
      <c r="F373" s="30" t="str">
        <f aca="false">IF($A373="","",$A373-WEEKDAY($A373,3))</f>
        <v/>
      </c>
      <c r="G373" s="29" t="str">
        <f aca="false">IF($A373="","",IF($F373=AsOf-WEEKDAY(AsOf,3),"Yes",""))</f>
        <v/>
      </c>
      <c r="H373" s="29" t="str">
        <f aca="false">IF($G373="Yes",$A373+ROW()/100000,"")</f>
        <v/>
      </c>
    </row>
    <row r="374" customFormat="false" ht="15" hidden="false" customHeight="false" outlineLevel="0" collapsed="false">
      <c r="A374" s="27"/>
      <c r="B374" s="24"/>
      <c r="C374" s="24"/>
      <c r="D374" s="24"/>
      <c r="E374" s="28"/>
      <c r="F374" s="30" t="str">
        <f aca="false">IF($A374="","",$A374-WEEKDAY($A374,3))</f>
        <v/>
      </c>
      <c r="G374" s="29" t="str">
        <f aca="false">IF($A374="","",IF($F374=AsOf-WEEKDAY(AsOf,3),"Yes",""))</f>
        <v/>
      </c>
      <c r="H374" s="29" t="str">
        <f aca="false">IF($G374="Yes",$A374+ROW()/100000,"")</f>
        <v/>
      </c>
    </row>
    <row r="375" customFormat="false" ht="15" hidden="false" customHeight="false" outlineLevel="0" collapsed="false">
      <c r="A375" s="27"/>
      <c r="B375" s="24"/>
      <c r="C375" s="24"/>
      <c r="D375" s="24"/>
      <c r="E375" s="28"/>
      <c r="F375" s="30" t="str">
        <f aca="false">IF($A375="","",$A375-WEEKDAY($A375,3))</f>
        <v/>
      </c>
      <c r="G375" s="29" t="str">
        <f aca="false">IF($A375="","",IF($F375=AsOf-WEEKDAY(AsOf,3),"Yes",""))</f>
        <v/>
      </c>
      <c r="H375" s="29" t="str">
        <f aca="false">IF($G375="Yes",$A375+ROW()/100000,"")</f>
        <v/>
      </c>
    </row>
    <row r="376" customFormat="false" ht="15" hidden="false" customHeight="false" outlineLevel="0" collapsed="false">
      <c r="A376" s="27"/>
      <c r="B376" s="24"/>
      <c r="C376" s="24"/>
      <c r="D376" s="24"/>
      <c r="E376" s="28"/>
      <c r="F376" s="30" t="str">
        <f aca="false">IF($A376="","",$A376-WEEKDAY($A376,3))</f>
        <v/>
      </c>
      <c r="G376" s="29" t="str">
        <f aca="false">IF($A376="","",IF($F376=AsOf-WEEKDAY(AsOf,3),"Yes",""))</f>
        <v/>
      </c>
      <c r="H376" s="29" t="str">
        <f aca="false">IF($G376="Yes",$A376+ROW()/100000,"")</f>
        <v/>
      </c>
    </row>
    <row r="377" customFormat="false" ht="15" hidden="false" customHeight="false" outlineLevel="0" collapsed="false">
      <c r="A377" s="27"/>
      <c r="B377" s="24"/>
      <c r="C377" s="24"/>
      <c r="D377" s="24"/>
      <c r="E377" s="28"/>
      <c r="F377" s="30" t="str">
        <f aca="false">IF($A377="","",$A377-WEEKDAY($A377,3))</f>
        <v/>
      </c>
      <c r="G377" s="29" t="str">
        <f aca="false">IF($A377="","",IF($F377=AsOf-WEEKDAY(AsOf,3),"Yes",""))</f>
        <v/>
      </c>
      <c r="H377" s="29" t="str">
        <f aca="false">IF($G377="Yes",$A377+ROW()/100000,"")</f>
        <v/>
      </c>
    </row>
    <row r="378" customFormat="false" ht="15" hidden="false" customHeight="false" outlineLevel="0" collapsed="false">
      <c r="A378" s="27"/>
      <c r="B378" s="24"/>
      <c r="C378" s="24"/>
      <c r="D378" s="24"/>
      <c r="E378" s="28"/>
      <c r="F378" s="30" t="str">
        <f aca="false">IF($A378="","",$A378-WEEKDAY($A378,3))</f>
        <v/>
      </c>
      <c r="G378" s="29" t="str">
        <f aca="false">IF($A378="","",IF($F378=AsOf-WEEKDAY(AsOf,3),"Yes",""))</f>
        <v/>
      </c>
      <c r="H378" s="29" t="str">
        <f aca="false">IF($G378="Yes",$A378+ROW()/100000,"")</f>
        <v/>
      </c>
    </row>
    <row r="379" customFormat="false" ht="15" hidden="false" customHeight="false" outlineLevel="0" collapsed="false">
      <c r="A379" s="27"/>
      <c r="B379" s="24"/>
      <c r="C379" s="24"/>
      <c r="D379" s="24"/>
      <c r="E379" s="28"/>
      <c r="F379" s="30" t="str">
        <f aca="false">IF($A379="","",$A379-WEEKDAY($A379,3))</f>
        <v/>
      </c>
      <c r="G379" s="29" t="str">
        <f aca="false">IF($A379="","",IF($F379=AsOf-WEEKDAY(AsOf,3),"Yes",""))</f>
        <v/>
      </c>
      <c r="H379" s="29" t="str">
        <f aca="false">IF($G379="Yes",$A379+ROW()/100000,"")</f>
        <v/>
      </c>
    </row>
    <row r="380" customFormat="false" ht="15" hidden="false" customHeight="false" outlineLevel="0" collapsed="false">
      <c r="A380" s="27"/>
      <c r="B380" s="24"/>
      <c r="C380" s="24"/>
      <c r="D380" s="24"/>
      <c r="E380" s="28"/>
      <c r="F380" s="30" t="str">
        <f aca="false">IF($A380="","",$A380-WEEKDAY($A380,3))</f>
        <v/>
      </c>
      <c r="G380" s="29" t="str">
        <f aca="false">IF($A380="","",IF($F380=AsOf-WEEKDAY(AsOf,3),"Yes",""))</f>
        <v/>
      </c>
      <c r="H380" s="29" t="str">
        <f aca="false">IF($G380="Yes",$A380+ROW()/100000,"")</f>
        <v/>
      </c>
    </row>
    <row r="381" customFormat="false" ht="15" hidden="false" customHeight="false" outlineLevel="0" collapsed="false">
      <c r="A381" s="27"/>
      <c r="B381" s="24"/>
      <c r="C381" s="24"/>
      <c r="D381" s="24"/>
      <c r="E381" s="28"/>
      <c r="F381" s="30" t="str">
        <f aca="false">IF($A381="","",$A381-WEEKDAY($A381,3))</f>
        <v/>
      </c>
      <c r="G381" s="29" t="str">
        <f aca="false">IF($A381="","",IF($F381=AsOf-WEEKDAY(AsOf,3),"Yes",""))</f>
        <v/>
      </c>
      <c r="H381" s="29" t="str">
        <f aca="false">IF($G381="Yes",$A381+ROW()/100000,"")</f>
        <v/>
      </c>
    </row>
    <row r="382" customFormat="false" ht="15" hidden="false" customHeight="false" outlineLevel="0" collapsed="false">
      <c r="A382" s="27"/>
      <c r="B382" s="24"/>
      <c r="C382" s="24"/>
      <c r="D382" s="24"/>
      <c r="E382" s="28"/>
      <c r="F382" s="30" t="str">
        <f aca="false">IF($A382="","",$A382-WEEKDAY($A382,3))</f>
        <v/>
      </c>
      <c r="G382" s="29" t="str">
        <f aca="false">IF($A382="","",IF($F382=AsOf-WEEKDAY(AsOf,3),"Yes",""))</f>
        <v/>
      </c>
      <c r="H382" s="29" t="str">
        <f aca="false">IF($G382="Yes",$A382+ROW()/100000,"")</f>
        <v/>
      </c>
    </row>
    <row r="383" customFormat="false" ht="15" hidden="false" customHeight="false" outlineLevel="0" collapsed="false">
      <c r="A383" s="27"/>
      <c r="B383" s="24"/>
      <c r="C383" s="24"/>
      <c r="D383" s="24"/>
      <c r="E383" s="28"/>
      <c r="F383" s="30" t="str">
        <f aca="false">IF($A383="","",$A383-WEEKDAY($A383,3))</f>
        <v/>
      </c>
      <c r="G383" s="29" t="str">
        <f aca="false">IF($A383="","",IF($F383=AsOf-WEEKDAY(AsOf,3),"Yes",""))</f>
        <v/>
      </c>
      <c r="H383" s="29" t="str">
        <f aca="false">IF($G383="Yes",$A383+ROW()/100000,"")</f>
        <v/>
      </c>
    </row>
    <row r="384" customFormat="false" ht="15" hidden="false" customHeight="false" outlineLevel="0" collapsed="false">
      <c r="A384" s="27"/>
      <c r="B384" s="24"/>
      <c r="C384" s="24"/>
      <c r="D384" s="24"/>
      <c r="E384" s="28"/>
      <c r="F384" s="30" t="str">
        <f aca="false">IF($A384="","",$A384-WEEKDAY($A384,3))</f>
        <v/>
      </c>
      <c r="G384" s="29" t="str">
        <f aca="false">IF($A384="","",IF($F384=AsOf-WEEKDAY(AsOf,3),"Yes",""))</f>
        <v/>
      </c>
      <c r="H384" s="29" t="str">
        <f aca="false">IF($G384="Yes",$A384+ROW()/100000,"")</f>
        <v/>
      </c>
    </row>
    <row r="385" customFormat="false" ht="15" hidden="false" customHeight="false" outlineLevel="0" collapsed="false">
      <c r="A385" s="27"/>
      <c r="B385" s="24"/>
      <c r="C385" s="24"/>
      <c r="D385" s="24"/>
      <c r="E385" s="28"/>
      <c r="F385" s="30" t="str">
        <f aca="false">IF($A385="","",$A385-WEEKDAY($A385,3))</f>
        <v/>
      </c>
      <c r="G385" s="29" t="str">
        <f aca="false">IF($A385="","",IF($F385=AsOf-WEEKDAY(AsOf,3),"Yes",""))</f>
        <v/>
      </c>
      <c r="H385" s="29" t="str">
        <f aca="false">IF($G385="Yes",$A385+ROW()/100000,"")</f>
        <v/>
      </c>
    </row>
    <row r="386" customFormat="false" ht="15" hidden="false" customHeight="false" outlineLevel="0" collapsed="false">
      <c r="A386" s="27"/>
      <c r="B386" s="24"/>
      <c r="C386" s="24"/>
      <c r="D386" s="24"/>
      <c r="E386" s="28"/>
      <c r="F386" s="30" t="str">
        <f aca="false">IF($A386="","",$A386-WEEKDAY($A386,3))</f>
        <v/>
      </c>
      <c r="G386" s="29" t="str">
        <f aca="false">IF($A386="","",IF($F386=AsOf-WEEKDAY(AsOf,3),"Yes",""))</f>
        <v/>
      </c>
      <c r="H386" s="29" t="str">
        <f aca="false">IF($G386="Yes",$A386+ROW()/100000,"")</f>
        <v/>
      </c>
    </row>
    <row r="387" customFormat="false" ht="15" hidden="false" customHeight="false" outlineLevel="0" collapsed="false">
      <c r="A387" s="27"/>
      <c r="B387" s="24"/>
      <c r="C387" s="24"/>
      <c r="D387" s="24"/>
      <c r="E387" s="28"/>
      <c r="F387" s="30" t="str">
        <f aca="false">IF($A387="","",$A387-WEEKDAY($A387,3))</f>
        <v/>
      </c>
      <c r="G387" s="29" t="str">
        <f aca="false">IF($A387="","",IF($F387=AsOf-WEEKDAY(AsOf,3),"Yes",""))</f>
        <v/>
      </c>
      <c r="H387" s="29" t="str">
        <f aca="false">IF($G387="Yes",$A387+ROW()/100000,"")</f>
        <v/>
      </c>
    </row>
    <row r="388" customFormat="false" ht="15" hidden="false" customHeight="false" outlineLevel="0" collapsed="false">
      <c r="A388" s="27"/>
      <c r="B388" s="24"/>
      <c r="C388" s="24"/>
      <c r="D388" s="24"/>
      <c r="E388" s="28"/>
      <c r="F388" s="30" t="str">
        <f aca="false">IF($A388="","",$A388-WEEKDAY($A388,3))</f>
        <v/>
      </c>
      <c r="G388" s="29" t="str">
        <f aca="false">IF($A388="","",IF($F388=AsOf-WEEKDAY(AsOf,3),"Yes",""))</f>
        <v/>
      </c>
      <c r="H388" s="29" t="str">
        <f aca="false">IF($G388="Yes",$A388+ROW()/100000,"")</f>
        <v/>
      </c>
    </row>
    <row r="389" customFormat="false" ht="15" hidden="false" customHeight="false" outlineLevel="0" collapsed="false">
      <c r="A389" s="27"/>
      <c r="B389" s="24"/>
      <c r="C389" s="24"/>
      <c r="D389" s="24"/>
      <c r="E389" s="28"/>
      <c r="F389" s="30" t="str">
        <f aca="false">IF($A389="","",$A389-WEEKDAY($A389,3))</f>
        <v/>
      </c>
      <c r="G389" s="29" t="str">
        <f aca="false">IF($A389="","",IF($F389=AsOf-WEEKDAY(AsOf,3),"Yes",""))</f>
        <v/>
      </c>
      <c r="H389" s="29" t="str">
        <f aca="false">IF($G389="Yes",$A389+ROW()/100000,"")</f>
        <v/>
      </c>
    </row>
    <row r="390" customFormat="false" ht="15" hidden="false" customHeight="false" outlineLevel="0" collapsed="false">
      <c r="A390" s="27"/>
      <c r="B390" s="24"/>
      <c r="C390" s="24"/>
      <c r="D390" s="24"/>
      <c r="E390" s="28"/>
      <c r="F390" s="30" t="str">
        <f aca="false">IF($A390="","",$A390-WEEKDAY($A390,3))</f>
        <v/>
      </c>
      <c r="G390" s="29" t="str">
        <f aca="false">IF($A390="","",IF($F390=AsOf-WEEKDAY(AsOf,3),"Yes",""))</f>
        <v/>
      </c>
      <c r="H390" s="29" t="str">
        <f aca="false">IF($G390="Yes",$A390+ROW()/100000,"")</f>
        <v/>
      </c>
    </row>
    <row r="391" customFormat="false" ht="15" hidden="false" customHeight="false" outlineLevel="0" collapsed="false">
      <c r="A391" s="27"/>
      <c r="B391" s="24"/>
      <c r="C391" s="24"/>
      <c r="D391" s="24"/>
      <c r="E391" s="28"/>
      <c r="F391" s="30" t="str">
        <f aca="false">IF($A391="","",$A391-WEEKDAY($A391,3))</f>
        <v/>
      </c>
      <c r="G391" s="29" t="str">
        <f aca="false">IF($A391="","",IF($F391=AsOf-WEEKDAY(AsOf,3),"Yes",""))</f>
        <v/>
      </c>
      <c r="H391" s="29" t="str">
        <f aca="false">IF($G391="Yes",$A391+ROW()/100000,"")</f>
        <v/>
      </c>
    </row>
    <row r="392" customFormat="false" ht="15" hidden="false" customHeight="false" outlineLevel="0" collapsed="false">
      <c r="A392" s="27"/>
      <c r="B392" s="24"/>
      <c r="C392" s="24"/>
      <c r="D392" s="24"/>
      <c r="E392" s="28"/>
      <c r="F392" s="30" t="str">
        <f aca="false">IF($A392="","",$A392-WEEKDAY($A392,3))</f>
        <v/>
      </c>
      <c r="G392" s="29" t="str">
        <f aca="false">IF($A392="","",IF($F392=AsOf-WEEKDAY(AsOf,3),"Yes",""))</f>
        <v/>
      </c>
      <c r="H392" s="29" t="str">
        <f aca="false">IF($G392="Yes",$A392+ROW()/100000,"")</f>
        <v/>
      </c>
    </row>
    <row r="393" customFormat="false" ht="15" hidden="false" customHeight="false" outlineLevel="0" collapsed="false">
      <c r="A393" s="27"/>
      <c r="B393" s="24"/>
      <c r="C393" s="24"/>
      <c r="D393" s="24"/>
      <c r="E393" s="28"/>
      <c r="F393" s="30" t="str">
        <f aca="false">IF($A393="","",$A393-WEEKDAY($A393,3))</f>
        <v/>
      </c>
      <c r="G393" s="29" t="str">
        <f aca="false">IF($A393="","",IF($F393=AsOf-WEEKDAY(AsOf,3),"Yes",""))</f>
        <v/>
      </c>
      <c r="H393" s="29" t="str">
        <f aca="false">IF($G393="Yes",$A393+ROW()/100000,"")</f>
        <v/>
      </c>
    </row>
    <row r="394" customFormat="false" ht="15" hidden="false" customHeight="false" outlineLevel="0" collapsed="false">
      <c r="A394" s="27"/>
      <c r="B394" s="24"/>
      <c r="C394" s="24"/>
      <c r="D394" s="24"/>
      <c r="E394" s="28"/>
      <c r="F394" s="30" t="str">
        <f aca="false">IF($A394="","",$A394-WEEKDAY($A394,3))</f>
        <v/>
      </c>
      <c r="G394" s="29" t="str">
        <f aca="false">IF($A394="","",IF($F394=AsOf-WEEKDAY(AsOf,3),"Yes",""))</f>
        <v/>
      </c>
      <c r="H394" s="29" t="str">
        <f aca="false">IF($G394="Yes",$A394+ROW()/100000,"")</f>
        <v/>
      </c>
    </row>
    <row r="395" customFormat="false" ht="15" hidden="false" customHeight="false" outlineLevel="0" collapsed="false">
      <c r="A395" s="27"/>
      <c r="B395" s="24"/>
      <c r="C395" s="24"/>
      <c r="D395" s="24"/>
      <c r="E395" s="28"/>
      <c r="F395" s="30" t="str">
        <f aca="false">IF($A395="","",$A395-WEEKDAY($A395,3))</f>
        <v/>
      </c>
      <c r="G395" s="29" t="str">
        <f aca="false">IF($A395="","",IF($F395=AsOf-WEEKDAY(AsOf,3),"Yes",""))</f>
        <v/>
      </c>
      <c r="H395" s="29" t="str">
        <f aca="false">IF($G395="Yes",$A395+ROW()/100000,"")</f>
        <v/>
      </c>
    </row>
    <row r="396" customFormat="false" ht="15" hidden="false" customHeight="false" outlineLevel="0" collapsed="false">
      <c r="A396" s="27"/>
      <c r="B396" s="24"/>
      <c r="C396" s="24"/>
      <c r="D396" s="24"/>
      <c r="E396" s="28"/>
      <c r="F396" s="30" t="str">
        <f aca="false">IF($A396="","",$A396-WEEKDAY($A396,3))</f>
        <v/>
      </c>
      <c r="G396" s="29" t="str">
        <f aca="false">IF($A396="","",IF($F396=AsOf-WEEKDAY(AsOf,3),"Yes",""))</f>
        <v/>
      </c>
      <c r="H396" s="29" t="str">
        <f aca="false">IF($G396="Yes",$A396+ROW()/100000,"")</f>
        <v/>
      </c>
    </row>
    <row r="397" customFormat="false" ht="15" hidden="false" customHeight="false" outlineLevel="0" collapsed="false">
      <c r="A397" s="27"/>
      <c r="B397" s="24"/>
      <c r="C397" s="24"/>
      <c r="D397" s="24"/>
      <c r="E397" s="28"/>
      <c r="F397" s="30" t="str">
        <f aca="false">IF($A397="","",$A397-WEEKDAY($A397,3))</f>
        <v/>
      </c>
      <c r="G397" s="29" t="str">
        <f aca="false">IF($A397="","",IF($F397=AsOf-WEEKDAY(AsOf,3),"Yes",""))</f>
        <v/>
      </c>
      <c r="H397" s="29" t="str">
        <f aca="false">IF($G397="Yes",$A397+ROW()/100000,"")</f>
        <v/>
      </c>
    </row>
    <row r="398" customFormat="false" ht="15" hidden="false" customHeight="false" outlineLevel="0" collapsed="false">
      <c r="A398" s="27"/>
      <c r="B398" s="24"/>
      <c r="C398" s="24"/>
      <c r="D398" s="24"/>
      <c r="E398" s="28"/>
      <c r="F398" s="30" t="str">
        <f aca="false">IF($A398="","",$A398-WEEKDAY($A398,3))</f>
        <v/>
      </c>
      <c r="G398" s="29" t="str">
        <f aca="false">IF($A398="","",IF($F398=AsOf-WEEKDAY(AsOf,3),"Yes",""))</f>
        <v/>
      </c>
      <c r="H398" s="29" t="str">
        <f aca="false">IF($G398="Yes",$A398+ROW()/100000,"")</f>
        <v/>
      </c>
    </row>
    <row r="399" customFormat="false" ht="15" hidden="false" customHeight="false" outlineLevel="0" collapsed="false">
      <c r="A399" s="27"/>
      <c r="B399" s="24"/>
      <c r="C399" s="24"/>
      <c r="D399" s="24"/>
      <c r="E399" s="28"/>
      <c r="F399" s="30" t="str">
        <f aca="false">IF($A399="","",$A399-WEEKDAY($A399,3))</f>
        <v/>
      </c>
      <c r="G399" s="29" t="str">
        <f aca="false">IF($A399="","",IF($F399=AsOf-WEEKDAY(AsOf,3),"Yes",""))</f>
        <v/>
      </c>
      <c r="H399" s="29" t="str">
        <f aca="false">IF($G399="Yes",$A399+ROW()/100000,"")</f>
        <v/>
      </c>
    </row>
    <row r="400" customFormat="false" ht="15" hidden="false" customHeight="false" outlineLevel="0" collapsed="false">
      <c r="A400" s="27"/>
      <c r="B400" s="24"/>
      <c r="C400" s="24"/>
      <c r="D400" s="24"/>
      <c r="E400" s="28"/>
      <c r="F400" s="30" t="str">
        <f aca="false">IF($A400="","",$A400-WEEKDAY($A400,3))</f>
        <v/>
      </c>
      <c r="G400" s="29" t="str">
        <f aca="false">IF($A400="","",IF($F400=AsOf-WEEKDAY(AsOf,3),"Yes",""))</f>
        <v/>
      </c>
      <c r="H400" s="29" t="str">
        <f aca="false">IF($G400="Yes",$A400+ROW()/100000,"")</f>
        <v/>
      </c>
    </row>
    <row r="401" customFormat="false" ht="15" hidden="false" customHeight="false" outlineLevel="0" collapsed="false">
      <c r="A401" s="27"/>
      <c r="B401" s="24"/>
      <c r="C401" s="24"/>
      <c r="D401" s="24"/>
      <c r="E401" s="28"/>
      <c r="F401" s="30" t="str">
        <f aca="false">IF($A401="","",$A401-WEEKDAY($A401,3))</f>
        <v/>
      </c>
      <c r="G401" s="29" t="str">
        <f aca="false">IF($A401="","",IF($F401=AsOf-WEEKDAY(AsOf,3),"Yes",""))</f>
        <v/>
      </c>
      <c r="H401" s="29" t="str">
        <f aca="false">IF($G401="Yes",$A401+ROW()/100000,"")</f>
        <v/>
      </c>
    </row>
    <row r="402" customFormat="false" ht="15" hidden="false" customHeight="false" outlineLevel="0" collapsed="false">
      <c r="A402" s="27"/>
      <c r="B402" s="24"/>
      <c r="C402" s="24"/>
      <c r="D402" s="24"/>
      <c r="E402" s="28"/>
      <c r="F402" s="30" t="str">
        <f aca="false">IF($A402="","",$A402-WEEKDAY($A402,3))</f>
        <v/>
      </c>
      <c r="G402" s="29" t="str">
        <f aca="false">IF($A402="","",IF($F402=AsOf-WEEKDAY(AsOf,3),"Yes",""))</f>
        <v/>
      </c>
      <c r="H402" s="29" t="str">
        <f aca="false">IF($G402="Yes",$A402+ROW()/100000,"")</f>
        <v/>
      </c>
    </row>
    <row r="403" customFormat="false" ht="15" hidden="false" customHeight="false" outlineLevel="0" collapsed="false">
      <c r="A403" s="27"/>
      <c r="B403" s="24"/>
      <c r="C403" s="24"/>
      <c r="D403" s="24"/>
      <c r="E403" s="28"/>
      <c r="F403" s="30" t="str">
        <f aca="false">IF($A403="","",$A403-WEEKDAY($A403,3))</f>
        <v/>
      </c>
      <c r="G403" s="29" t="str">
        <f aca="false">IF($A403="","",IF($F403=AsOf-WEEKDAY(AsOf,3),"Yes",""))</f>
        <v/>
      </c>
      <c r="H403" s="29" t="str">
        <f aca="false">IF($G403="Yes",$A403+ROW()/100000,"")</f>
        <v/>
      </c>
    </row>
    <row r="404" customFormat="false" ht="15" hidden="false" customHeight="false" outlineLevel="0" collapsed="false">
      <c r="A404" s="27"/>
      <c r="B404" s="24"/>
      <c r="C404" s="24"/>
      <c r="D404" s="24"/>
      <c r="E404" s="28"/>
      <c r="F404" s="30" t="str">
        <f aca="false">IF($A404="","",$A404-WEEKDAY($A404,3))</f>
        <v/>
      </c>
      <c r="G404" s="29" t="str">
        <f aca="false">IF($A404="","",IF($F404=AsOf-WEEKDAY(AsOf,3),"Yes",""))</f>
        <v/>
      </c>
      <c r="H404" s="29" t="str">
        <f aca="false">IF($G404="Yes",$A404+ROW()/100000,"")</f>
        <v/>
      </c>
    </row>
    <row r="405" customFormat="false" ht="15" hidden="false" customHeight="false" outlineLevel="0" collapsed="false">
      <c r="A405" s="27"/>
      <c r="B405" s="24"/>
      <c r="C405" s="24"/>
      <c r="D405" s="24"/>
      <c r="E405" s="28"/>
      <c r="F405" s="30" t="str">
        <f aca="false">IF($A405="","",$A405-WEEKDAY($A405,3))</f>
        <v/>
      </c>
      <c r="G405" s="29" t="str">
        <f aca="false">IF($A405="","",IF($F405=AsOf-WEEKDAY(AsOf,3),"Yes",""))</f>
        <v/>
      </c>
      <c r="H405" s="29" t="str">
        <f aca="false">IF($G405="Yes",$A405+ROW()/100000,"")</f>
        <v/>
      </c>
    </row>
    <row r="406" customFormat="false" ht="15" hidden="false" customHeight="false" outlineLevel="0" collapsed="false">
      <c r="A406" s="27"/>
      <c r="B406" s="24"/>
      <c r="C406" s="24"/>
      <c r="D406" s="24"/>
      <c r="E406" s="28"/>
      <c r="F406" s="30" t="str">
        <f aca="false">IF($A406="","",$A406-WEEKDAY($A406,3))</f>
        <v/>
      </c>
      <c r="G406" s="29" t="str">
        <f aca="false">IF($A406="","",IF($F406=AsOf-WEEKDAY(AsOf,3),"Yes",""))</f>
        <v/>
      </c>
      <c r="H406" s="29" t="str">
        <f aca="false">IF($G406="Yes",$A406+ROW()/100000,"")</f>
        <v/>
      </c>
    </row>
    <row r="407" customFormat="false" ht="15" hidden="false" customHeight="false" outlineLevel="0" collapsed="false">
      <c r="A407" s="27"/>
      <c r="B407" s="24"/>
      <c r="C407" s="24"/>
      <c r="D407" s="24"/>
      <c r="E407" s="28"/>
      <c r="F407" s="30" t="str">
        <f aca="false">IF($A407="","",$A407-WEEKDAY($A407,3))</f>
        <v/>
      </c>
      <c r="G407" s="29" t="str">
        <f aca="false">IF($A407="","",IF($F407=AsOf-WEEKDAY(AsOf,3),"Yes",""))</f>
        <v/>
      </c>
      <c r="H407" s="29" t="str">
        <f aca="false">IF($G407="Yes",$A407+ROW()/100000,"")</f>
        <v/>
      </c>
    </row>
    <row r="408" customFormat="false" ht="15" hidden="false" customHeight="false" outlineLevel="0" collapsed="false">
      <c r="A408" s="27"/>
      <c r="B408" s="24"/>
      <c r="C408" s="24"/>
      <c r="D408" s="24"/>
      <c r="E408" s="28"/>
      <c r="F408" s="30" t="str">
        <f aca="false">IF($A408="","",$A408-WEEKDAY($A408,3))</f>
        <v/>
      </c>
      <c r="G408" s="29" t="str">
        <f aca="false">IF($A408="","",IF($F408=AsOf-WEEKDAY(AsOf,3),"Yes",""))</f>
        <v/>
      </c>
      <c r="H408" s="29" t="str">
        <f aca="false">IF($G408="Yes",$A408+ROW()/100000,"")</f>
        <v/>
      </c>
    </row>
    <row r="409" customFormat="false" ht="15" hidden="false" customHeight="false" outlineLevel="0" collapsed="false">
      <c r="A409" s="27"/>
      <c r="B409" s="24"/>
      <c r="C409" s="24"/>
      <c r="D409" s="24"/>
      <c r="E409" s="28"/>
      <c r="F409" s="30" t="str">
        <f aca="false">IF($A409="","",$A409-WEEKDAY($A409,3))</f>
        <v/>
      </c>
      <c r="G409" s="29" t="str">
        <f aca="false">IF($A409="","",IF($F409=AsOf-WEEKDAY(AsOf,3),"Yes",""))</f>
        <v/>
      </c>
      <c r="H409" s="29" t="str">
        <f aca="false">IF($G409="Yes",$A409+ROW()/100000,"")</f>
        <v/>
      </c>
    </row>
    <row r="410" customFormat="false" ht="15" hidden="false" customHeight="false" outlineLevel="0" collapsed="false">
      <c r="A410" s="27"/>
      <c r="B410" s="24"/>
      <c r="C410" s="24"/>
      <c r="D410" s="24"/>
      <c r="E410" s="28"/>
      <c r="F410" s="30" t="str">
        <f aca="false">IF($A410="","",$A410-WEEKDAY($A410,3))</f>
        <v/>
      </c>
      <c r="G410" s="29" t="str">
        <f aca="false">IF($A410="","",IF($F410=AsOf-WEEKDAY(AsOf,3),"Yes",""))</f>
        <v/>
      </c>
      <c r="H410" s="29" t="str">
        <f aca="false">IF($G410="Yes",$A410+ROW()/100000,"")</f>
        <v/>
      </c>
    </row>
    <row r="411" customFormat="false" ht="15" hidden="false" customHeight="false" outlineLevel="0" collapsed="false">
      <c r="A411" s="27"/>
      <c r="B411" s="24"/>
      <c r="C411" s="24"/>
      <c r="D411" s="24"/>
      <c r="E411" s="28"/>
      <c r="F411" s="30" t="str">
        <f aca="false">IF($A411="","",$A411-WEEKDAY($A411,3))</f>
        <v/>
      </c>
      <c r="G411" s="29" t="str">
        <f aca="false">IF($A411="","",IF($F411=AsOf-WEEKDAY(AsOf,3),"Yes",""))</f>
        <v/>
      </c>
      <c r="H411" s="29" t="str">
        <f aca="false">IF($G411="Yes",$A411+ROW()/100000,"")</f>
        <v/>
      </c>
    </row>
    <row r="412" customFormat="false" ht="15" hidden="false" customHeight="false" outlineLevel="0" collapsed="false">
      <c r="A412" s="27"/>
      <c r="B412" s="24"/>
      <c r="C412" s="24"/>
      <c r="D412" s="24"/>
      <c r="E412" s="28"/>
      <c r="F412" s="30" t="str">
        <f aca="false">IF($A412="","",$A412-WEEKDAY($A412,3))</f>
        <v/>
      </c>
      <c r="G412" s="29" t="str">
        <f aca="false">IF($A412="","",IF($F412=AsOf-WEEKDAY(AsOf,3),"Yes",""))</f>
        <v/>
      </c>
      <c r="H412" s="29" t="str">
        <f aca="false">IF($G412="Yes",$A412+ROW()/100000,"")</f>
        <v/>
      </c>
    </row>
    <row r="413" customFormat="false" ht="15" hidden="false" customHeight="false" outlineLevel="0" collapsed="false">
      <c r="A413" s="27"/>
      <c r="B413" s="24"/>
      <c r="C413" s="24"/>
      <c r="D413" s="24"/>
      <c r="E413" s="28"/>
      <c r="F413" s="30" t="str">
        <f aca="false">IF($A413="","",$A413-WEEKDAY($A413,3))</f>
        <v/>
      </c>
      <c r="G413" s="29" t="str">
        <f aca="false">IF($A413="","",IF($F413=AsOf-WEEKDAY(AsOf,3),"Yes",""))</f>
        <v/>
      </c>
      <c r="H413" s="29" t="str">
        <f aca="false">IF($G413="Yes",$A413+ROW()/100000,"")</f>
        <v/>
      </c>
    </row>
    <row r="414" customFormat="false" ht="15" hidden="false" customHeight="false" outlineLevel="0" collapsed="false">
      <c r="A414" s="27"/>
      <c r="B414" s="24"/>
      <c r="C414" s="24"/>
      <c r="D414" s="24"/>
      <c r="E414" s="28"/>
      <c r="F414" s="30" t="str">
        <f aca="false">IF($A414="","",$A414-WEEKDAY($A414,3))</f>
        <v/>
      </c>
      <c r="G414" s="29" t="str">
        <f aca="false">IF($A414="","",IF($F414=AsOf-WEEKDAY(AsOf,3),"Yes",""))</f>
        <v/>
      </c>
      <c r="H414" s="29" t="str">
        <f aca="false">IF($G414="Yes",$A414+ROW()/100000,"")</f>
        <v/>
      </c>
    </row>
    <row r="415" customFormat="false" ht="15" hidden="false" customHeight="false" outlineLevel="0" collapsed="false">
      <c r="A415" s="27"/>
      <c r="B415" s="24"/>
      <c r="C415" s="24"/>
      <c r="D415" s="24"/>
      <c r="E415" s="28"/>
      <c r="F415" s="30" t="str">
        <f aca="false">IF($A415="","",$A415-WEEKDAY($A415,3))</f>
        <v/>
      </c>
      <c r="G415" s="29" t="str">
        <f aca="false">IF($A415="","",IF($F415=AsOf-WEEKDAY(AsOf,3),"Yes",""))</f>
        <v/>
      </c>
      <c r="H415" s="29" t="str">
        <f aca="false">IF($G415="Yes",$A415+ROW()/100000,"")</f>
        <v/>
      </c>
    </row>
    <row r="416" customFormat="false" ht="15" hidden="false" customHeight="false" outlineLevel="0" collapsed="false">
      <c r="A416" s="27"/>
      <c r="B416" s="24"/>
      <c r="C416" s="24"/>
      <c r="D416" s="24"/>
      <c r="E416" s="28"/>
      <c r="F416" s="30" t="str">
        <f aca="false">IF($A416="","",$A416-WEEKDAY($A416,3))</f>
        <v/>
      </c>
      <c r="G416" s="29" t="str">
        <f aca="false">IF($A416="","",IF($F416=AsOf-WEEKDAY(AsOf,3),"Yes",""))</f>
        <v/>
      </c>
      <c r="H416" s="29" t="str">
        <f aca="false">IF($G416="Yes",$A416+ROW()/100000,"")</f>
        <v/>
      </c>
    </row>
    <row r="417" customFormat="false" ht="15" hidden="false" customHeight="false" outlineLevel="0" collapsed="false">
      <c r="A417" s="27"/>
      <c r="B417" s="24"/>
      <c r="C417" s="24"/>
      <c r="D417" s="24"/>
      <c r="E417" s="28"/>
      <c r="F417" s="30" t="str">
        <f aca="false">IF($A417="","",$A417-WEEKDAY($A417,3))</f>
        <v/>
      </c>
      <c r="G417" s="29" t="str">
        <f aca="false">IF($A417="","",IF($F417=AsOf-WEEKDAY(AsOf,3),"Yes",""))</f>
        <v/>
      </c>
      <c r="H417" s="29" t="str">
        <f aca="false">IF($G417="Yes",$A417+ROW()/100000,"")</f>
        <v/>
      </c>
    </row>
    <row r="418" customFormat="false" ht="15" hidden="false" customHeight="false" outlineLevel="0" collapsed="false">
      <c r="A418" s="27"/>
      <c r="B418" s="24"/>
      <c r="C418" s="24"/>
      <c r="D418" s="24"/>
      <c r="E418" s="28"/>
      <c r="F418" s="30" t="str">
        <f aca="false">IF($A418="","",$A418-WEEKDAY($A418,3))</f>
        <v/>
      </c>
      <c r="G418" s="29" t="str">
        <f aca="false">IF($A418="","",IF($F418=AsOf-WEEKDAY(AsOf,3),"Yes",""))</f>
        <v/>
      </c>
      <c r="H418" s="29" t="str">
        <f aca="false">IF($G418="Yes",$A418+ROW()/100000,"")</f>
        <v/>
      </c>
    </row>
    <row r="419" customFormat="false" ht="15" hidden="false" customHeight="false" outlineLevel="0" collapsed="false">
      <c r="A419" s="27"/>
      <c r="B419" s="24"/>
      <c r="C419" s="24"/>
      <c r="D419" s="24"/>
      <c r="E419" s="28"/>
      <c r="F419" s="30" t="str">
        <f aca="false">IF($A419="","",$A419-WEEKDAY($A419,3))</f>
        <v/>
      </c>
      <c r="G419" s="29" t="str">
        <f aca="false">IF($A419="","",IF($F419=AsOf-WEEKDAY(AsOf,3),"Yes",""))</f>
        <v/>
      </c>
      <c r="H419" s="29" t="str">
        <f aca="false">IF($G419="Yes",$A419+ROW()/100000,"")</f>
        <v/>
      </c>
    </row>
    <row r="420" customFormat="false" ht="15" hidden="false" customHeight="false" outlineLevel="0" collapsed="false">
      <c r="A420" s="27"/>
      <c r="B420" s="24"/>
      <c r="C420" s="24"/>
      <c r="D420" s="24"/>
      <c r="E420" s="28"/>
      <c r="F420" s="30" t="str">
        <f aca="false">IF($A420="","",$A420-WEEKDAY($A420,3))</f>
        <v/>
      </c>
      <c r="G420" s="29" t="str">
        <f aca="false">IF($A420="","",IF($F420=AsOf-WEEKDAY(AsOf,3),"Yes",""))</f>
        <v/>
      </c>
      <c r="H420" s="29" t="str">
        <f aca="false">IF($G420="Yes",$A420+ROW()/100000,"")</f>
        <v/>
      </c>
    </row>
    <row r="421" customFormat="false" ht="15" hidden="false" customHeight="false" outlineLevel="0" collapsed="false">
      <c r="A421" s="27"/>
      <c r="B421" s="24"/>
      <c r="C421" s="24"/>
      <c r="D421" s="24"/>
      <c r="E421" s="28"/>
      <c r="F421" s="30" t="str">
        <f aca="false">IF($A421="","",$A421-WEEKDAY($A421,3))</f>
        <v/>
      </c>
      <c r="G421" s="29" t="str">
        <f aca="false">IF($A421="","",IF($F421=AsOf-WEEKDAY(AsOf,3),"Yes",""))</f>
        <v/>
      </c>
      <c r="H421" s="29" t="str">
        <f aca="false">IF($G421="Yes",$A421+ROW()/100000,"")</f>
        <v/>
      </c>
    </row>
    <row r="422" customFormat="false" ht="15" hidden="false" customHeight="false" outlineLevel="0" collapsed="false">
      <c r="A422" s="27"/>
      <c r="B422" s="24"/>
      <c r="C422" s="24"/>
      <c r="D422" s="24"/>
      <c r="E422" s="28"/>
      <c r="F422" s="30" t="str">
        <f aca="false">IF($A422="","",$A422-WEEKDAY($A422,3))</f>
        <v/>
      </c>
      <c r="G422" s="29" t="str">
        <f aca="false">IF($A422="","",IF($F422=AsOf-WEEKDAY(AsOf,3),"Yes",""))</f>
        <v/>
      </c>
      <c r="H422" s="29" t="str">
        <f aca="false">IF($G422="Yes",$A422+ROW()/100000,"")</f>
        <v/>
      </c>
    </row>
    <row r="423" customFormat="false" ht="15" hidden="false" customHeight="false" outlineLevel="0" collapsed="false">
      <c r="A423" s="27"/>
      <c r="B423" s="24"/>
      <c r="C423" s="24"/>
      <c r="D423" s="24"/>
      <c r="E423" s="28"/>
      <c r="F423" s="30" t="str">
        <f aca="false">IF($A423="","",$A423-WEEKDAY($A423,3))</f>
        <v/>
      </c>
      <c r="G423" s="29" t="str">
        <f aca="false">IF($A423="","",IF($F423=AsOf-WEEKDAY(AsOf,3),"Yes",""))</f>
        <v/>
      </c>
      <c r="H423" s="29" t="str">
        <f aca="false">IF($G423="Yes",$A423+ROW()/100000,"")</f>
        <v/>
      </c>
    </row>
    <row r="424" customFormat="false" ht="15" hidden="false" customHeight="false" outlineLevel="0" collapsed="false">
      <c r="A424" s="27"/>
      <c r="B424" s="24"/>
      <c r="C424" s="24"/>
      <c r="D424" s="24"/>
      <c r="E424" s="28"/>
      <c r="F424" s="30" t="str">
        <f aca="false">IF($A424="","",$A424-WEEKDAY($A424,3))</f>
        <v/>
      </c>
      <c r="G424" s="29" t="str">
        <f aca="false">IF($A424="","",IF($F424=AsOf-WEEKDAY(AsOf,3),"Yes",""))</f>
        <v/>
      </c>
      <c r="H424" s="29" t="str">
        <f aca="false">IF($G424="Yes",$A424+ROW()/100000,"")</f>
        <v/>
      </c>
    </row>
    <row r="425" customFormat="false" ht="15" hidden="false" customHeight="false" outlineLevel="0" collapsed="false">
      <c r="A425" s="27"/>
      <c r="B425" s="24"/>
      <c r="C425" s="24"/>
      <c r="D425" s="24"/>
      <c r="E425" s="28"/>
      <c r="F425" s="30" t="str">
        <f aca="false">IF($A425="","",$A425-WEEKDAY($A425,3))</f>
        <v/>
      </c>
      <c r="G425" s="29" t="str">
        <f aca="false">IF($A425="","",IF($F425=AsOf-WEEKDAY(AsOf,3),"Yes",""))</f>
        <v/>
      </c>
      <c r="H425" s="29" t="str">
        <f aca="false">IF($G425="Yes",$A425+ROW()/100000,"")</f>
        <v/>
      </c>
    </row>
    <row r="426" customFormat="false" ht="15" hidden="false" customHeight="false" outlineLevel="0" collapsed="false">
      <c r="A426" s="27"/>
      <c r="B426" s="24"/>
      <c r="C426" s="24"/>
      <c r="D426" s="24"/>
      <c r="E426" s="28"/>
      <c r="F426" s="30" t="str">
        <f aca="false">IF($A426="","",$A426-WEEKDAY($A426,3))</f>
        <v/>
      </c>
      <c r="G426" s="29" t="str">
        <f aca="false">IF($A426="","",IF($F426=AsOf-WEEKDAY(AsOf,3),"Yes",""))</f>
        <v/>
      </c>
      <c r="H426" s="29" t="str">
        <f aca="false">IF($G426="Yes",$A426+ROW()/100000,"")</f>
        <v/>
      </c>
    </row>
    <row r="427" customFormat="false" ht="15" hidden="false" customHeight="false" outlineLevel="0" collapsed="false">
      <c r="A427" s="27"/>
      <c r="B427" s="24"/>
      <c r="C427" s="24"/>
      <c r="D427" s="24"/>
      <c r="E427" s="28"/>
      <c r="F427" s="30" t="str">
        <f aca="false">IF($A427="","",$A427-WEEKDAY($A427,3))</f>
        <v/>
      </c>
      <c r="G427" s="29" t="str">
        <f aca="false">IF($A427="","",IF($F427=AsOf-WEEKDAY(AsOf,3),"Yes",""))</f>
        <v/>
      </c>
      <c r="H427" s="29" t="str">
        <f aca="false">IF($G427="Yes",$A427+ROW()/100000,"")</f>
        <v/>
      </c>
    </row>
    <row r="428" customFormat="false" ht="15" hidden="false" customHeight="false" outlineLevel="0" collapsed="false">
      <c r="A428" s="27"/>
      <c r="B428" s="24"/>
      <c r="C428" s="24"/>
      <c r="D428" s="24"/>
      <c r="E428" s="28"/>
      <c r="F428" s="30" t="str">
        <f aca="false">IF($A428="","",$A428-WEEKDAY($A428,3))</f>
        <v/>
      </c>
      <c r="G428" s="29" t="str">
        <f aca="false">IF($A428="","",IF($F428=AsOf-WEEKDAY(AsOf,3),"Yes",""))</f>
        <v/>
      </c>
      <c r="H428" s="29" t="str">
        <f aca="false">IF($G428="Yes",$A428+ROW()/100000,"")</f>
        <v/>
      </c>
    </row>
    <row r="429" customFormat="false" ht="15" hidden="false" customHeight="false" outlineLevel="0" collapsed="false">
      <c r="A429" s="27"/>
      <c r="B429" s="24"/>
      <c r="C429" s="24"/>
      <c r="D429" s="24"/>
      <c r="E429" s="28"/>
      <c r="F429" s="30" t="str">
        <f aca="false">IF($A429="","",$A429-WEEKDAY($A429,3))</f>
        <v/>
      </c>
      <c r="G429" s="29" t="str">
        <f aca="false">IF($A429="","",IF($F429=AsOf-WEEKDAY(AsOf,3),"Yes",""))</f>
        <v/>
      </c>
      <c r="H429" s="29" t="str">
        <f aca="false">IF($G429="Yes",$A429+ROW()/100000,"")</f>
        <v/>
      </c>
    </row>
    <row r="430" customFormat="false" ht="15" hidden="false" customHeight="false" outlineLevel="0" collapsed="false">
      <c r="A430" s="27"/>
      <c r="B430" s="24"/>
      <c r="C430" s="24"/>
      <c r="D430" s="24"/>
      <c r="E430" s="28"/>
      <c r="F430" s="30" t="str">
        <f aca="false">IF($A430="","",$A430-WEEKDAY($A430,3))</f>
        <v/>
      </c>
      <c r="G430" s="29" t="str">
        <f aca="false">IF($A430="","",IF($F430=AsOf-WEEKDAY(AsOf,3),"Yes",""))</f>
        <v/>
      </c>
      <c r="H430" s="29" t="str">
        <f aca="false">IF($G430="Yes",$A430+ROW()/100000,"")</f>
        <v/>
      </c>
    </row>
    <row r="431" customFormat="false" ht="15" hidden="false" customHeight="false" outlineLevel="0" collapsed="false">
      <c r="A431" s="27"/>
      <c r="B431" s="24"/>
      <c r="C431" s="24"/>
      <c r="D431" s="24"/>
      <c r="E431" s="28"/>
      <c r="F431" s="30" t="str">
        <f aca="false">IF($A431="","",$A431-WEEKDAY($A431,3))</f>
        <v/>
      </c>
      <c r="G431" s="29" t="str">
        <f aca="false">IF($A431="","",IF($F431=AsOf-WEEKDAY(AsOf,3),"Yes",""))</f>
        <v/>
      </c>
      <c r="H431" s="29" t="str">
        <f aca="false">IF($G431="Yes",$A431+ROW()/100000,"")</f>
        <v/>
      </c>
    </row>
    <row r="432" customFormat="false" ht="15" hidden="false" customHeight="false" outlineLevel="0" collapsed="false">
      <c r="A432" s="27"/>
      <c r="B432" s="24"/>
      <c r="C432" s="24"/>
      <c r="D432" s="24"/>
      <c r="E432" s="28"/>
      <c r="F432" s="30" t="str">
        <f aca="false">IF($A432="","",$A432-WEEKDAY($A432,3))</f>
        <v/>
      </c>
      <c r="G432" s="29" t="str">
        <f aca="false">IF($A432="","",IF($F432=AsOf-WEEKDAY(AsOf,3),"Yes",""))</f>
        <v/>
      </c>
      <c r="H432" s="29" t="str">
        <f aca="false">IF($G432="Yes",$A432+ROW()/100000,"")</f>
        <v/>
      </c>
    </row>
    <row r="433" customFormat="false" ht="15" hidden="false" customHeight="false" outlineLevel="0" collapsed="false">
      <c r="A433" s="27"/>
      <c r="B433" s="24"/>
      <c r="C433" s="24"/>
      <c r="D433" s="24"/>
      <c r="E433" s="28"/>
      <c r="F433" s="30" t="str">
        <f aca="false">IF($A433="","",$A433-WEEKDAY($A433,3))</f>
        <v/>
      </c>
      <c r="G433" s="29" t="str">
        <f aca="false">IF($A433="","",IF($F433=AsOf-WEEKDAY(AsOf,3),"Yes",""))</f>
        <v/>
      </c>
      <c r="H433" s="29" t="str">
        <f aca="false">IF($G433="Yes",$A433+ROW()/100000,"")</f>
        <v/>
      </c>
    </row>
    <row r="434" customFormat="false" ht="15" hidden="false" customHeight="false" outlineLevel="0" collapsed="false">
      <c r="A434" s="27"/>
      <c r="B434" s="24"/>
      <c r="C434" s="24"/>
      <c r="D434" s="24"/>
      <c r="E434" s="28"/>
      <c r="F434" s="30" t="str">
        <f aca="false">IF($A434="","",$A434-WEEKDAY($A434,3))</f>
        <v/>
      </c>
      <c r="G434" s="29" t="str">
        <f aca="false">IF($A434="","",IF($F434=AsOf-WEEKDAY(AsOf,3),"Yes",""))</f>
        <v/>
      </c>
      <c r="H434" s="29" t="str">
        <f aca="false">IF($G434="Yes",$A434+ROW()/100000,"")</f>
        <v/>
      </c>
    </row>
    <row r="435" customFormat="false" ht="15" hidden="false" customHeight="false" outlineLevel="0" collapsed="false">
      <c r="A435" s="27"/>
      <c r="B435" s="24"/>
      <c r="C435" s="24"/>
      <c r="D435" s="24"/>
      <c r="E435" s="28"/>
      <c r="F435" s="30" t="str">
        <f aca="false">IF($A435="","",$A435-WEEKDAY($A435,3))</f>
        <v/>
      </c>
      <c r="G435" s="29" t="str">
        <f aca="false">IF($A435="","",IF($F435=AsOf-WEEKDAY(AsOf,3),"Yes",""))</f>
        <v/>
      </c>
      <c r="H435" s="29" t="str">
        <f aca="false">IF($G435="Yes",$A435+ROW()/100000,"")</f>
        <v/>
      </c>
    </row>
    <row r="436" customFormat="false" ht="15" hidden="false" customHeight="false" outlineLevel="0" collapsed="false">
      <c r="A436" s="27"/>
      <c r="B436" s="24"/>
      <c r="C436" s="24"/>
      <c r="D436" s="24"/>
      <c r="E436" s="28"/>
      <c r="F436" s="30" t="str">
        <f aca="false">IF($A436="","",$A436-WEEKDAY($A436,3))</f>
        <v/>
      </c>
      <c r="G436" s="29" t="str">
        <f aca="false">IF($A436="","",IF($F436=AsOf-WEEKDAY(AsOf,3),"Yes",""))</f>
        <v/>
      </c>
      <c r="H436" s="29" t="str">
        <f aca="false">IF($G436="Yes",$A436+ROW()/100000,"")</f>
        <v/>
      </c>
    </row>
    <row r="437" customFormat="false" ht="15" hidden="false" customHeight="false" outlineLevel="0" collapsed="false">
      <c r="A437" s="27"/>
      <c r="B437" s="24"/>
      <c r="C437" s="24"/>
      <c r="D437" s="24"/>
      <c r="E437" s="28"/>
      <c r="F437" s="30" t="str">
        <f aca="false">IF($A437="","",$A437-WEEKDAY($A437,3))</f>
        <v/>
      </c>
      <c r="G437" s="29" t="str">
        <f aca="false">IF($A437="","",IF($F437=AsOf-WEEKDAY(AsOf,3),"Yes",""))</f>
        <v/>
      </c>
      <c r="H437" s="29" t="str">
        <f aca="false">IF($G437="Yes",$A437+ROW()/100000,"")</f>
        <v/>
      </c>
    </row>
    <row r="438" customFormat="false" ht="15" hidden="false" customHeight="false" outlineLevel="0" collapsed="false">
      <c r="A438" s="27"/>
      <c r="B438" s="24"/>
      <c r="C438" s="24"/>
      <c r="D438" s="24"/>
      <c r="E438" s="28"/>
      <c r="F438" s="30" t="str">
        <f aca="false">IF($A438="","",$A438-WEEKDAY($A438,3))</f>
        <v/>
      </c>
      <c r="G438" s="29" t="str">
        <f aca="false">IF($A438="","",IF($F438=AsOf-WEEKDAY(AsOf,3),"Yes",""))</f>
        <v/>
      </c>
      <c r="H438" s="29" t="str">
        <f aca="false">IF($G438="Yes",$A438+ROW()/100000,"")</f>
        <v/>
      </c>
    </row>
    <row r="439" customFormat="false" ht="15" hidden="false" customHeight="false" outlineLevel="0" collapsed="false">
      <c r="A439" s="27"/>
      <c r="B439" s="24"/>
      <c r="C439" s="24"/>
      <c r="D439" s="24"/>
      <c r="E439" s="28"/>
      <c r="F439" s="30" t="str">
        <f aca="false">IF($A439="","",$A439-WEEKDAY($A439,3))</f>
        <v/>
      </c>
      <c r="G439" s="29" t="str">
        <f aca="false">IF($A439="","",IF($F439=AsOf-WEEKDAY(AsOf,3),"Yes",""))</f>
        <v/>
      </c>
      <c r="H439" s="29" t="str">
        <f aca="false">IF($G439="Yes",$A439+ROW()/100000,"")</f>
        <v/>
      </c>
    </row>
    <row r="440" customFormat="false" ht="15" hidden="false" customHeight="false" outlineLevel="0" collapsed="false">
      <c r="A440" s="27"/>
      <c r="B440" s="24"/>
      <c r="C440" s="24"/>
      <c r="D440" s="24"/>
      <c r="E440" s="28"/>
      <c r="F440" s="30" t="str">
        <f aca="false">IF($A440="","",$A440-WEEKDAY($A440,3))</f>
        <v/>
      </c>
      <c r="G440" s="29" t="str">
        <f aca="false">IF($A440="","",IF($F440=AsOf-WEEKDAY(AsOf,3),"Yes",""))</f>
        <v/>
      </c>
      <c r="H440" s="29" t="str">
        <f aca="false">IF($G440="Yes",$A440+ROW()/100000,"")</f>
        <v/>
      </c>
    </row>
    <row r="441" customFormat="false" ht="15" hidden="false" customHeight="false" outlineLevel="0" collapsed="false">
      <c r="A441" s="27"/>
      <c r="B441" s="24"/>
      <c r="C441" s="24"/>
      <c r="D441" s="24"/>
      <c r="E441" s="28"/>
      <c r="F441" s="30" t="str">
        <f aca="false">IF($A441="","",$A441-WEEKDAY($A441,3))</f>
        <v/>
      </c>
      <c r="G441" s="29" t="str">
        <f aca="false">IF($A441="","",IF($F441=AsOf-WEEKDAY(AsOf,3),"Yes",""))</f>
        <v/>
      </c>
      <c r="H441" s="29" t="str">
        <f aca="false">IF($G441="Yes",$A441+ROW()/100000,"")</f>
        <v/>
      </c>
    </row>
    <row r="442" customFormat="false" ht="15" hidden="false" customHeight="false" outlineLevel="0" collapsed="false">
      <c r="A442" s="27"/>
      <c r="B442" s="24"/>
      <c r="C442" s="24"/>
      <c r="D442" s="24"/>
      <c r="E442" s="28"/>
      <c r="F442" s="30" t="str">
        <f aca="false">IF($A442="","",$A442-WEEKDAY($A442,3))</f>
        <v/>
      </c>
      <c r="G442" s="29" t="str">
        <f aca="false">IF($A442="","",IF($F442=AsOf-WEEKDAY(AsOf,3),"Yes",""))</f>
        <v/>
      </c>
      <c r="H442" s="29" t="str">
        <f aca="false">IF($G442="Yes",$A442+ROW()/100000,"")</f>
        <v/>
      </c>
    </row>
    <row r="443" customFormat="false" ht="15" hidden="false" customHeight="false" outlineLevel="0" collapsed="false">
      <c r="A443" s="27"/>
      <c r="B443" s="24"/>
      <c r="C443" s="24"/>
      <c r="D443" s="24"/>
      <c r="E443" s="28"/>
      <c r="F443" s="30" t="str">
        <f aca="false">IF($A443="","",$A443-WEEKDAY($A443,3))</f>
        <v/>
      </c>
      <c r="G443" s="29" t="str">
        <f aca="false">IF($A443="","",IF($F443=AsOf-WEEKDAY(AsOf,3),"Yes",""))</f>
        <v/>
      </c>
      <c r="H443" s="29" t="str">
        <f aca="false">IF($G443="Yes",$A443+ROW()/100000,"")</f>
        <v/>
      </c>
    </row>
    <row r="444" customFormat="false" ht="15" hidden="false" customHeight="false" outlineLevel="0" collapsed="false">
      <c r="A444" s="27"/>
      <c r="B444" s="24"/>
      <c r="C444" s="24"/>
      <c r="D444" s="24"/>
      <c r="E444" s="28"/>
      <c r="F444" s="30" t="str">
        <f aca="false">IF($A444="","",$A444-WEEKDAY($A444,3))</f>
        <v/>
      </c>
      <c r="G444" s="29" t="str">
        <f aca="false">IF($A444="","",IF($F444=AsOf-WEEKDAY(AsOf,3),"Yes",""))</f>
        <v/>
      </c>
      <c r="H444" s="29" t="str">
        <f aca="false">IF($G444="Yes",$A444+ROW()/100000,"")</f>
        <v/>
      </c>
    </row>
    <row r="445" customFormat="false" ht="15" hidden="false" customHeight="false" outlineLevel="0" collapsed="false">
      <c r="A445" s="27"/>
      <c r="B445" s="24"/>
      <c r="C445" s="24"/>
      <c r="D445" s="24"/>
      <c r="E445" s="28"/>
      <c r="F445" s="30" t="str">
        <f aca="false">IF($A445="","",$A445-WEEKDAY($A445,3))</f>
        <v/>
      </c>
      <c r="G445" s="29" t="str">
        <f aca="false">IF($A445="","",IF($F445=AsOf-WEEKDAY(AsOf,3),"Yes",""))</f>
        <v/>
      </c>
      <c r="H445" s="29" t="str">
        <f aca="false">IF($G445="Yes",$A445+ROW()/100000,"")</f>
        <v/>
      </c>
    </row>
    <row r="446" customFormat="false" ht="15" hidden="false" customHeight="false" outlineLevel="0" collapsed="false">
      <c r="A446" s="27"/>
      <c r="B446" s="24"/>
      <c r="C446" s="24"/>
      <c r="D446" s="24"/>
      <c r="E446" s="28"/>
      <c r="F446" s="30" t="str">
        <f aca="false">IF($A446="","",$A446-WEEKDAY($A446,3))</f>
        <v/>
      </c>
      <c r="G446" s="29" t="str">
        <f aca="false">IF($A446="","",IF($F446=AsOf-WEEKDAY(AsOf,3),"Yes",""))</f>
        <v/>
      </c>
      <c r="H446" s="29" t="str">
        <f aca="false">IF($G446="Yes",$A446+ROW()/100000,"")</f>
        <v/>
      </c>
    </row>
    <row r="447" customFormat="false" ht="15" hidden="false" customHeight="false" outlineLevel="0" collapsed="false">
      <c r="A447" s="27"/>
      <c r="B447" s="24"/>
      <c r="C447" s="24"/>
      <c r="D447" s="24"/>
      <c r="E447" s="28"/>
      <c r="F447" s="30" t="str">
        <f aca="false">IF($A447="","",$A447-WEEKDAY($A447,3))</f>
        <v/>
      </c>
      <c r="G447" s="29" t="str">
        <f aca="false">IF($A447="","",IF($F447=AsOf-WEEKDAY(AsOf,3),"Yes",""))</f>
        <v/>
      </c>
      <c r="H447" s="29" t="str">
        <f aca="false">IF($G447="Yes",$A447+ROW()/100000,"")</f>
        <v/>
      </c>
    </row>
    <row r="448" customFormat="false" ht="15" hidden="false" customHeight="false" outlineLevel="0" collapsed="false">
      <c r="A448" s="27"/>
      <c r="B448" s="24"/>
      <c r="C448" s="24"/>
      <c r="D448" s="24"/>
      <c r="E448" s="28"/>
      <c r="F448" s="30" t="str">
        <f aca="false">IF($A448="","",$A448-WEEKDAY($A448,3))</f>
        <v/>
      </c>
      <c r="G448" s="29" t="str">
        <f aca="false">IF($A448="","",IF($F448=AsOf-WEEKDAY(AsOf,3),"Yes",""))</f>
        <v/>
      </c>
      <c r="H448" s="29" t="str">
        <f aca="false">IF($G448="Yes",$A448+ROW()/100000,"")</f>
        <v/>
      </c>
    </row>
    <row r="449" customFormat="false" ht="15" hidden="false" customHeight="false" outlineLevel="0" collapsed="false">
      <c r="A449" s="27"/>
      <c r="B449" s="24"/>
      <c r="C449" s="24"/>
      <c r="D449" s="24"/>
      <c r="E449" s="28"/>
      <c r="F449" s="30" t="str">
        <f aca="false">IF($A449="","",$A449-WEEKDAY($A449,3))</f>
        <v/>
      </c>
      <c r="G449" s="29" t="str">
        <f aca="false">IF($A449="","",IF($F449=AsOf-WEEKDAY(AsOf,3),"Yes",""))</f>
        <v/>
      </c>
      <c r="H449" s="29" t="str">
        <f aca="false">IF($G449="Yes",$A449+ROW()/100000,"")</f>
        <v/>
      </c>
    </row>
    <row r="450" customFormat="false" ht="15" hidden="false" customHeight="false" outlineLevel="0" collapsed="false">
      <c r="A450" s="27"/>
      <c r="B450" s="24"/>
      <c r="C450" s="24"/>
      <c r="D450" s="24"/>
      <c r="E450" s="28"/>
      <c r="F450" s="30" t="str">
        <f aca="false">IF($A450="","",$A450-WEEKDAY($A450,3))</f>
        <v/>
      </c>
      <c r="G450" s="29" t="str">
        <f aca="false">IF($A450="","",IF($F450=AsOf-WEEKDAY(AsOf,3),"Yes",""))</f>
        <v/>
      </c>
      <c r="H450" s="29" t="str">
        <f aca="false">IF($G450="Yes",$A450+ROW()/100000,"")</f>
        <v/>
      </c>
    </row>
    <row r="451" customFormat="false" ht="15" hidden="false" customHeight="false" outlineLevel="0" collapsed="false">
      <c r="A451" s="27"/>
      <c r="B451" s="24"/>
      <c r="C451" s="24"/>
      <c r="D451" s="24"/>
      <c r="E451" s="28"/>
      <c r="F451" s="30" t="str">
        <f aca="false">IF($A451="","",$A451-WEEKDAY($A451,3))</f>
        <v/>
      </c>
      <c r="G451" s="29" t="str">
        <f aca="false">IF($A451="","",IF($F451=AsOf-WEEKDAY(AsOf,3),"Yes",""))</f>
        <v/>
      </c>
      <c r="H451" s="29" t="str">
        <f aca="false">IF($G451="Yes",$A451+ROW()/100000,"")</f>
        <v/>
      </c>
    </row>
    <row r="452" customFormat="false" ht="15" hidden="false" customHeight="false" outlineLevel="0" collapsed="false">
      <c r="A452" s="27"/>
      <c r="B452" s="24"/>
      <c r="C452" s="24"/>
      <c r="D452" s="24"/>
      <c r="E452" s="28"/>
      <c r="F452" s="30" t="str">
        <f aca="false">IF($A452="","",$A452-WEEKDAY($A452,3))</f>
        <v/>
      </c>
      <c r="G452" s="29" t="str">
        <f aca="false">IF($A452="","",IF($F452=AsOf-WEEKDAY(AsOf,3),"Yes",""))</f>
        <v/>
      </c>
      <c r="H452" s="29" t="str">
        <f aca="false">IF($G452="Yes",$A452+ROW()/100000,"")</f>
        <v/>
      </c>
    </row>
    <row r="453" customFormat="false" ht="15" hidden="false" customHeight="false" outlineLevel="0" collapsed="false">
      <c r="A453" s="27"/>
      <c r="B453" s="24"/>
      <c r="C453" s="24"/>
      <c r="D453" s="24"/>
      <c r="E453" s="28"/>
      <c r="F453" s="30" t="str">
        <f aca="false">IF($A453="","",$A453-WEEKDAY($A453,3))</f>
        <v/>
      </c>
      <c r="G453" s="29" t="str">
        <f aca="false">IF($A453="","",IF($F453=AsOf-WEEKDAY(AsOf,3),"Yes",""))</f>
        <v/>
      </c>
      <c r="H453" s="29" t="str">
        <f aca="false">IF($G453="Yes",$A453+ROW()/100000,"")</f>
        <v/>
      </c>
    </row>
    <row r="454" customFormat="false" ht="15" hidden="false" customHeight="false" outlineLevel="0" collapsed="false">
      <c r="A454" s="27"/>
      <c r="B454" s="24"/>
      <c r="C454" s="24"/>
      <c r="D454" s="24"/>
      <c r="E454" s="28"/>
      <c r="F454" s="30" t="str">
        <f aca="false">IF($A454="","",$A454-WEEKDAY($A454,3))</f>
        <v/>
      </c>
      <c r="G454" s="29" t="str">
        <f aca="false">IF($A454="","",IF($F454=AsOf-WEEKDAY(AsOf,3),"Yes",""))</f>
        <v/>
      </c>
      <c r="H454" s="29" t="str">
        <f aca="false">IF($G454="Yes",$A454+ROW()/100000,"")</f>
        <v/>
      </c>
    </row>
    <row r="455" customFormat="false" ht="15" hidden="false" customHeight="false" outlineLevel="0" collapsed="false">
      <c r="A455" s="27"/>
      <c r="B455" s="24"/>
      <c r="C455" s="24"/>
      <c r="D455" s="24"/>
      <c r="E455" s="28"/>
      <c r="F455" s="30" t="str">
        <f aca="false">IF($A455="","",$A455-WEEKDAY($A455,3))</f>
        <v/>
      </c>
      <c r="G455" s="29" t="str">
        <f aca="false">IF($A455="","",IF($F455=AsOf-WEEKDAY(AsOf,3),"Yes",""))</f>
        <v/>
      </c>
      <c r="H455" s="29" t="str">
        <f aca="false">IF($G455="Yes",$A455+ROW()/100000,"")</f>
        <v/>
      </c>
    </row>
    <row r="456" customFormat="false" ht="15" hidden="false" customHeight="false" outlineLevel="0" collapsed="false">
      <c r="A456" s="27"/>
      <c r="B456" s="24"/>
      <c r="C456" s="24"/>
      <c r="D456" s="24"/>
      <c r="E456" s="28"/>
      <c r="F456" s="30" t="str">
        <f aca="false">IF($A456="","",$A456-WEEKDAY($A456,3))</f>
        <v/>
      </c>
      <c r="G456" s="29" t="str">
        <f aca="false">IF($A456="","",IF($F456=AsOf-WEEKDAY(AsOf,3),"Yes",""))</f>
        <v/>
      </c>
      <c r="H456" s="29" t="str">
        <f aca="false">IF($G456="Yes",$A456+ROW()/100000,"")</f>
        <v/>
      </c>
    </row>
    <row r="457" customFormat="false" ht="15" hidden="false" customHeight="false" outlineLevel="0" collapsed="false">
      <c r="A457" s="27"/>
      <c r="B457" s="24"/>
      <c r="C457" s="24"/>
      <c r="D457" s="24"/>
      <c r="E457" s="28"/>
      <c r="F457" s="30" t="str">
        <f aca="false">IF($A457="","",$A457-WEEKDAY($A457,3))</f>
        <v/>
      </c>
      <c r="G457" s="29" t="str">
        <f aca="false">IF($A457="","",IF($F457=AsOf-WEEKDAY(AsOf,3),"Yes",""))</f>
        <v/>
      </c>
      <c r="H457" s="29" t="str">
        <f aca="false">IF($G457="Yes",$A457+ROW()/100000,"")</f>
        <v/>
      </c>
    </row>
    <row r="458" customFormat="false" ht="15" hidden="false" customHeight="false" outlineLevel="0" collapsed="false">
      <c r="A458" s="27"/>
      <c r="B458" s="24"/>
      <c r="C458" s="24"/>
      <c r="D458" s="24"/>
      <c r="E458" s="28"/>
      <c r="F458" s="30" t="str">
        <f aca="false">IF($A458="","",$A458-WEEKDAY($A458,3))</f>
        <v/>
      </c>
      <c r="G458" s="29" t="str">
        <f aca="false">IF($A458="","",IF($F458=AsOf-WEEKDAY(AsOf,3),"Yes",""))</f>
        <v/>
      </c>
      <c r="H458" s="29" t="str">
        <f aca="false">IF($G458="Yes",$A458+ROW()/100000,"")</f>
        <v/>
      </c>
    </row>
    <row r="459" customFormat="false" ht="15" hidden="false" customHeight="false" outlineLevel="0" collapsed="false">
      <c r="A459" s="27"/>
      <c r="B459" s="24"/>
      <c r="C459" s="24"/>
      <c r="D459" s="24"/>
      <c r="E459" s="28"/>
      <c r="F459" s="30" t="str">
        <f aca="false">IF($A459="","",$A459-WEEKDAY($A459,3))</f>
        <v/>
      </c>
      <c r="G459" s="29" t="str">
        <f aca="false">IF($A459="","",IF($F459=AsOf-WEEKDAY(AsOf,3),"Yes",""))</f>
        <v/>
      </c>
      <c r="H459" s="29" t="str">
        <f aca="false">IF($G459="Yes",$A459+ROW()/100000,"")</f>
        <v/>
      </c>
    </row>
    <row r="460" customFormat="false" ht="15" hidden="false" customHeight="false" outlineLevel="0" collapsed="false">
      <c r="A460" s="27"/>
      <c r="B460" s="24"/>
      <c r="C460" s="24"/>
      <c r="D460" s="24"/>
      <c r="E460" s="28"/>
      <c r="F460" s="30" t="str">
        <f aca="false">IF($A460="","",$A460-WEEKDAY($A460,3))</f>
        <v/>
      </c>
      <c r="G460" s="29" t="str">
        <f aca="false">IF($A460="","",IF($F460=AsOf-WEEKDAY(AsOf,3),"Yes",""))</f>
        <v/>
      </c>
      <c r="H460" s="29" t="str">
        <f aca="false">IF($G460="Yes",$A460+ROW()/100000,"")</f>
        <v/>
      </c>
    </row>
    <row r="461" customFormat="false" ht="15" hidden="false" customHeight="false" outlineLevel="0" collapsed="false">
      <c r="A461" s="27"/>
      <c r="B461" s="24"/>
      <c r="C461" s="24"/>
      <c r="D461" s="24"/>
      <c r="E461" s="28"/>
      <c r="F461" s="30" t="str">
        <f aca="false">IF($A461="","",$A461-WEEKDAY($A461,3))</f>
        <v/>
      </c>
      <c r="G461" s="29" t="str">
        <f aca="false">IF($A461="","",IF($F461=AsOf-WEEKDAY(AsOf,3),"Yes",""))</f>
        <v/>
      </c>
      <c r="H461" s="29" t="str">
        <f aca="false">IF($G461="Yes",$A461+ROW()/100000,"")</f>
        <v/>
      </c>
    </row>
    <row r="462" customFormat="false" ht="15" hidden="false" customHeight="false" outlineLevel="0" collapsed="false">
      <c r="A462" s="27"/>
      <c r="B462" s="24"/>
      <c r="C462" s="24"/>
      <c r="D462" s="24"/>
      <c r="E462" s="28"/>
      <c r="F462" s="30" t="str">
        <f aca="false">IF($A462="","",$A462-WEEKDAY($A462,3))</f>
        <v/>
      </c>
      <c r="G462" s="29" t="str">
        <f aca="false">IF($A462="","",IF($F462=AsOf-WEEKDAY(AsOf,3),"Yes",""))</f>
        <v/>
      </c>
      <c r="H462" s="29" t="str">
        <f aca="false">IF($G462="Yes",$A462+ROW()/100000,"")</f>
        <v/>
      </c>
    </row>
    <row r="463" customFormat="false" ht="15" hidden="false" customHeight="false" outlineLevel="0" collapsed="false">
      <c r="A463" s="27"/>
      <c r="B463" s="24"/>
      <c r="C463" s="24"/>
      <c r="D463" s="24"/>
      <c r="E463" s="28"/>
      <c r="F463" s="30" t="str">
        <f aca="false">IF($A463="","",$A463-WEEKDAY($A463,3))</f>
        <v/>
      </c>
      <c r="G463" s="29" t="str">
        <f aca="false">IF($A463="","",IF($F463=AsOf-WEEKDAY(AsOf,3),"Yes",""))</f>
        <v/>
      </c>
      <c r="H463" s="29" t="str">
        <f aca="false">IF($G463="Yes",$A463+ROW()/100000,"")</f>
        <v/>
      </c>
    </row>
    <row r="464" customFormat="false" ht="15" hidden="false" customHeight="false" outlineLevel="0" collapsed="false">
      <c r="A464" s="27"/>
      <c r="B464" s="24"/>
      <c r="C464" s="24"/>
      <c r="D464" s="24"/>
      <c r="E464" s="28"/>
      <c r="F464" s="30" t="str">
        <f aca="false">IF($A464="","",$A464-WEEKDAY($A464,3))</f>
        <v/>
      </c>
      <c r="G464" s="29" t="str">
        <f aca="false">IF($A464="","",IF($F464=AsOf-WEEKDAY(AsOf,3),"Yes",""))</f>
        <v/>
      </c>
      <c r="H464" s="29" t="str">
        <f aca="false">IF($G464="Yes",$A464+ROW()/100000,"")</f>
        <v/>
      </c>
    </row>
    <row r="465" customFormat="false" ht="15" hidden="false" customHeight="false" outlineLevel="0" collapsed="false">
      <c r="A465" s="27"/>
      <c r="B465" s="24"/>
      <c r="C465" s="24"/>
      <c r="D465" s="24"/>
      <c r="E465" s="28"/>
      <c r="F465" s="30" t="str">
        <f aca="false">IF($A465="","",$A465-WEEKDAY($A465,3))</f>
        <v/>
      </c>
      <c r="G465" s="29" t="str">
        <f aca="false">IF($A465="","",IF($F465=AsOf-WEEKDAY(AsOf,3),"Yes",""))</f>
        <v/>
      </c>
      <c r="H465" s="29" t="str">
        <f aca="false">IF($G465="Yes",$A465+ROW()/100000,"")</f>
        <v/>
      </c>
    </row>
    <row r="466" customFormat="false" ht="15" hidden="false" customHeight="false" outlineLevel="0" collapsed="false">
      <c r="A466" s="27"/>
      <c r="B466" s="24"/>
      <c r="C466" s="24"/>
      <c r="D466" s="24"/>
      <c r="E466" s="28"/>
      <c r="F466" s="30" t="str">
        <f aca="false">IF($A466="","",$A466-WEEKDAY($A466,3))</f>
        <v/>
      </c>
      <c r="G466" s="29" t="str">
        <f aca="false">IF($A466="","",IF($F466=AsOf-WEEKDAY(AsOf,3),"Yes",""))</f>
        <v/>
      </c>
      <c r="H466" s="29" t="str">
        <f aca="false">IF($G466="Yes",$A466+ROW()/100000,"")</f>
        <v/>
      </c>
    </row>
    <row r="467" customFormat="false" ht="15" hidden="false" customHeight="false" outlineLevel="0" collapsed="false">
      <c r="A467" s="27"/>
      <c r="B467" s="24"/>
      <c r="C467" s="24"/>
      <c r="D467" s="24"/>
      <c r="E467" s="28"/>
      <c r="F467" s="30" t="str">
        <f aca="false">IF($A467="","",$A467-WEEKDAY($A467,3))</f>
        <v/>
      </c>
      <c r="G467" s="29" t="str">
        <f aca="false">IF($A467="","",IF($F467=AsOf-WEEKDAY(AsOf,3),"Yes",""))</f>
        <v/>
      </c>
      <c r="H467" s="29" t="str">
        <f aca="false">IF($G467="Yes",$A467+ROW()/100000,"")</f>
        <v/>
      </c>
    </row>
    <row r="468" customFormat="false" ht="15" hidden="false" customHeight="false" outlineLevel="0" collapsed="false">
      <c r="A468" s="27"/>
      <c r="B468" s="24"/>
      <c r="C468" s="24"/>
      <c r="D468" s="24"/>
      <c r="E468" s="28"/>
      <c r="F468" s="30" t="str">
        <f aca="false">IF($A468="","",$A468-WEEKDAY($A468,3))</f>
        <v/>
      </c>
      <c r="G468" s="29" t="str">
        <f aca="false">IF($A468="","",IF($F468=AsOf-WEEKDAY(AsOf,3),"Yes",""))</f>
        <v/>
      </c>
      <c r="H468" s="29" t="str">
        <f aca="false">IF($G468="Yes",$A468+ROW()/100000,"")</f>
        <v/>
      </c>
    </row>
    <row r="469" customFormat="false" ht="15" hidden="false" customHeight="false" outlineLevel="0" collapsed="false">
      <c r="A469" s="27"/>
      <c r="B469" s="24"/>
      <c r="C469" s="24"/>
      <c r="D469" s="24"/>
      <c r="E469" s="28"/>
      <c r="F469" s="30" t="str">
        <f aca="false">IF($A469="","",$A469-WEEKDAY($A469,3))</f>
        <v/>
      </c>
      <c r="G469" s="29" t="str">
        <f aca="false">IF($A469="","",IF($F469=AsOf-WEEKDAY(AsOf,3),"Yes",""))</f>
        <v/>
      </c>
      <c r="H469" s="29" t="str">
        <f aca="false">IF($G469="Yes",$A469+ROW()/100000,"")</f>
        <v/>
      </c>
    </row>
    <row r="470" customFormat="false" ht="15" hidden="false" customHeight="false" outlineLevel="0" collapsed="false">
      <c r="A470" s="27"/>
      <c r="B470" s="24"/>
      <c r="C470" s="24"/>
      <c r="D470" s="24"/>
      <c r="E470" s="28"/>
      <c r="F470" s="30" t="str">
        <f aca="false">IF($A470="","",$A470-WEEKDAY($A470,3))</f>
        <v/>
      </c>
      <c r="G470" s="29" t="str">
        <f aca="false">IF($A470="","",IF($F470=AsOf-WEEKDAY(AsOf,3),"Yes",""))</f>
        <v/>
      </c>
      <c r="H470" s="29" t="str">
        <f aca="false">IF($G470="Yes",$A470+ROW()/100000,"")</f>
        <v/>
      </c>
    </row>
    <row r="471" customFormat="false" ht="15" hidden="false" customHeight="false" outlineLevel="0" collapsed="false">
      <c r="A471" s="27"/>
      <c r="B471" s="24"/>
      <c r="C471" s="24"/>
      <c r="D471" s="24"/>
      <c r="E471" s="28"/>
      <c r="F471" s="30" t="str">
        <f aca="false">IF($A471="","",$A471-WEEKDAY($A471,3))</f>
        <v/>
      </c>
      <c r="G471" s="29" t="str">
        <f aca="false">IF($A471="","",IF($F471=AsOf-WEEKDAY(AsOf,3),"Yes",""))</f>
        <v/>
      </c>
      <c r="H471" s="29" t="str">
        <f aca="false">IF($G471="Yes",$A471+ROW()/100000,"")</f>
        <v/>
      </c>
    </row>
    <row r="472" customFormat="false" ht="15" hidden="false" customHeight="false" outlineLevel="0" collapsed="false">
      <c r="A472" s="27"/>
      <c r="B472" s="24"/>
      <c r="C472" s="24"/>
      <c r="D472" s="24"/>
      <c r="E472" s="28"/>
      <c r="F472" s="30" t="str">
        <f aca="false">IF($A472="","",$A472-WEEKDAY($A472,3))</f>
        <v/>
      </c>
      <c r="G472" s="29" t="str">
        <f aca="false">IF($A472="","",IF($F472=AsOf-WEEKDAY(AsOf,3),"Yes",""))</f>
        <v/>
      </c>
      <c r="H472" s="29" t="str">
        <f aca="false">IF($G472="Yes",$A472+ROW()/100000,"")</f>
        <v/>
      </c>
    </row>
    <row r="473" customFormat="false" ht="15" hidden="false" customHeight="false" outlineLevel="0" collapsed="false">
      <c r="A473" s="27"/>
      <c r="B473" s="24"/>
      <c r="C473" s="24"/>
      <c r="D473" s="24"/>
      <c r="E473" s="28"/>
      <c r="F473" s="30" t="str">
        <f aca="false">IF($A473="","",$A473-WEEKDAY($A473,3))</f>
        <v/>
      </c>
      <c r="G473" s="29" t="str">
        <f aca="false">IF($A473="","",IF($F473=AsOf-WEEKDAY(AsOf,3),"Yes",""))</f>
        <v/>
      </c>
      <c r="H473" s="29" t="str">
        <f aca="false">IF($G473="Yes",$A473+ROW()/100000,"")</f>
        <v/>
      </c>
    </row>
    <row r="474" customFormat="false" ht="15" hidden="false" customHeight="false" outlineLevel="0" collapsed="false">
      <c r="A474" s="27"/>
      <c r="B474" s="24"/>
      <c r="C474" s="24"/>
      <c r="D474" s="24"/>
      <c r="E474" s="28"/>
      <c r="F474" s="30" t="str">
        <f aca="false">IF($A474="","",$A474-WEEKDAY($A474,3))</f>
        <v/>
      </c>
      <c r="G474" s="29" t="str">
        <f aca="false">IF($A474="","",IF($F474=AsOf-WEEKDAY(AsOf,3),"Yes",""))</f>
        <v/>
      </c>
      <c r="H474" s="29" t="str">
        <f aca="false">IF($G474="Yes",$A474+ROW()/100000,"")</f>
        <v/>
      </c>
    </row>
    <row r="475" customFormat="false" ht="15" hidden="false" customHeight="false" outlineLevel="0" collapsed="false">
      <c r="A475" s="27"/>
      <c r="B475" s="24"/>
      <c r="C475" s="24"/>
      <c r="D475" s="24"/>
      <c r="E475" s="28"/>
      <c r="F475" s="30" t="str">
        <f aca="false">IF($A475="","",$A475-WEEKDAY($A475,3))</f>
        <v/>
      </c>
      <c r="G475" s="29" t="str">
        <f aca="false">IF($A475="","",IF($F475=AsOf-WEEKDAY(AsOf,3),"Yes",""))</f>
        <v/>
      </c>
      <c r="H475" s="29" t="str">
        <f aca="false">IF($G475="Yes",$A475+ROW()/100000,"")</f>
        <v/>
      </c>
    </row>
    <row r="476" customFormat="false" ht="15" hidden="false" customHeight="false" outlineLevel="0" collapsed="false">
      <c r="A476" s="27"/>
      <c r="B476" s="24"/>
      <c r="C476" s="24"/>
      <c r="D476" s="24"/>
      <c r="E476" s="28"/>
      <c r="F476" s="30" t="str">
        <f aca="false">IF($A476="","",$A476-WEEKDAY($A476,3))</f>
        <v/>
      </c>
      <c r="G476" s="29" t="str">
        <f aca="false">IF($A476="","",IF($F476=AsOf-WEEKDAY(AsOf,3),"Yes",""))</f>
        <v/>
      </c>
      <c r="H476" s="29" t="str">
        <f aca="false">IF($G476="Yes",$A476+ROW()/100000,"")</f>
        <v/>
      </c>
    </row>
    <row r="477" customFormat="false" ht="15" hidden="false" customHeight="false" outlineLevel="0" collapsed="false">
      <c r="A477" s="27"/>
      <c r="B477" s="24"/>
      <c r="C477" s="24"/>
      <c r="D477" s="24"/>
      <c r="E477" s="28"/>
      <c r="F477" s="30" t="str">
        <f aca="false">IF($A477="","",$A477-WEEKDAY($A477,3))</f>
        <v/>
      </c>
      <c r="G477" s="29" t="str">
        <f aca="false">IF($A477="","",IF($F477=AsOf-WEEKDAY(AsOf,3),"Yes",""))</f>
        <v/>
      </c>
      <c r="H477" s="29" t="str">
        <f aca="false">IF($G477="Yes",$A477+ROW()/100000,"")</f>
        <v/>
      </c>
    </row>
    <row r="478" customFormat="false" ht="15" hidden="false" customHeight="false" outlineLevel="0" collapsed="false">
      <c r="A478" s="27"/>
      <c r="B478" s="24"/>
      <c r="C478" s="24"/>
      <c r="D478" s="24"/>
      <c r="E478" s="28"/>
      <c r="F478" s="30" t="str">
        <f aca="false">IF($A478="","",$A478-WEEKDAY($A478,3))</f>
        <v/>
      </c>
      <c r="G478" s="29" t="str">
        <f aca="false">IF($A478="","",IF($F478=AsOf-WEEKDAY(AsOf,3),"Yes",""))</f>
        <v/>
      </c>
      <c r="H478" s="29" t="str">
        <f aca="false">IF($G478="Yes",$A478+ROW()/100000,"")</f>
        <v/>
      </c>
    </row>
    <row r="479" customFormat="false" ht="15" hidden="false" customHeight="false" outlineLevel="0" collapsed="false">
      <c r="A479" s="27"/>
      <c r="B479" s="24"/>
      <c r="C479" s="24"/>
      <c r="D479" s="24"/>
      <c r="E479" s="28"/>
      <c r="F479" s="30" t="str">
        <f aca="false">IF($A479="","",$A479-WEEKDAY($A479,3))</f>
        <v/>
      </c>
      <c r="G479" s="29" t="str">
        <f aca="false">IF($A479="","",IF($F479=AsOf-WEEKDAY(AsOf,3),"Yes",""))</f>
        <v/>
      </c>
      <c r="H479" s="29" t="str">
        <f aca="false">IF($G479="Yes",$A479+ROW()/100000,"")</f>
        <v/>
      </c>
    </row>
    <row r="480" customFormat="false" ht="15" hidden="false" customHeight="false" outlineLevel="0" collapsed="false">
      <c r="A480" s="27"/>
      <c r="B480" s="24"/>
      <c r="C480" s="24"/>
      <c r="D480" s="24"/>
      <c r="E480" s="28"/>
      <c r="F480" s="30" t="str">
        <f aca="false">IF($A480="","",$A480-WEEKDAY($A480,3))</f>
        <v/>
      </c>
      <c r="G480" s="29" t="str">
        <f aca="false">IF($A480="","",IF($F480=AsOf-WEEKDAY(AsOf,3),"Yes",""))</f>
        <v/>
      </c>
      <c r="H480" s="29" t="str">
        <f aca="false">IF($G480="Yes",$A480+ROW()/100000,"")</f>
        <v/>
      </c>
    </row>
    <row r="481" customFormat="false" ht="15" hidden="false" customHeight="false" outlineLevel="0" collapsed="false">
      <c r="A481" s="27"/>
      <c r="B481" s="24"/>
      <c r="C481" s="24"/>
      <c r="D481" s="24"/>
      <c r="E481" s="28"/>
      <c r="F481" s="30" t="str">
        <f aca="false">IF($A481="","",$A481-WEEKDAY($A481,3))</f>
        <v/>
      </c>
      <c r="G481" s="29" t="str">
        <f aca="false">IF($A481="","",IF($F481=AsOf-WEEKDAY(AsOf,3),"Yes",""))</f>
        <v/>
      </c>
      <c r="H481" s="29" t="str">
        <f aca="false">IF($G481="Yes",$A481+ROW()/100000,"")</f>
        <v/>
      </c>
    </row>
    <row r="482" customFormat="false" ht="15" hidden="false" customHeight="false" outlineLevel="0" collapsed="false">
      <c r="A482" s="27"/>
      <c r="B482" s="24"/>
      <c r="C482" s="24"/>
      <c r="D482" s="24"/>
      <c r="E482" s="28"/>
      <c r="F482" s="30" t="str">
        <f aca="false">IF($A482="","",$A482-WEEKDAY($A482,3))</f>
        <v/>
      </c>
      <c r="G482" s="29" t="str">
        <f aca="false">IF($A482="","",IF($F482=AsOf-WEEKDAY(AsOf,3),"Yes",""))</f>
        <v/>
      </c>
      <c r="H482" s="29" t="str">
        <f aca="false">IF($G482="Yes",$A482+ROW()/100000,"")</f>
        <v/>
      </c>
    </row>
    <row r="483" customFormat="false" ht="15" hidden="false" customHeight="false" outlineLevel="0" collapsed="false">
      <c r="A483" s="27"/>
      <c r="B483" s="24"/>
      <c r="C483" s="24"/>
      <c r="D483" s="24"/>
      <c r="E483" s="28"/>
      <c r="F483" s="30" t="str">
        <f aca="false">IF($A483="","",$A483-WEEKDAY($A483,3))</f>
        <v/>
      </c>
      <c r="G483" s="29" t="str">
        <f aca="false">IF($A483="","",IF($F483=AsOf-WEEKDAY(AsOf,3),"Yes",""))</f>
        <v/>
      </c>
      <c r="H483" s="29" t="str">
        <f aca="false">IF($G483="Yes",$A483+ROW()/100000,"")</f>
        <v/>
      </c>
    </row>
    <row r="484" customFormat="false" ht="15" hidden="false" customHeight="false" outlineLevel="0" collapsed="false">
      <c r="A484" s="27"/>
      <c r="B484" s="24"/>
      <c r="C484" s="24"/>
      <c r="D484" s="24"/>
      <c r="E484" s="28"/>
      <c r="F484" s="30" t="str">
        <f aca="false">IF($A484="","",$A484-WEEKDAY($A484,3))</f>
        <v/>
      </c>
      <c r="G484" s="29" t="str">
        <f aca="false">IF($A484="","",IF($F484=AsOf-WEEKDAY(AsOf,3),"Yes",""))</f>
        <v/>
      </c>
      <c r="H484" s="29" t="str">
        <f aca="false">IF($G484="Yes",$A484+ROW()/100000,"")</f>
        <v/>
      </c>
    </row>
    <row r="485" customFormat="false" ht="15" hidden="false" customHeight="false" outlineLevel="0" collapsed="false">
      <c r="A485" s="27"/>
      <c r="B485" s="24"/>
      <c r="C485" s="24"/>
      <c r="D485" s="24"/>
      <c r="E485" s="28"/>
      <c r="F485" s="30" t="str">
        <f aca="false">IF($A485="","",$A485-WEEKDAY($A485,3))</f>
        <v/>
      </c>
      <c r="G485" s="29" t="str">
        <f aca="false">IF($A485="","",IF($F485=AsOf-WEEKDAY(AsOf,3),"Yes",""))</f>
        <v/>
      </c>
      <c r="H485" s="29" t="str">
        <f aca="false">IF($G485="Yes",$A485+ROW()/100000,"")</f>
        <v/>
      </c>
    </row>
    <row r="486" customFormat="false" ht="15" hidden="false" customHeight="false" outlineLevel="0" collapsed="false">
      <c r="A486" s="27"/>
      <c r="B486" s="24"/>
      <c r="C486" s="24"/>
      <c r="D486" s="24"/>
      <c r="E486" s="28"/>
      <c r="F486" s="30" t="str">
        <f aca="false">IF($A486="","",$A486-WEEKDAY($A486,3))</f>
        <v/>
      </c>
      <c r="G486" s="29" t="str">
        <f aca="false">IF($A486="","",IF($F486=AsOf-WEEKDAY(AsOf,3),"Yes",""))</f>
        <v/>
      </c>
      <c r="H486" s="29" t="str">
        <f aca="false">IF($G486="Yes",$A486+ROW()/100000,"")</f>
        <v/>
      </c>
    </row>
    <row r="487" customFormat="false" ht="15" hidden="false" customHeight="false" outlineLevel="0" collapsed="false">
      <c r="A487" s="27"/>
      <c r="B487" s="24"/>
      <c r="C487" s="24"/>
      <c r="D487" s="24"/>
      <c r="E487" s="28"/>
      <c r="F487" s="30" t="str">
        <f aca="false">IF($A487="","",$A487-WEEKDAY($A487,3))</f>
        <v/>
      </c>
      <c r="G487" s="29" t="str">
        <f aca="false">IF($A487="","",IF($F487=AsOf-WEEKDAY(AsOf,3),"Yes",""))</f>
        <v/>
      </c>
      <c r="H487" s="29" t="str">
        <f aca="false">IF($G487="Yes",$A487+ROW()/100000,"")</f>
        <v/>
      </c>
    </row>
    <row r="488" customFormat="false" ht="15" hidden="false" customHeight="false" outlineLevel="0" collapsed="false">
      <c r="A488" s="27"/>
      <c r="B488" s="24"/>
      <c r="C488" s="24"/>
      <c r="D488" s="24"/>
      <c r="E488" s="28"/>
      <c r="F488" s="30" t="str">
        <f aca="false">IF($A488="","",$A488-WEEKDAY($A488,3))</f>
        <v/>
      </c>
      <c r="G488" s="29" t="str">
        <f aca="false">IF($A488="","",IF($F488=AsOf-WEEKDAY(AsOf,3),"Yes",""))</f>
        <v/>
      </c>
      <c r="H488" s="29" t="str">
        <f aca="false">IF($G488="Yes",$A488+ROW()/100000,"")</f>
        <v/>
      </c>
    </row>
    <row r="489" customFormat="false" ht="15" hidden="false" customHeight="false" outlineLevel="0" collapsed="false">
      <c r="A489" s="27"/>
      <c r="B489" s="24"/>
      <c r="C489" s="24"/>
      <c r="D489" s="24"/>
      <c r="E489" s="28"/>
      <c r="F489" s="30" t="str">
        <f aca="false">IF($A489="","",$A489-WEEKDAY($A489,3))</f>
        <v/>
      </c>
      <c r="G489" s="29" t="str">
        <f aca="false">IF($A489="","",IF($F489=AsOf-WEEKDAY(AsOf,3),"Yes",""))</f>
        <v/>
      </c>
      <c r="H489" s="29" t="str">
        <f aca="false">IF($G489="Yes",$A489+ROW()/100000,"")</f>
        <v/>
      </c>
    </row>
    <row r="490" customFormat="false" ht="15" hidden="false" customHeight="false" outlineLevel="0" collapsed="false">
      <c r="A490" s="27"/>
      <c r="B490" s="24"/>
      <c r="C490" s="24"/>
      <c r="D490" s="24"/>
      <c r="E490" s="28"/>
      <c r="F490" s="30" t="str">
        <f aca="false">IF($A490="","",$A490-WEEKDAY($A490,3))</f>
        <v/>
      </c>
      <c r="G490" s="29" t="str">
        <f aca="false">IF($A490="","",IF($F490=AsOf-WEEKDAY(AsOf,3),"Yes",""))</f>
        <v/>
      </c>
      <c r="H490" s="29" t="str">
        <f aca="false">IF($G490="Yes",$A490+ROW()/100000,"")</f>
        <v/>
      </c>
    </row>
    <row r="491" customFormat="false" ht="15" hidden="false" customHeight="false" outlineLevel="0" collapsed="false">
      <c r="A491" s="27"/>
      <c r="B491" s="24"/>
      <c r="C491" s="24"/>
      <c r="D491" s="24"/>
      <c r="E491" s="28"/>
      <c r="F491" s="30" t="str">
        <f aca="false">IF($A491="","",$A491-WEEKDAY($A491,3))</f>
        <v/>
      </c>
      <c r="G491" s="29" t="str">
        <f aca="false">IF($A491="","",IF($F491=AsOf-WEEKDAY(AsOf,3),"Yes",""))</f>
        <v/>
      </c>
      <c r="H491" s="29" t="str">
        <f aca="false">IF($G491="Yes",$A491+ROW()/100000,"")</f>
        <v/>
      </c>
    </row>
    <row r="492" customFormat="false" ht="15" hidden="false" customHeight="false" outlineLevel="0" collapsed="false">
      <c r="A492" s="27"/>
      <c r="B492" s="24"/>
      <c r="C492" s="24"/>
      <c r="D492" s="24"/>
      <c r="E492" s="28"/>
      <c r="F492" s="30" t="str">
        <f aca="false">IF($A492="","",$A492-WEEKDAY($A492,3))</f>
        <v/>
      </c>
      <c r="G492" s="29" t="str">
        <f aca="false">IF($A492="","",IF($F492=AsOf-WEEKDAY(AsOf,3),"Yes",""))</f>
        <v/>
      </c>
      <c r="H492" s="29" t="str">
        <f aca="false">IF($G492="Yes",$A492+ROW()/100000,"")</f>
        <v/>
      </c>
    </row>
    <row r="493" customFormat="false" ht="15" hidden="false" customHeight="false" outlineLevel="0" collapsed="false">
      <c r="A493" s="27"/>
      <c r="B493" s="24"/>
      <c r="C493" s="24"/>
      <c r="D493" s="24"/>
      <c r="E493" s="28"/>
      <c r="F493" s="30" t="str">
        <f aca="false">IF($A493="","",$A493-WEEKDAY($A493,3))</f>
        <v/>
      </c>
      <c r="G493" s="29" t="str">
        <f aca="false">IF($A493="","",IF($F493=AsOf-WEEKDAY(AsOf,3),"Yes",""))</f>
        <v/>
      </c>
      <c r="H493" s="29" t="str">
        <f aca="false">IF($G493="Yes",$A493+ROW()/100000,"")</f>
        <v/>
      </c>
    </row>
    <row r="494" customFormat="false" ht="15" hidden="false" customHeight="false" outlineLevel="0" collapsed="false">
      <c r="A494" s="27"/>
      <c r="B494" s="24"/>
      <c r="C494" s="24"/>
      <c r="D494" s="24"/>
      <c r="E494" s="28"/>
      <c r="F494" s="30" t="str">
        <f aca="false">IF($A494="","",$A494-WEEKDAY($A494,3))</f>
        <v/>
      </c>
      <c r="G494" s="29" t="str">
        <f aca="false">IF($A494="","",IF($F494=AsOf-WEEKDAY(AsOf,3),"Yes",""))</f>
        <v/>
      </c>
      <c r="H494" s="29" t="str">
        <f aca="false">IF($G494="Yes",$A494+ROW()/100000,"")</f>
        <v/>
      </c>
    </row>
    <row r="495" customFormat="false" ht="15" hidden="false" customHeight="false" outlineLevel="0" collapsed="false">
      <c r="A495" s="27"/>
      <c r="B495" s="24"/>
      <c r="C495" s="24"/>
      <c r="D495" s="24"/>
      <c r="E495" s="28"/>
      <c r="F495" s="30" t="str">
        <f aca="false">IF($A495="","",$A495-WEEKDAY($A495,3))</f>
        <v/>
      </c>
      <c r="G495" s="29" t="str">
        <f aca="false">IF($A495="","",IF($F495=AsOf-WEEKDAY(AsOf,3),"Yes",""))</f>
        <v/>
      </c>
      <c r="H495" s="29" t="str">
        <f aca="false">IF($G495="Yes",$A495+ROW()/100000,"")</f>
        <v/>
      </c>
    </row>
    <row r="496" customFormat="false" ht="15" hidden="false" customHeight="false" outlineLevel="0" collapsed="false">
      <c r="A496" s="27"/>
      <c r="B496" s="24"/>
      <c r="C496" s="24"/>
      <c r="D496" s="24"/>
      <c r="E496" s="28"/>
      <c r="F496" s="30" t="str">
        <f aca="false">IF($A496="","",$A496-WEEKDAY($A496,3))</f>
        <v/>
      </c>
      <c r="G496" s="29" t="str">
        <f aca="false">IF($A496="","",IF($F496=AsOf-WEEKDAY(AsOf,3),"Yes",""))</f>
        <v/>
      </c>
      <c r="H496" s="29" t="str">
        <f aca="false">IF($G496="Yes",$A496+ROW()/100000,"")</f>
        <v/>
      </c>
    </row>
    <row r="497" customFormat="false" ht="15" hidden="false" customHeight="false" outlineLevel="0" collapsed="false">
      <c r="A497" s="27"/>
      <c r="B497" s="24"/>
      <c r="C497" s="24"/>
      <c r="D497" s="24"/>
      <c r="E497" s="28"/>
      <c r="F497" s="30" t="str">
        <f aca="false">IF($A497="","",$A497-WEEKDAY($A497,3))</f>
        <v/>
      </c>
      <c r="G497" s="29" t="str">
        <f aca="false">IF($A497="","",IF($F497=AsOf-WEEKDAY(AsOf,3),"Yes",""))</f>
        <v/>
      </c>
      <c r="H497" s="29" t="str">
        <f aca="false">IF($G497="Yes",$A497+ROW()/100000,"")</f>
        <v/>
      </c>
    </row>
    <row r="498" customFormat="false" ht="15" hidden="false" customHeight="false" outlineLevel="0" collapsed="false">
      <c r="A498" s="27"/>
      <c r="B498" s="24"/>
      <c r="C498" s="24"/>
      <c r="D498" s="24"/>
      <c r="E498" s="28"/>
      <c r="F498" s="30" t="str">
        <f aca="false">IF($A498="","",$A498-WEEKDAY($A498,3))</f>
        <v/>
      </c>
      <c r="G498" s="29" t="str">
        <f aca="false">IF($A498="","",IF($F498=AsOf-WEEKDAY(AsOf,3),"Yes",""))</f>
        <v/>
      </c>
      <c r="H498" s="29" t="str">
        <f aca="false">IF($G498="Yes",$A498+ROW()/100000,"")</f>
        <v/>
      </c>
    </row>
    <row r="499" customFormat="false" ht="15" hidden="false" customHeight="false" outlineLevel="0" collapsed="false">
      <c r="A499" s="27"/>
      <c r="B499" s="24"/>
      <c r="C499" s="24"/>
      <c r="D499" s="24"/>
      <c r="E499" s="28"/>
      <c r="F499" s="30" t="str">
        <f aca="false">IF($A499="","",$A499-WEEKDAY($A499,3))</f>
        <v/>
      </c>
      <c r="G499" s="29" t="str">
        <f aca="false">IF($A499="","",IF($F499=AsOf-WEEKDAY(AsOf,3),"Yes",""))</f>
        <v/>
      </c>
      <c r="H499" s="29" t="str">
        <f aca="false">IF($G499="Yes",$A499+ROW()/100000,"")</f>
        <v/>
      </c>
    </row>
    <row r="500" customFormat="false" ht="15" hidden="false" customHeight="false" outlineLevel="0" collapsed="false">
      <c r="A500" s="27"/>
      <c r="B500" s="24"/>
      <c r="C500" s="24"/>
      <c r="D500" s="24"/>
      <c r="E500" s="28"/>
      <c r="F500" s="30" t="str">
        <f aca="false">IF($A500="","",$A500-WEEKDAY($A500,3))</f>
        <v/>
      </c>
      <c r="G500" s="29" t="str">
        <f aca="false">IF($A500="","",IF($F500=AsOf-WEEKDAY(AsOf,3),"Yes",""))</f>
        <v/>
      </c>
      <c r="H500" s="29" t="str">
        <f aca="false">IF($G500="Yes",$A500+ROW()/100000,"")</f>
        <v/>
      </c>
    </row>
    <row r="501" customFormat="false" ht="15" hidden="false" customHeight="false" outlineLevel="0" collapsed="false">
      <c r="A501" s="27"/>
      <c r="B501" s="24"/>
      <c r="C501" s="24"/>
      <c r="D501" s="24"/>
      <c r="E501" s="28"/>
      <c r="F501" s="30" t="str">
        <f aca="false">IF($A501="","",$A501-WEEKDAY($A501,3))</f>
        <v/>
      </c>
      <c r="G501" s="29" t="str">
        <f aca="false">IF($A501="","",IF($F501=AsOf-WEEKDAY(AsOf,3),"Yes",""))</f>
        <v/>
      </c>
      <c r="H501" s="29" t="str">
        <f aca="false">IF($G501="Yes",$A501+ROW()/100000,"")</f>
        <v/>
      </c>
    </row>
    <row r="502" customFormat="false" ht="15" hidden="false" customHeight="false" outlineLevel="0" collapsed="false">
      <c r="A502" s="27"/>
      <c r="B502" s="24"/>
      <c r="C502" s="24"/>
      <c r="D502" s="24"/>
      <c r="E502" s="28"/>
      <c r="F502" s="30" t="str">
        <f aca="false">IF($A502="","",$A502-WEEKDAY($A502,3))</f>
        <v/>
      </c>
      <c r="G502" s="29" t="str">
        <f aca="false">IF($A502="","",IF($F502=AsOf-WEEKDAY(AsOf,3),"Yes",""))</f>
        <v/>
      </c>
      <c r="H502" s="29" t="str">
        <f aca="false">IF($G502="Yes",$A502+ROW()/100000,"")</f>
        <v/>
      </c>
    </row>
    <row r="503" customFormat="false" ht="15" hidden="false" customHeight="false" outlineLevel="0" collapsed="false">
      <c r="A503" s="27"/>
      <c r="B503" s="24"/>
      <c r="C503" s="24"/>
      <c r="D503" s="24"/>
      <c r="E503" s="28"/>
      <c r="F503" s="30" t="str">
        <f aca="false">IF($A503="","",$A503-WEEKDAY($A503,3))</f>
        <v/>
      </c>
      <c r="G503" s="29" t="str">
        <f aca="false">IF($A503="","",IF($F503=AsOf-WEEKDAY(AsOf,3),"Yes",""))</f>
        <v/>
      </c>
      <c r="H503" s="29" t="str">
        <f aca="false">IF($G503="Yes",$A503+ROW()/100000,"")</f>
        <v/>
      </c>
    </row>
    <row r="504" customFormat="false" ht="15" hidden="false" customHeight="false" outlineLevel="0" collapsed="false">
      <c r="A504" s="27"/>
      <c r="B504" s="24"/>
      <c r="C504" s="24"/>
      <c r="D504" s="24"/>
      <c r="E504" s="28"/>
      <c r="F504" s="30" t="str">
        <f aca="false">IF($A504="","",$A504-WEEKDAY($A504,3))</f>
        <v/>
      </c>
      <c r="G504" s="29" t="str">
        <f aca="false">IF($A504="","",IF($F504=AsOf-WEEKDAY(AsOf,3),"Yes",""))</f>
        <v/>
      </c>
      <c r="H504" s="29" t="str">
        <f aca="false">IF($G504="Yes",$A504+ROW()/100000,"")</f>
        <v/>
      </c>
    </row>
    <row r="505" customFormat="false" ht="15" hidden="false" customHeight="false" outlineLevel="0" collapsed="false">
      <c r="A505" s="27"/>
      <c r="B505" s="24"/>
      <c r="C505" s="24"/>
      <c r="D505" s="24"/>
      <c r="E505" s="28"/>
      <c r="F505" s="30" t="str">
        <f aca="false">IF($A505="","",$A505-WEEKDAY($A505,3))</f>
        <v/>
      </c>
      <c r="G505" s="29" t="str">
        <f aca="false">IF($A505="","",IF($F505=AsOf-WEEKDAY(AsOf,3),"Yes",""))</f>
        <v/>
      </c>
      <c r="H505" s="29" t="str">
        <f aca="false">IF($G505="Yes",$A505+ROW()/100000,"")</f>
        <v/>
      </c>
    </row>
    <row r="506" customFormat="false" ht="15" hidden="false" customHeight="false" outlineLevel="0" collapsed="false">
      <c r="A506" s="27"/>
      <c r="B506" s="24"/>
      <c r="C506" s="24"/>
      <c r="D506" s="24"/>
      <c r="E506" s="28"/>
      <c r="F506" s="30" t="str">
        <f aca="false">IF($A506="","",$A506-WEEKDAY($A506,3))</f>
        <v/>
      </c>
      <c r="G506" s="29" t="str">
        <f aca="false">IF($A506="","",IF($F506=AsOf-WEEKDAY(AsOf,3),"Yes",""))</f>
        <v/>
      </c>
      <c r="H506" s="29" t="str">
        <f aca="false">IF($G506="Yes",$A506+ROW()/100000,"")</f>
        <v/>
      </c>
    </row>
    <row r="507" customFormat="false" ht="15" hidden="false" customHeight="false" outlineLevel="0" collapsed="false">
      <c r="A507" s="27"/>
      <c r="B507" s="24"/>
      <c r="C507" s="24"/>
      <c r="D507" s="24"/>
      <c r="E507" s="28"/>
      <c r="F507" s="30" t="str">
        <f aca="false">IF($A507="","",$A507-WEEKDAY($A507,3))</f>
        <v/>
      </c>
      <c r="G507" s="29" t="str">
        <f aca="false">IF($A507="","",IF($F507=AsOf-WEEKDAY(AsOf,3),"Yes",""))</f>
        <v/>
      </c>
      <c r="H507" s="29" t="str">
        <f aca="false">IF($G507="Yes",$A507+ROW()/100000,"")</f>
        <v/>
      </c>
    </row>
    <row r="508" customFormat="false" ht="15" hidden="false" customHeight="false" outlineLevel="0" collapsed="false">
      <c r="A508" s="27"/>
      <c r="B508" s="24"/>
      <c r="C508" s="24"/>
      <c r="D508" s="24"/>
      <c r="E508" s="28"/>
      <c r="F508" s="30" t="str">
        <f aca="false">IF($A508="","",$A508-WEEKDAY($A508,3))</f>
        <v/>
      </c>
      <c r="G508" s="29" t="str">
        <f aca="false">IF($A508="","",IF($F508=AsOf-WEEKDAY(AsOf,3),"Yes",""))</f>
        <v/>
      </c>
      <c r="H508" s="29" t="str">
        <f aca="false">IF($G508="Yes",$A508+ROW()/100000,"")</f>
        <v/>
      </c>
    </row>
    <row r="509" customFormat="false" ht="15" hidden="false" customHeight="false" outlineLevel="0" collapsed="false">
      <c r="A509" s="27"/>
      <c r="B509" s="24"/>
      <c r="C509" s="24"/>
      <c r="D509" s="24"/>
      <c r="E509" s="28"/>
      <c r="F509" s="30" t="str">
        <f aca="false">IF($A509="","",$A509-WEEKDAY($A509,3))</f>
        <v/>
      </c>
      <c r="G509" s="29" t="str">
        <f aca="false">IF($A509="","",IF($F509=AsOf-WEEKDAY(AsOf,3),"Yes",""))</f>
        <v/>
      </c>
      <c r="H509" s="29" t="str">
        <f aca="false">IF($G509="Yes",$A509+ROW()/100000,"")</f>
        <v/>
      </c>
    </row>
    <row r="510" customFormat="false" ht="15" hidden="false" customHeight="false" outlineLevel="0" collapsed="false">
      <c r="A510" s="27"/>
      <c r="B510" s="24"/>
      <c r="C510" s="24"/>
      <c r="D510" s="24"/>
      <c r="E510" s="28"/>
      <c r="F510" s="30" t="str">
        <f aca="false">IF($A510="","",$A510-WEEKDAY($A510,3))</f>
        <v/>
      </c>
      <c r="G510" s="29" t="str">
        <f aca="false">IF($A510="","",IF($F510=AsOf-WEEKDAY(AsOf,3),"Yes",""))</f>
        <v/>
      </c>
      <c r="H510" s="29" t="str">
        <f aca="false">IF($G510="Yes",$A510+ROW()/100000,"")</f>
        <v/>
      </c>
    </row>
    <row r="511" customFormat="false" ht="15" hidden="false" customHeight="false" outlineLevel="0" collapsed="false">
      <c r="A511" s="27"/>
      <c r="B511" s="24"/>
      <c r="C511" s="24"/>
      <c r="D511" s="24"/>
      <c r="E511" s="28"/>
      <c r="F511" s="30" t="str">
        <f aca="false">IF($A511="","",$A511-WEEKDAY($A511,3))</f>
        <v/>
      </c>
      <c r="G511" s="29" t="str">
        <f aca="false">IF($A511="","",IF($F511=AsOf-WEEKDAY(AsOf,3),"Yes",""))</f>
        <v/>
      </c>
      <c r="H511" s="29" t="str">
        <f aca="false">IF($G511="Yes",$A511+ROW()/100000,"")</f>
        <v/>
      </c>
    </row>
    <row r="512" customFormat="false" ht="15" hidden="false" customHeight="false" outlineLevel="0" collapsed="false">
      <c r="A512" s="27"/>
      <c r="B512" s="24"/>
      <c r="C512" s="24"/>
      <c r="D512" s="24"/>
      <c r="E512" s="28"/>
      <c r="F512" s="30" t="str">
        <f aca="false">IF($A512="","",$A512-WEEKDAY($A512,3))</f>
        <v/>
      </c>
      <c r="G512" s="29" t="str">
        <f aca="false">IF($A512="","",IF($F512=AsOf-WEEKDAY(AsOf,3),"Yes",""))</f>
        <v/>
      </c>
      <c r="H512" s="29" t="str">
        <f aca="false">IF($G512="Yes",$A512+ROW()/100000,"")</f>
        <v/>
      </c>
    </row>
    <row r="513" customFormat="false" ht="15" hidden="false" customHeight="false" outlineLevel="0" collapsed="false">
      <c r="A513" s="27"/>
      <c r="B513" s="24"/>
      <c r="C513" s="24"/>
      <c r="D513" s="24"/>
      <c r="E513" s="28"/>
      <c r="F513" s="30" t="str">
        <f aca="false">IF($A513="","",$A513-WEEKDAY($A513,3))</f>
        <v/>
      </c>
      <c r="G513" s="29" t="str">
        <f aca="false">IF($A513="","",IF($F513=AsOf-WEEKDAY(AsOf,3),"Yes",""))</f>
        <v/>
      </c>
      <c r="H513" s="29" t="str">
        <f aca="false">IF($G513="Yes",$A513+ROW()/100000,"")</f>
        <v/>
      </c>
    </row>
    <row r="514" customFormat="false" ht="15" hidden="false" customHeight="false" outlineLevel="0" collapsed="false">
      <c r="A514" s="27"/>
      <c r="B514" s="24"/>
      <c r="C514" s="24"/>
      <c r="D514" s="24"/>
      <c r="E514" s="28"/>
      <c r="F514" s="30" t="str">
        <f aca="false">IF($A514="","",$A514-WEEKDAY($A514,3))</f>
        <v/>
      </c>
      <c r="G514" s="29" t="str">
        <f aca="false">IF($A514="","",IF($F514=AsOf-WEEKDAY(AsOf,3),"Yes",""))</f>
        <v/>
      </c>
      <c r="H514" s="29" t="str">
        <f aca="false">IF($G514="Yes",$A514+ROW()/100000,"")</f>
        <v/>
      </c>
    </row>
    <row r="515" customFormat="false" ht="15" hidden="false" customHeight="false" outlineLevel="0" collapsed="false">
      <c r="A515" s="27"/>
      <c r="B515" s="24"/>
      <c r="C515" s="24"/>
      <c r="D515" s="24"/>
      <c r="E515" s="28"/>
      <c r="F515" s="30" t="str">
        <f aca="false">IF($A515="","",$A515-WEEKDAY($A515,3))</f>
        <v/>
      </c>
      <c r="G515" s="29" t="str">
        <f aca="false">IF($A515="","",IF($F515=AsOf-WEEKDAY(AsOf,3),"Yes",""))</f>
        <v/>
      </c>
      <c r="H515" s="29" t="str">
        <f aca="false">IF($G515="Yes",$A515+ROW()/100000,"")</f>
        <v/>
      </c>
    </row>
    <row r="516" customFormat="false" ht="15" hidden="false" customHeight="false" outlineLevel="0" collapsed="false">
      <c r="A516" s="27"/>
      <c r="B516" s="24"/>
      <c r="C516" s="24"/>
      <c r="D516" s="24"/>
      <c r="E516" s="28"/>
      <c r="F516" s="30" t="str">
        <f aca="false">IF($A516="","",$A516-WEEKDAY($A516,3))</f>
        <v/>
      </c>
      <c r="G516" s="29" t="str">
        <f aca="false">IF($A516="","",IF($F516=AsOf-WEEKDAY(AsOf,3),"Yes",""))</f>
        <v/>
      </c>
      <c r="H516" s="29" t="str">
        <f aca="false">IF($G516="Yes",$A516+ROW()/100000,"")</f>
        <v/>
      </c>
    </row>
    <row r="517" customFormat="false" ht="15" hidden="false" customHeight="false" outlineLevel="0" collapsed="false">
      <c r="A517" s="27"/>
      <c r="B517" s="24"/>
      <c r="C517" s="24"/>
      <c r="D517" s="24"/>
      <c r="E517" s="28"/>
      <c r="F517" s="30" t="str">
        <f aca="false">IF($A517="","",$A517-WEEKDAY($A517,3))</f>
        <v/>
      </c>
      <c r="G517" s="29" t="str">
        <f aca="false">IF($A517="","",IF($F517=AsOf-WEEKDAY(AsOf,3),"Yes",""))</f>
        <v/>
      </c>
      <c r="H517" s="29" t="str">
        <f aca="false">IF($G517="Yes",$A517+ROW()/100000,"")</f>
        <v/>
      </c>
    </row>
    <row r="518" customFormat="false" ht="15" hidden="false" customHeight="false" outlineLevel="0" collapsed="false">
      <c r="A518" s="27"/>
      <c r="B518" s="24"/>
      <c r="C518" s="24"/>
      <c r="D518" s="24"/>
      <c r="E518" s="28"/>
      <c r="F518" s="30" t="str">
        <f aca="false">IF($A518="","",$A518-WEEKDAY($A518,3))</f>
        <v/>
      </c>
      <c r="G518" s="29" t="str">
        <f aca="false">IF($A518="","",IF($F518=AsOf-WEEKDAY(AsOf,3),"Yes",""))</f>
        <v/>
      </c>
      <c r="H518" s="29" t="str">
        <f aca="false">IF($G518="Yes",$A518+ROW()/100000,"")</f>
        <v/>
      </c>
    </row>
    <row r="519" customFormat="false" ht="15" hidden="false" customHeight="false" outlineLevel="0" collapsed="false">
      <c r="A519" s="27"/>
      <c r="B519" s="24"/>
      <c r="C519" s="24"/>
      <c r="D519" s="24"/>
      <c r="E519" s="28"/>
      <c r="F519" s="30" t="str">
        <f aca="false">IF($A519="","",$A519-WEEKDAY($A519,3))</f>
        <v/>
      </c>
      <c r="G519" s="29" t="str">
        <f aca="false">IF($A519="","",IF($F519=AsOf-WEEKDAY(AsOf,3),"Yes",""))</f>
        <v/>
      </c>
      <c r="H519" s="29" t="str">
        <f aca="false">IF($G519="Yes",$A519+ROW()/100000,"")</f>
        <v/>
      </c>
    </row>
    <row r="520" customFormat="false" ht="15" hidden="false" customHeight="false" outlineLevel="0" collapsed="false">
      <c r="A520" s="27"/>
      <c r="B520" s="24"/>
      <c r="C520" s="24"/>
      <c r="D520" s="24"/>
      <c r="E520" s="28"/>
      <c r="F520" s="30" t="str">
        <f aca="false">IF($A520="","",$A520-WEEKDAY($A520,3))</f>
        <v/>
      </c>
      <c r="G520" s="29" t="str">
        <f aca="false">IF($A520="","",IF($F520=AsOf-WEEKDAY(AsOf,3),"Yes",""))</f>
        <v/>
      </c>
      <c r="H520" s="29" t="str">
        <f aca="false">IF($G520="Yes",$A520+ROW()/100000,"")</f>
        <v/>
      </c>
    </row>
    <row r="521" customFormat="false" ht="15" hidden="false" customHeight="false" outlineLevel="0" collapsed="false">
      <c r="A521" s="27"/>
      <c r="B521" s="24"/>
      <c r="C521" s="24"/>
      <c r="D521" s="24"/>
      <c r="E521" s="28"/>
      <c r="F521" s="30" t="str">
        <f aca="false">IF($A521="","",$A521-WEEKDAY($A521,3))</f>
        <v/>
      </c>
      <c r="G521" s="29" t="str">
        <f aca="false">IF($A521="","",IF($F521=AsOf-WEEKDAY(AsOf,3),"Yes",""))</f>
        <v/>
      </c>
      <c r="H521" s="29" t="str">
        <f aca="false">IF($G521="Yes",$A521+ROW()/100000,"")</f>
        <v/>
      </c>
    </row>
    <row r="522" customFormat="false" ht="15" hidden="false" customHeight="false" outlineLevel="0" collapsed="false">
      <c r="A522" s="27"/>
      <c r="B522" s="24"/>
      <c r="C522" s="24"/>
      <c r="D522" s="24"/>
      <c r="E522" s="28"/>
      <c r="F522" s="30" t="str">
        <f aca="false">IF($A522="","",$A522-WEEKDAY($A522,3))</f>
        <v/>
      </c>
      <c r="G522" s="29" t="str">
        <f aca="false">IF($A522="","",IF($F522=AsOf-WEEKDAY(AsOf,3),"Yes",""))</f>
        <v/>
      </c>
      <c r="H522" s="29" t="str">
        <f aca="false">IF($G522="Yes",$A522+ROW()/100000,"")</f>
        <v/>
      </c>
    </row>
    <row r="523" customFormat="false" ht="15" hidden="false" customHeight="false" outlineLevel="0" collapsed="false">
      <c r="A523" s="27"/>
      <c r="B523" s="24"/>
      <c r="C523" s="24"/>
      <c r="D523" s="24"/>
      <c r="E523" s="28"/>
      <c r="F523" s="30" t="str">
        <f aca="false">IF($A523="","",$A523-WEEKDAY($A523,3))</f>
        <v/>
      </c>
      <c r="G523" s="29" t="str">
        <f aca="false">IF($A523="","",IF($F523=AsOf-WEEKDAY(AsOf,3),"Yes",""))</f>
        <v/>
      </c>
      <c r="H523" s="29" t="str">
        <f aca="false">IF($G523="Yes",$A523+ROW()/100000,"")</f>
        <v/>
      </c>
    </row>
    <row r="524" customFormat="false" ht="15" hidden="false" customHeight="false" outlineLevel="0" collapsed="false">
      <c r="A524" s="27"/>
      <c r="B524" s="24"/>
      <c r="C524" s="24"/>
      <c r="D524" s="24"/>
      <c r="E524" s="28"/>
      <c r="F524" s="30" t="str">
        <f aca="false">IF($A524="","",$A524-WEEKDAY($A524,3))</f>
        <v/>
      </c>
      <c r="G524" s="29" t="str">
        <f aca="false">IF($A524="","",IF($F524=AsOf-WEEKDAY(AsOf,3),"Yes",""))</f>
        <v/>
      </c>
      <c r="H524" s="29" t="str">
        <f aca="false">IF($G524="Yes",$A524+ROW()/100000,"")</f>
        <v/>
      </c>
    </row>
    <row r="525" customFormat="false" ht="15" hidden="false" customHeight="false" outlineLevel="0" collapsed="false">
      <c r="A525" s="27"/>
      <c r="B525" s="24"/>
      <c r="C525" s="24"/>
      <c r="D525" s="24"/>
      <c r="E525" s="28"/>
      <c r="F525" s="30" t="str">
        <f aca="false">IF($A525="","",$A525-WEEKDAY($A525,3))</f>
        <v/>
      </c>
      <c r="G525" s="29" t="str">
        <f aca="false">IF($A525="","",IF($F525=AsOf-WEEKDAY(AsOf,3),"Yes",""))</f>
        <v/>
      </c>
      <c r="H525" s="29" t="str">
        <f aca="false">IF($G525="Yes",$A525+ROW()/100000,"")</f>
        <v/>
      </c>
    </row>
    <row r="526" customFormat="false" ht="15" hidden="false" customHeight="false" outlineLevel="0" collapsed="false">
      <c r="A526" s="27"/>
      <c r="B526" s="24"/>
      <c r="C526" s="24"/>
      <c r="D526" s="24"/>
      <c r="E526" s="28"/>
      <c r="F526" s="30" t="str">
        <f aca="false">IF($A526="","",$A526-WEEKDAY($A526,3))</f>
        <v/>
      </c>
      <c r="G526" s="29" t="str">
        <f aca="false">IF($A526="","",IF($F526=AsOf-WEEKDAY(AsOf,3),"Yes",""))</f>
        <v/>
      </c>
      <c r="H526" s="29" t="str">
        <f aca="false">IF($G526="Yes",$A526+ROW()/100000,"")</f>
        <v/>
      </c>
    </row>
    <row r="527" customFormat="false" ht="15" hidden="false" customHeight="false" outlineLevel="0" collapsed="false">
      <c r="A527" s="27"/>
      <c r="B527" s="24"/>
      <c r="C527" s="24"/>
      <c r="D527" s="24"/>
      <c r="E527" s="28"/>
      <c r="F527" s="30" t="str">
        <f aca="false">IF($A527="","",$A527-WEEKDAY($A527,3))</f>
        <v/>
      </c>
      <c r="G527" s="29" t="str">
        <f aca="false">IF($A527="","",IF($F527=AsOf-WEEKDAY(AsOf,3),"Yes",""))</f>
        <v/>
      </c>
      <c r="H527" s="29" t="str">
        <f aca="false">IF($G527="Yes",$A527+ROW()/100000,"")</f>
        <v/>
      </c>
    </row>
    <row r="528" customFormat="false" ht="15" hidden="false" customHeight="false" outlineLevel="0" collapsed="false">
      <c r="A528" s="27"/>
      <c r="B528" s="24"/>
      <c r="C528" s="24"/>
      <c r="D528" s="24"/>
      <c r="E528" s="28"/>
      <c r="F528" s="30" t="str">
        <f aca="false">IF($A528="","",$A528-WEEKDAY($A528,3))</f>
        <v/>
      </c>
      <c r="G528" s="29" t="str">
        <f aca="false">IF($A528="","",IF($F528=AsOf-WEEKDAY(AsOf,3),"Yes",""))</f>
        <v/>
      </c>
      <c r="H528" s="29" t="str">
        <f aca="false">IF($G528="Yes",$A528+ROW()/100000,"")</f>
        <v/>
      </c>
    </row>
    <row r="529" customFormat="false" ht="15" hidden="false" customHeight="false" outlineLevel="0" collapsed="false">
      <c r="A529" s="27"/>
      <c r="B529" s="24"/>
      <c r="C529" s="24"/>
      <c r="D529" s="24"/>
      <c r="E529" s="28"/>
      <c r="F529" s="30" t="str">
        <f aca="false">IF($A529="","",$A529-WEEKDAY($A529,3))</f>
        <v/>
      </c>
      <c r="G529" s="29" t="str">
        <f aca="false">IF($A529="","",IF($F529=AsOf-WEEKDAY(AsOf,3),"Yes",""))</f>
        <v/>
      </c>
      <c r="H529" s="29" t="str">
        <f aca="false">IF($G529="Yes",$A529+ROW()/100000,"")</f>
        <v/>
      </c>
    </row>
    <row r="530" customFormat="false" ht="15" hidden="false" customHeight="false" outlineLevel="0" collapsed="false">
      <c r="A530" s="27"/>
      <c r="B530" s="24"/>
      <c r="C530" s="24"/>
      <c r="D530" s="24"/>
      <c r="E530" s="28"/>
      <c r="F530" s="30" t="str">
        <f aca="false">IF($A530="","",$A530-WEEKDAY($A530,3))</f>
        <v/>
      </c>
      <c r="G530" s="29" t="str">
        <f aca="false">IF($A530="","",IF($F530=AsOf-WEEKDAY(AsOf,3),"Yes",""))</f>
        <v/>
      </c>
      <c r="H530" s="29" t="str">
        <f aca="false">IF($G530="Yes",$A530+ROW()/100000,"")</f>
        <v/>
      </c>
    </row>
    <row r="531" customFormat="false" ht="15" hidden="false" customHeight="false" outlineLevel="0" collapsed="false">
      <c r="A531" s="27"/>
      <c r="B531" s="24"/>
      <c r="C531" s="24"/>
      <c r="D531" s="24"/>
      <c r="E531" s="28"/>
      <c r="F531" s="30" t="str">
        <f aca="false">IF($A531="","",$A531-WEEKDAY($A531,3))</f>
        <v/>
      </c>
      <c r="G531" s="29" t="str">
        <f aca="false">IF($A531="","",IF($F531=AsOf-WEEKDAY(AsOf,3),"Yes",""))</f>
        <v/>
      </c>
      <c r="H531" s="29" t="str">
        <f aca="false">IF($G531="Yes",$A531+ROW()/100000,"")</f>
        <v/>
      </c>
    </row>
    <row r="532" customFormat="false" ht="15" hidden="false" customHeight="false" outlineLevel="0" collapsed="false">
      <c r="A532" s="27"/>
      <c r="B532" s="24"/>
      <c r="C532" s="24"/>
      <c r="D532" s="24"/>
      <c r="E532" s="28"/>
      <c r="F532" s="30" t="str">
        <f aca="false">IF($A532="","",$A532-WEEKDAY($A532,3))</f>
        <v/>
      </c>
      <c r="G532" s="29" t="str">
        <f aca="false">IF($A532="","",IF($F532=AsOf-WEEKDAY(AsOf,3),"Yes",""))</f>
        <v/>
      </c>
      <c r="H532" s="29" t="str">
        <f aca="false">IF($G532="Yes",$A532+ROW()/100000,"")</f>
        <v/>
      </c>
    </row>
    <row r="533" customFormat="false" ht="15" hidden="false" customHeight="false" outlineLevel="0" collapsed="false">
      <c r="A533" s="27"/>
      <c r="B533" s="24"/>
      <c r="C533" s="24"/>
      <c r="D533" s="24"/>
      <c r="E533" s="28"/>
      <c r="F533" s="30" t="str">
        <f aca="false">IF($A533="","",$A533-WEEKDAY($A533,3))</f>
        <v/>
      </c>
      <c r="G533" s="29" t="str">
        <f aca="false">IF($A533="","",IF($F533=AsOf-WEEKDAY(AsOf,3),"Yes",""))</f>
        <v/>
      </c>
      <c r="H533" s="29" t="str">
        <f aca="false">IF($G533="Yes",$A533+ROW()/100000,"")</f>
        <v/>
      </c>
    </row>
    <row r="534" customFormat="false" ht="15" hidden="false" customHeight="false" outlineLevel="0" collapsed="false">
      <c r="A534" s="27"/>
      <c r="B534" s="24"/>
      <c r="C534" s="24"/>
      <c r="D534" s="24"/>
      <c r="E534" s="28"/>
      <c r="F534" s="30" t="str">
        <f aca="false">IF($A534="","",$A534-WEEKDAY($A534,3))</f>
        <v/>
      </c>
      <c r="G534" s="29" t="str">
        <f aca="false">IF($A534="","",IF($F534=AsOf-WEEKDAY(AsOf,3),"Yes",""))</f>
        <v/>
      </c>
      <c r="H534" s="29" t="str">
        <f aca="false">IF($G534="Yes",$A534+ROW()/100000,"")</f>
        <v/>
      </c>
    </row>
    <row r="535" customFormat="false" ht="15" hidden="false" customHeight="false" outlineLevel="0" collapsed="false">
      <c r="A535" s="27"/>
      <c r="B535" s="24"/>
      <c r="C535" s="24"/>
      <c r="D535" s="24"/>
      <c r="E535" s="28"/>
      <c r="F535" s="30" t="str">
        <f aca="false">IF($A535="","",$A535-WEEKDAY($A535,3))</f>
        <v/>
      </c>
      <c r="G535" s="29" t="str">
        <f aca="false">IF($A535="","",IF($F535=AsOf-WEEKDAY(AsOf,3),"Yes",""))</f>
        <v/>
      </c>
      <c r="H535" s="29" t="str">
        <f aca="false">IF($G535="Yes",$A535+ROW()/100000,"")</f>
        <v/>
      </c>
    </row>
    <row r="536" customFormat="false" ht="15" hidden="false" customHeight="false" outlineLevel="0" collapsed="false">
      <c r="A536" s="27"/>
      <c r="B536" s="24"/>
      <c r="C536" s="24"/>
      <c r="D536" s="24"/>
      <c r="E536" s="28"/>
      <c r="F536" s="30" t="str">
        <f aca="false">IF($A536="","",$A536-WEEKDAY($A536,3))</f>
        <v/>
      </c>
      <c r="G536" s="29" t="str">
        <f aca="false">IF($A536="","",IF($F536=AsOf-WEEKDAY(AsOf,3),"Yes",""))</f>
        <v/>
      </c>
      <c r="H536" s="29" t="str">
        <f aca="false">IF($G536="Yes",$A536+ROW()/100000,"")</f>
        <v/>
      </c>
    </row>
    <row r="537" customFormat="false" ht="15" hidden="false" customHeight="false" outlineLevel="0" collapsed="false">
      <c r="A537" s="27"/>
      <c r="B537" s="24"/>
      <c r="C537" s="24"/>
      <c r="D537" s="24"/>
      <c r="E537" s="28"/>
      <c r="F537" s="30" t="str">
        <f aca="false">IF($A537="","",$A537-WEEKDAY($A537,3))</f>
        <v/>
      </c>
      <c r="G537" s="29" t="str">
        <f aca="false">IF($A537="","",IF($F537=AsOf-WEEKDAY(AsOf,3),"Yes",""))</f>
        <v/>
      </c>
      <c r="H537" s="29" t="str">
        <f aca="false">IF($G537="Yes",$A537+ROW()/100000,"")</f>
        <v/>
      </c>
    </row>
    <row r="538" customFormat="false" ht="15" hidden="false" customHeight="false" outlineLevel="0" collapsed="false">
      <c r="A538" s="27"/>
      <c r="B538" s="24"/>
      <c r="C538" s="24"/>
      <c r="D538" s="24"/>
      <c r="E538" s="28"/>
      <c r="F538" s="30" t="str">
        <f aca="false">IF($A538="","",$A538-WEEKDAY($A538,3))</f>
        <v/>
      </c>
      <c r="G538" s="29" t="str">
        <f aca="false">IF($A538="","",IF($F538=AsOf-WEEKDAY(AsOf,3),"Yes",""))</f>
        <v/>
      </c>
      <c r="H538" s="29" t="str">
        <f aca="false">IF($G538="Yes",$A538+ROW()/100000,"")</f>
        <v/>
      </c>
    </row>
    <row r="539" customFormat="false" ht="15" hidden="false" customHeight="false" outlineLevel="0" collapsed="false">
      <c r="A539" s="27"/>
      <c r="B539" s="24"/>
      <c r="C539" s="24"/>
      <c r="D539" s="24"/>
      <c r="E539" s="28"/>
      <c r="F539" s="30" t="str">
        <f aca="false">IF($A539="","",$A539-WEEKDAY($A539,3))</f>
        <v/>
      </c>
      <c r="G539" s="29" t="str">
        <f aca="false">IF($A539="","",IF($F539=AsOf-WEEKDAY(AsOf,3),"Yes",""))</f>
        <v/>
      </c>
      <c r="H539" s="29" t="str">
        <f aca="false">IF($G539="Yes",$A539+ROW()/100000,"")</f>
        <v/>
      </c>
    </row>
    <row r="540" customFormat="false" ht="15" hidden="false" customHeight="false" outlineLevel="0" collapsed="false">
      <c r="A540" s="27"/>
      <c r="B540" s="24"/>
      <c r="C540" s="24"/>
      <c r="D540" s="24"/>
      <c r="E540" s="28"/>
      <c r="F540" s="30" t="str">
        <f aca="false">IF($A540="","",$A540-WEEKDAY($A540,3))</f>
        <v/>
      </c>
      <c r="G540" s="29" t="str">
        <f aca="false">IF($A540="","",IF($F540=AsOf-WEEKDAY(AsOf,3),"Yes",""))</f>
        <v/>
      </c>
      <c r="H540" s="29" t="str">
        <f aca="false">IF($G540="Yes",$A540+ROW()/100000,"")</f>
        <v/>
      </c>
    </row>
    <row r="541" customFormat="false" ht="15" hidden="false" customHeight="false" outlineLevel="0" collapsed="false">
      <c r="A541" s="27"/>
      <c r="B541" s="24"/>
      <c r="C541" s="24"/>
      <c r="D541" s="24"/>
      <c r="E541" s="28"/>
      <c r="F541" s="30" t="str">
        <f aca="false">IF($A541="","",$A541-WEEKDAY($A541,3))</f>
        <v/>
      </c>
      <c r="G541" s="29" t="str">
        <f aca="false">IF($A541="","",IF($F541=AsOf-WEEKDAY(AsOf,3),"Yes",""))</f>
        <v/>
      </c>
      <c r="H541" s="29" t="str">
        <f aca="false">IF($G541="Yes",$A541+ROW()/100000,"")</f>
        <v/>
      </c>
    </row>
    <row r="542" customFormat="false" ht="15" hidden="false" customHeight="false" outlineLevel="0" collapsed="false">
      <c r="A542" s="27"/>
      <c r="B542" s="24"/>
      <c r="C542" s="24"/>
      <c r="D542" s="24"/>
      <c r="E542" s="28"/>
      <c r="F542" s="30" t="str">
        <f aca="false">IF($A542="","",$A542-WEEKDAY($A542,3))</f>
        <v/>
      </c>
      <c r="G542" s="29" t="str">
        <f aca="false">IF($A542="","",IF($F542=AsOf-WEEKDAY(AsOf,3),"Yes",""))</f>
        <v/>
      </c>
      <c r="H542" s="29" t="str">
        <f aca="false">IF($G542="Yes",$A542+ROW()/100000,"")</f>
        <v/>
      </c>
    </row>
    <row r="543" customFormat="false" ht="15" hidden="false" customHeight="false" outlineLevel="0" collapsed="false">
      <c r="A543" s="27"/>
      <c r="B543" s="24"/>
      <c r="C543" s="24"/>
      <c r="D543" s="24"/>
      <c r="E543" s="28"/>
      <c r="F543" s="30" t="str">
        <f aca="false">IF($A543="","",$A543-WEEKDAY($A543,3))</f>
        <v/>
      </c>
      <c r="G543" s="29" t="str">
        <f aca="false">IF($A543="","",IF($F543=AsOf-WEEKDAY(AsOf,3),"Yes",""))</f>
        <v/>
      </c>
      <c r="H543" s="29" t="str">
        <f aca="false">IF($G543="Yes",$A543+ROW()/100000,"")</f>
        <v/>
      </c>
    </row>
    <row r="544" customFormat="false" ht="15" hidden="false" customHeight="false" outlineLevel="0" collapsed="false">
      <c r="A544" s="27"/>
      <c r="B544" s="24"/>
      <c r="C544" s="24"/>
      <c r="D544" s="24"/>
      <c r="E544" s="28"/>
      <c r="F544" s="30" t="str">
        <f aca="false">IF($A544="","",$A544-WEEKDAY($A544,3))</f>
        <v/>
      </c>
      <c r="G544" s="29" t="str">
        <f aca="false">IF($A544="","",IF($F544=AsOf-WEEKDAY(AsOf,3),"Yes",""))</f>
        <v/>
      </c>
      <c r="H544" s="29" t="str">
        <f aca="false">IF($G544="Yes",$A544+ROW()/100000,"")</f>
        <v/>
      </c>
    </row>
    <row r="545" customFormat="false" ht="15" hidden="false" customHeight="false" outlineLevel="0" collapsed="false">
      <c r="A545" s="27"/>
      <c r="B545" s="24"/>
      <c r="C545" s="24"/>
      <c r="D545" s="24"/>
      <c r="E545" s="28"/>
      <c r="F545" s="30" t="str">
        <f aca="false">IF($A545="","",$A545-WEEKDAY($A545,3))</f>
        <v/>
      </c>
      <c r="G545" s="29" t="str">
        <f aca="false">IF($A545="","",IF($F545=AsOf-WEEKDAY(AsOf,3),"Yes",""))</f>
        <v/>
      </c>
      <c r="H545" s="29" t="str">
        <f aca="false">IF($G545="Yes",$A545+ROW()/100000,"")</f>
        <v/>
      </c>
    </row>
    <row r="546" customFormat="false" ht="15" hidden="false" customHeight="false" outlineLevel="0" collapsed="false">
      <c r="A546" s="27"/>
      <c r="B546" s="24"/>
      <c r="C546" s="24"/>
      <c r="D546" s="24"/>
      <c r="E546" s="28"/>
      <c r="F546" s="30" t="str">
        <f aca="false">IF($A546="","",$A546-WEEKDAY($A546,3))</f>
        <v/>
      </c>
      <c r="G546" s="29" t="str">
        <f aca="false">IF($A546="","",IF($F546=AsOf-WEEKDAY(AsOf,3),"Yes",""))</f>
        <v/>
      </c>
      <c r="H546" s="29" t="str">
        <f aca="false">IF($G546="Yes",$A546+ROW()/100000,"")</f>
        <v/>
      </c>
    </row>
    <row r="547" customFormat="false" ht="15" hidden="false" customHeight="false" outlineLevel="0" collapsed="false">
      <c r="A547" s="27"/>
      <c r="B547" s="24"/>
      <c r="C547" s="24"/>
      <c r="D547" s="24"/>
      <c r="E547" s="28"/>
      <c r="F547" s="30" t="str">
        <f aca="false">IF($A547="","",$A547-WEEKDAY($A547,3))</f>
        <v/>
      </c>
      <c r="G547" s="29" t="str">
        <f aca="false">IF($A547="","",IF($F547=AsOf-WEEKDAY(AsOf,3),"Yes",""))</f>
        <v/>
      </c>
      <c r="H547" s="29" t="str">
        <f aca="false">IF($G547="Yes",$A547+ROW()/100000,"")</f>
        <v/>
      </c>
    </row>
    <row r="548" customFormat="false" ht="15" hidden="false" customHeight="false" outlineLevel="0" collapsed="false">
      <c r="A548" s="27"/>
      <c r="B548" s="24"/>
      <c r="C548" s="24"/>
      <c r="D548" s="24"/>
      <c r="E548" s="28"/>
      <c r="F548" s="30" t="str">
        <f aca="false">IF($A548="","",$A548-WEEKDAY($A548,3))</f>
        <v/>
      </c>
      <c r="G548" s="29" t="str">
        <f aca="false">IF($A548="","",IF($F548=AsOf-WEEKDAY(AsOf,3),"Yes",""))</f>
        <v/>
      </c>
      <c r="H548" s="29" t="str">
        <f aca="false">IF($G548="Yes",$A548+ROW()/100000,"")</f>
        <v/>
      </c>
    </row>
    <row r="549" customFormat="false" ht="15" hidden="false" customHeight="false" outlineLevel="0" collapsed="false">
      <c r="A549" s="27"/>
      <c r="B549" s="24"/>
      <c r="C549" s="24"/>
      <c r="D549" s="24"/>
      <c r="E549" s="28"/>
      <c r="F549" s="30" t="str">
        <f aca="false">IF($A549="","",$A549-WEEKDAY($A549,3))</f>
        <v/>
      </c>
      <c r="G549" s="29" t="str">
        <f aca="false">IF($A549="","",IF($F549=AsOf-WEEKDAY(AsOf,3),"Yes",""))</f>
        <v/>
      </c>
      <c r="H549" s="29" t="str">
        <f aca="false">IF($G549="Yes",$A549+ROW()/100000,"")</f>
        <v/>
      </c>
    </row>
    <row r="550" customFormat="false" ht="15" hidden="false" customHeight="false" outlineLevel="0" collapsed="false">
      <c r="A550" s="27"/>
      <c r="B550" s="24"/>
      <c r="C550" s="24"/>
      <c r="D550" s="24"/>
      <c r="E550" s="28"/>
      <c r="F550" s="30" t="str">
        <f aca="false">IF($A550="","",$A550-WEEKDAY($A550,3))</f>
        <v/>
      </c>
      <c r="G550" s="29" t="str">
        <f aca="false">IF($A550="","",IF($F550=AsOf-WEEKDAY(AsOf,3),"Yes",""))</f>
        <v/>
      </c>
      <c r="H550" s="29" t="str">
        <f aca="false">IF($G550="Yes",$A550+ROW()/100000,"")</f>
        <v/>
      </c>
    </row>
    <row r="551" customFormat="false" ht="15" hidden="false" customHeight="false" outlineLevel="0" collapsed="false">
      <c r="A551" s="27"/>
      <c r="B551" s="24"/>
      <c r="C551" s="24"/>
      <c r="D551" s="24"/>
      <c r="E551" s="28"/>
      <c r="F551" s="30" t="str">
        <f aca="false">IF($A551="","",$A551-WEEKDAY($A551,3))</f>
        <v/>
      </c>
      <c r="G551" s="29" t="str">
        <f aca="false">IF($A551="","",IF($F551=AsOf-WEEKDAY(AsOf,3),"Yes",""))</f>
        <v/>
      </c>
      <c r="H551" s="29" t="str">
        <f aca="false">IF($G551="Yes",$A551+ROW()/100000,"")</f>
        <v/>
      </c>
    </row>
    <row r="552" customFormat="false" ht="15" hidden="false" customHeight="false" outlineLevel="0" collapsed="false">
      <c r="A552" s="27"/>
      <c r="B552" s="24"/>
      <c r="C552" s="24"/>
      <c r="D552" s="24"/>
      <c r="E552" s="28"/>
      <c r="F552" s="30" t="str">
        <f aca="false">IF($A552="","",$A552-WEEKDAY($A552,3))</f>
        <v/>
      </c>
      <c r="G552" s="29" t="str">
        <f aca="false">IF($A552="","",IF($F552=AsOf-WEEKDAY(AsOf,3),"Yes",""))</f>
        <v/>
      </c>
      <c r="H552" s="29" t="str">
        <f aca="false">IF($G552="Yes",$A552+ROW()/100000,"")</f>
        <v/>
      </c>
    </row>
    <row r="553" customFormat="false" ht="15" hidden="false" customHeight="false" outlineLevel="0" collapsed="false">
      <c r="A553" s="27"/>
      <c r="B553" s="24"/>
      <c r="C553" s="24"/>
      <c r="D553" s="24"/>
      <c r="E553" s="28"/>
      <c r="F553" s="30" t="str">
        <f aca="false">IF($A553="","",$A553-WEEKDAY($A553,3))</f>
        <v/>
      </c>
      <c r="G553" s="29" t="str">
        <f aca="false">IF($A553="","",IF($F553=AsOf-WEEKDAY(AsOf,3),"Yes",""))</f>
        <v/>
      </c>
      <c r="H553" s="29" t="str">
        <f aca="false">IF($G553="Yes",$A553+ROW()/100000,"")</f>
        <v/>
      </c>
    </row>
    <row r="554" customFormat="false" ht="15" hidden="false" customHeight="false" outlineLevel="0" collapsed="false">
      <c r="A554" s="27"/>
      <c r="B554" s="24"/>
      <c r="C554" s="24"/>
      <c r="D554" s="24"/>
      <c r="E554" s="28"/>
      <c r="F554" s="30" t="str">
        <f aca="false">IF($A554="","",$A554-WEEKDAY($A554,3))</f>
        <v/>
      </c>
      <c r="G554" s="29" t="str">
        <f aca="false">IF($A554="","",IF($F554=AsOf-WEEKDAY(AsOf,3),"Yes",""))</f>
        <v/>
      </c>
      <c r="H554" s="29" t="str">
        <f aca="false">IF($G554="Yes",$A554+ROW()/100000,"")</f>
        <v/>
      </c>
    </row>
    <row r="555" customFormat="false" ht="15" hidden="false" customHeight="false" outlineLevel="0" collapsed="false">
      <c r="A555" s="27"/>
      <c r="B555" s="24"/>
      <c r="C555" s="24"/>
      <c r="D555" s="24"/>
      <c r="E555" s="28"/>
      <c r="F555" s="30" t="str">
        <f aca="false">IF($A555="","",$A555-WEEKDAY($A555,3))</f>
        <v/>
      </c>
      <c r="G555" s="29" t="str">
        <f aca="false">IF($A555="","",IF($F555=AsOf-WEEKDAY(AsOf,3),"Yes",""))</f>
        <v/>
      </c>
      <c r="H555" s="29" t="str">
        <f aca="false">IF($G555="Yes",$A555+ROW()/100000,"")</f>
        <v/>
      </c>
    </row>
    <row r="556" customFormat="false" ht="15" hidden="false" customHeight="false" outlineLevel="0" collapsed="false">
      <c r="A556" s="27"/>
      <c r="B556" s="24"/>
      <c r="C556" s="24"/>
      <c r="D556" s="24"/>
      <c r="E556" s="28"/>
      <c r="F556" s="30" t="str">
        <f aca="false">IF($A556="","",$A556-WEEKDAY($A556,3))</f>
        <v/>
      </c>
      <c r="G556" s="29" t="str">
        <f aca="false">IF($A556="","",IF($F556=AsOf-WEEKDAY(AsOf,3),"Yes",""))</f>
        <v/>
      </c>
      <c r="H556" s="29" t="str">
        <f aca="false">IF($G556="Yes",$A556+ROW()/100000,"")</f>
        <v/>
      </c>
    </row>
    <row r="557" customFormat="false" ht="15" hidden="false" customHeight="false" outlineLevel="0" collapsed="false">
      <c r="A557" s="27"/>
      <c r="B557" s="24"/>
      <c r="C557" s="24"/>
      <c r="D557" s="24"/>
      <c r="E557" s="28"/>
      <c r="F557" s="30" t="str">
        <f aca="false">IF($A557="","",$A557-WEEKDAY($A557,3))</f>
        <v/>
      </c>
      <c r="G557" s="29" t="str">
        <f aca="false">IF($A557="","",IF($F557=AsOf-WEEKDAY(AsOf,3),"Yes",""))</f>
        <v/>
      </c>
      <c r="H557" s="29" t="str">
        <f aca="false">IF($G557="Yes",$A557+ROW()/100000,"")</f>
        <v/>
      </c>
    </row>
    <row r="558" customFormat="false" ht="15" hidden="false" customHeight="false" outlineLevel="0" collapsed="false">
      <c r="A558" s="27"/>
      <c r="B558" s="24"/>
      <c r="C558" s="24"/>
      <c r="D558" s="24"/>
      <c r="E558" s="28"/>
      <c r="F558" s="30" t="str">
        <f aca="false">IF($A558="","",$A558-WEEKDAY($A558,3))</f>
        <v/>
      </c>
      <c r="G558" s="29" t="str">
        <f aca="false">IF($A558="","",IF($F558=AsOf-WEEKDAY(AsOf,3),"Yes",""))</f>
        <v/>
      </c>
      <c r="H558" s="29" t="str">
        <f aca="false">IF($G558="Yes",$A558+ROW()/100000,"")</f>
        <v/>
      </c>
    </row>
    <row r="559" customFormat="false" ht="15" hidden="false" customHeight="false" outlineLevel="0" collapsed="false">
      <c r="A559" s="27"/>
      <c r="B559" s="24"/>
      <c r="C559" s="24"/>
      <c r="D559" s="24"/>
      <c r="E559" s="28"/>
      <c r="F559" s="30" t="str">
        <f aca="false">IF($A559="","",$A559-WEEKDAY($A559,3))</f>
        <v/>
      </c>
      <c r="G559" s="29" t="str">
        <f aca="false">IF($A559="","",IF($F559=AsOf-WEEKDAY(AsOf,3),"Yes",""))</f>
        <v/>
      </c>
      <c r="H559" s="29" t="str">
        <f aca="false">IF($G559="Yes",$A559+ROW()/100000,"")</f>
        <v/>
      </c>
    </row>
    <row r="560" customFormat="false" ht="15" hidden="false" customHeight="false" outlineLevel="0" collapsed="false">
      <c r="A560" s="27"/>
      <c r="B560" s="24"/>
      <c r="C560" s="24"/>
      <c r="D560" s="24"/>
      <c r="E560" s="28"/>
      <c r="F560" s="30" t="str">
        <f aca="false">IF($A560="","",$A560-WEEKDAY($A560,3))</f>
        <v/>
      </c>
      <c r="G560" s="29" t="str">
        <f aca="false">IF($A560="","",IF($F560=AsOf-WEEKDAY(AsOf,3),"Yes",""))</f>
        <v/>
      </c>
      <c r="H560" s="29" t="str">
        <f aca="false">IF($G560="Yes",$A560+ROW()/100000,"")</f>
        <v/>
      </c>
    </row>
    <row r="561" customFormat="false" ht="15" hidden="false" customHeight="false" outlineLevel="0" collapsed="false">
      <c r="A561" s="27"/>
      <c r="B561" s="24"/>
      <c r="C561" s="24"/>
      <c r="D561" s="24"/>
      <c r="E561" s="28"/>
      <c r="F561" s="30" t="str">
        <f aca="false">IF($A561="","",$A561-WEEKDAY($A561,3))</f>
        <v/>
      </c>
      <c r="G561" s="29" t="str">
        <f aca="false">IF($A561="","",IF($F561=AsOf-WEEKDAY(AsOf,3),"Yes",""))</f>
        <v/>
      </c>
      <c r="H561" s="29" t="str">
        <f aca="false">IF($G561="Yes",$A561+ROW()/100000,"")</f>
        <v/>
      </c>
    </row>
    <row r="562" customFormat="false" ht="15" hidden="false" customHeight="false" outlineLevel="0" collapsed="false">
      <c r="A562" s="27"/>
      <c r="B562" s="24"/>
      <c r="C562" s="24"/>
      <c r="D562" s="24"/>
      <c r="E562" s="28"/>
      <c r="F562" s="30" t="str">
        <f aca="false">IF($A562="","",$A562-WEEKDAY($A562,3))</f>
        <v/>
      </c>
      <c r="G562" s="29" t="str">
        <f aca="false">IF($A562="","",IF($F562=AsOf-WEEKDAY(AsOf,3),"Yes",""))</f>
        <v/>
      </c>
      <c r="H562" s="29" t="str">
        <f aca="false">IF($G562="Yes",$A562+ROW()/100000,"")</f>
        <v/>
      </c>
    </row>
    <row r="563" customFormat="false" ht="15" hidden="false" customHeight="false" outlineLevel="0" collapsed="false">
      <c r="A563" s="27"/>
      <c r="B563" s="24"/>
      <c r="C563" s="24"/>
      <c r="D563" s="24"/>
      <c r="E563" s="28"/>
      <c r="F563" s="30" t="str">
        <f aca="false">IF($A563="","",$A563-WEEKDAY($A563,3))</f>
        <v/>
      </c>
      <c r="G563" s="29" t="str">
        <f aca="false">IF($A563="","",IF($F563=AsOf-WEEKDAY(AsOf,3),"Yes",""))</f>
        <v/>
      </c>
      <c r="H563" s="29" t="str">
        <f aca="false">IF($G563="Yes",$A563+ROW()/100000,"")</f>
        <v/>
      </c>
    </row>
    <row r="564" customFormat="false" ht="15" hidden="false" customHeight="false" outlineLevel="0" collapsed="false">
      <c r="A564" s="27"/>
      <c r="B564" s="24"/>
      <c r="C564" s="24"/>
      <c r="D564" s="24"/>
      <c r="E564" s="28"/>
      <c r="F564" s="30" t="str">
        <f aca="false">IF($A564="","",$A564-WEEKDAY($A564,3))</f>
        <v/>
      </c>
      <c r="G564" s="29" t="str">
        <f aca="false">IF($A564="","",IF($F564=AsOf-WEEKDAY(AsOf,3),"Yes",""))</f>
        <v/>
      </c>
      <c r="H564" s="29" t="str">
        <f aca="false">IF($G564="Yes",$A564+ROW()/100000,"")</f>
        <v/>
      </c>
    </row>
    <row r="565" customFormat="false" ht="15" hidden="false" customHeight="false" outlineLevel="0" collapsed="false">
      <c r="A565" s="27"/>
      <c r="B565" s="24"/>
      <c r="C565" s="24"/>
      <c r="D565" s="24"/>
      <c r="E565" s="28"/>
      <c r="F565" s="30" t="str">
        <f aca="false">IF($A565="","",$A565-WEEKDAY($A565,3))</f>
        <v/>
      </c>
      <c r="G565" s="29" t="str">
        <f aca="false">IF($A565="","",IF($F565=AsOf-WEEKDAY(AsOf,3),"Yes",""))</f>
        <v/>
      </c>
      <c r="H565" s="29" t="str">
        <f aca="false">IF($G565="Yes",$A565+ROW()/100000,"")</f>
        <v/>
      </c>
    </row>
    <row r="566" customFormat="false" ht="15" hidden="false" customHeight="false" outlineLevel="0" collapsed="false">
      <c r="A566" s="27"/>
      <c r="B566" s="24"/>
      <c r="C566" s="24"/>
      <c r="D566" s="24"/>
      <c r="E566" s="28"/>
      <c r="F566" s="30" t="str">
        <f aca="false">IF($A566="","",$A566-WEEKDAY($A566,3))</f>
        <v/>
      </c>
      <c r="G566" s="29" t="str">
        <f aca="false">IF($A566="","",IF($F566=AsOf-WEEKDAY(AsOf,3),"Yes",""))</f>
        <v/>
      </c>
      <c r="H566" s="29" t="str">
        <f aca="false">IF($G566="Yes",$A566+ROW()/100000,"")</f>
        <v/>
      </c>
    </row>
    <row r="567" customFormat="false" ht="15" hidden="false" customHeight="false" outlineLevel="0" collapsed="false">
      <c r="A567" s="27"/>
      <c r="B567" s="24"/>
      <c r="C567" s="24"/>
      <c r="D567" s="24"/>
      <c r="E567" s="28"/>
      <c r="F567" s="30" t="str">
        <f aca="false">IF($A567="","",$A567-WEEKDAY($A567,3))</f>
        <v/>
      </c>
      <c r="G567" s="29" t="str">
        <f aca="false">IF($A567="","",IF($F567=AsOf-WEEKDAY(AsOf,3),"Yes",""))</f>
        <v/>
      </c>
      <c r="H567" s="29" t="str">
        <f aca="false">IF($G567="Yes",$A567+ROW()/100000,"")</f>
        <v/>
      </c>
    </row>
    <row r="568" customFormat="false" ht="15" hidden="false" customHeight="false" outlineLevel="0" collapsed="false">
      <c r="A568" s="27"/>
      <c r="B568" s="24"/>
      <c r="C568" s="24"/>
      <c r="D568" s="24"/>
      <c r="E568" s="28"/>
      <c r="F568" s="30" t="str">
        <f aca="false">IF($A568="","",$A568-WEEKDAY($A568,3))</f>
        <v/>
      </c>
      <c r="G568" s="29" t="str">
        <f aca="false">IF($A568="","",IF($F568=AsOf-WEEKDAY(AsOf,3),"Yes",""))</f>
        <v/>
      </c>
      <c r="H568" s="29" t="str">
        <f aca="false">IF($G568="Yes",$A568+ROW()/100000,"")</f>
        <v/>
      </c>
    </row>
    <row r="569" customFormat="false" ht="15" hidden="false" customHeight="false" outlineLevel="0" collapsed="false">
      <c r="A569" s="27"/>
      <c r="B569" s="24"/>
      <c r="C569" s="24"/>
      <c r="D569" s="24"/>
      <c r="E569" s="28"/>
      <c r="F569" s="30" t="str">
        <f aca="false">IF($A569="","",$A569-WEEKDAY($A569,3))</f>
        <v/>
      </c>
      <c r="G569" s="29" t="str">
        <f aca="false">IF($A569="","",IF($F569=AsOf-WEEKDAY(AsOf,3),"Yes",""))</f>
        <v/>
      </c>
      <c r="H569" s="29" t="str">
        <f aca="false">IF($G569="Yes",$A569+ROW()/100000,"")</f>
        <v/>
      </c>
    </row>
    <row r="570" customFormat="false" ht="15" hidden="false" customHeight="false" outlineLevel="0" collapsed="false">
      <c r="A570" s="27"/>
      <c r="B570" s="24"/>
      <c r="C570" s="24"/>
      <c r="D570" s="24"/>
      <c r="E570" s="28"/>
      <c r="F570" s="30" t="str">
        <f aca="false">IF($A570="","",$A570-WEEKDAY($A570,3))</f>
        <v/>
      </c>
      <c r="G570" s="29" t="str">
        <f aca="false">IF($A570="","",IF($F570=AsOf-WEEKDAY(AsOf,3),"Yes",""))</f>
        <v/>
      </c>
      <c r="H570" s="29" t="str">
        <f aca="false">IF($G570="Yes",$A570+ROW()/100000,"")</f>
        <v/>
      </c>
    </row>
    <row r="571" customFormat="false" ht="15" hidden="false" customHeight="false" outlineLevel="0" collapsed="false">
      <c r="A571" s="27"/>
      <c r="B571" s="24"/>
      <c r="C571" s="24"/>
      <c r="D571" s="24"/>
      <c r="E571" s="28"/>
      <c r="F571" s="30" t="str">
        <f aca="false">IF($A571="","",$A571-WEEKDAY($A571,3))</f>
        <v/>
      </c>
      <c r="G571" s="29" t="str">
        <f aca="false">IF($A571="","",IF($F571=AsOf-WEEKDAY(AsOf,3),"Yes",""))</f>
        <v/>
      </c>
      <c r="H571" s="29" t="str">
        <f aca="false">IF($G571="Yes",$A571+ROW()/100000,"")</f>
        <v/>
      </c>
    </row>
    <row r="572" customFormat="false" ht="15" hidden="false" customHeight="false" outlineLevel="0" collapsed="false">
      <c r="A572" s="27"/>
      <c r="B572" s="24"/>
      <c r="C572" s="24"/>
      <c r="D572" s="24"/>
      <c r="E572" s="28"/>
      <c r="F572" s="30" t="str">
        <f aca="false">IF($A572="","",$A572-WEEKDAY($A572,3))</f>
        <v/>
      </c>
      <c r="G572" s="29" t="str">
        <f aca="false">IF($A572="","",IF($F572=AsOf-WEEKDAY(AsOf,3),"Yes",""))</f>
        <v/>
      </c>
      <c r="H572" s="29" t="str">
        <f aca="false">IF($G572="Yes",$A572+ROW()/100000,"")</f>
        <v/>
      </c>
    </row>
    <row r="573" customFormat="false" ht="15" hidden="false" customHeight="false" outlineLevel="0" collapsed="false">
      <c r="A573" s="27"/>
      <c r="B573" s="24"/>
      <c r="C573" s="24"/>
      <c r="D573" s="24"/>
      <c r="E573" s="28"/>
      <c r="F573" s="30" t="str">
        <f aca="false">IF($A573="","",$A573-WEEKDAY($A573,3))</f>
        <v/>
      </c>
      <c r="G573" s="29" t="str">
        <f aca="false">IF($A573="","",IF($F573=AsOf-WEEKDAY(AsOf,3),"Yes",""))</f>
        <v/>
      </c>
      <c r="H573" s="29" t="str">
        <f aca="false">IF($G573="Yes",$A573+ROW()/100000,"")</f>
        <v/>
      </c>
    </row>
    <row r="574" customFormat="false" ht="15" hidden="false" customHeight="false" outlineLevel="0" collapsed="false">
      <c r="A574" s="27"/>
      <c r="B574" s="24"/>
      <c r="C574" s="24"/>
      <c r="D574" s="24"/>
      <c r="E574" s="28"/>
      <c r="F574" s="30" t="str">
        <f aca="false">IF($A574="","",$A574-WEEKDAY($A574,3))</f>
        <v/>
      </c>
      <c r="G574" s="29" t="str">
        <f aca="false">IF($A574="","",IF($F574=AsOf-WEEKDAY(AsOf,3),"Yes",""))</f>
        <v/>
      </c>
      <c r="H574" s="29" t="str">
        <f aca="false">IF($G574="Yes",$A574+ROW()/100000,"")</f>
        <v/>
      </c>
    </row>
    <row r="575" customFormat="false" ht="15" hidden="false" customHeight="false" outlineLevel="0" collapsed="false">
      <c r="A575" s="27"/>
      <c r="B575" s="24"/>
      <c r="C575" s="24"/>
      <c r="D575" s="24"/>
      <c r="E575" s="28"/>
      <c r="F575" s="30" t="str">
        <f aca="false">IF($A575="","",$A575-WEEKDAY($A575,3))</f>
        <v/>
      </c>
      <c r="G575" s="29" t="str">
        <f aca="false">IF($A575="","",IF($F575=AsOf-WEEKDAY(AsOf,3),"Yes",""))</f>
        <v/>
      </c>
      <c r="H575" s="29" t="str">
        <f aca="false">IF($G575="Yes",$A575+ROW()/100000,"")</f>
        <v/>
      </c>
    </row>
    <row r="576" customFormat="false" ht="15" hidden="false" customHeight="false" outlineLevel="0" collapsed="false">
      <c r="A576" s="27"/>
      <c r="B576" s="24"/>
      <c r="C576" s="24"/>
      <c r="D576" s="24"/>
      <c r="E576" s="28"/>
      <c r="F576" s="30" t="str">
        <f aca="false">IF($A576="","",$A576-WEEKDAY($A576,3))</f>
        <v/>
      </c>
      <c r="G576" s="29" t="str">
        <f aca="false">IF($A576="","",IF($F576=AsOf-WEEKDAY(AsOf,3),"Yes",""))</f>
        <v/>
      </c>
      <c r="H576" s="29" t="str">
        <f aca="false">IF($G576="Yes",$A576+ROW()/100000,"")</f>
        <v/>
      </c>
    </row>
    <row r="577" customFormat="false" ht="15" hidden="false" customHeight="false" outlineLevel="0" collapsed="false">
      <c r="A577" s="27"/>
      <c r="B577" s="24"/>
      <c r="C577" s="24"/>
      <c r="D577" s="24"/>
      <c r="E577" s="28"/>
      <c r="F577" s="30" t="str">
        <f aca="false">IF($A577="","",$A577-WEEKDAY($A577,3))</f>
        <v/>
      </c>
      <c r="G577" s="29" t="str">
        <f aca="false">IF($A577="","",IF($F577=AsOf-WEEKDAY(AsOf,3),"Yes",""))</f>
        <v/>
      </c>
      <c r="H577" s="29" t="str">
        <f aca="false">IF($G577="Yes",$A577+ROW()/100000,"")</f>
        <v/>
      </c>
    </row>
    <row r="578" customFormat="false" ht="15" hidden="false" customHeight="false" outlineLevel="0" collapsed="false">
      <c r="A578" s="27"/>
      <c r="B578" s="24"/>
      <c r="C578" s="24"/>
      <c r="D578" s="24"/>
      <c r="E578" s="28"/>
      <c r="F578" s="30" t="str">
        <f aca="false">IF($A578="","",$A578-WEEKDAY($A578,3))</f>
        <v/>
      </c>
      <c r="G578" s="29" t="str">
        <f aca="false">IF($A578="","",IF($F578=AsOf-WEEKDAY(AsOf,3),"Yes",""))</f>
        <v/>
      </c>
      <c r="H578" s="29" t="str">
        <f aca="false">IF($G578="Yes",$A578+ROW()/100000,"")</f>
        <v/>
      </c>
    </row>
    <row r="579" customFormat="false" ht="15" hidden="false" customHeight="false" outlineLevel="0" collapsed="false">
      <c r="A579" s="27"/>
      <c r="B579" s="24"/>
      <c r="C579" s="24"/>
      <c r="D579" s="24"/>
      <c r="E579" s="28"/>
      <c r="F579" s="30" t="str">
        <f aca="false">IF($A579="","",$A579-WEEKDAY($A579,3))</f>
        <v/>
      </c>
      <c r="G579" s="29" t="str">
        <f aca="false">IF($A579="","",IF($F579=AsOf-WEEKDAY(AsOf,3),"Yes",""))</f>
        <v/>
      </c>
      <c r="H579" s="29" t="str">
        <f aca="false">IF($G579="Yes",$A579+ROW()/100000,"")</f>
        <v/>
      </c>
    </row>
    <row r="580" customFormat="false" ht="15" hidden="false" customHeight="false" outlineLevel="0" collapsed="false">
      <c r="A580" s="27"/>
      <c r="B580" s="24"/>
      <c r="C580" s="24"/>
      <c r="D580" s="24"/>
      <c r="E580" s="28"/>
      <c r="F580" s="30" t="str">
        <f aca="false">IF($A580="","",$A580-WEEKDAY($A580,3))</f>
        <v/>
      </c>
      <c r="G580" s="29" t="str">
        <f aca="false">IF($A580="","",IF($F580=AsOf-WEEKDAY(AsOf,3),"Yes",""))</f>
        <v/>
      </c>
      <c r="H580" s="29" t="str">
        <f aca="false">IF($G580="Yes",$A580+ROW()/100000,"")</f>
        <v/>
      </c>
    </row>
    <row r="581" customFormat="false" ht="15" hidden="false" customHeight="false" outlineLevel="0" collapsed="false">
      <c r="A581" s="27"/>
      <c r="B581" s="24"/>
      <c r="C581" s="24"/>
      <c r="D581" s="24"/>
      <c r="E581" s="28"/>
      <c r="F581" s="30" t="str">
        <f aca="false">IF($A581="","",$A581-WEEKDAY($A581,3))</f>
        <v/>
      </c>
      <c r="G581" s="29" t="str">
        <f aca="false">IF($A581="","",IF($F581=AsOf-WEEKDAY(AsOf,3),"Yes",""))</f>
        <v/>
      </c>
      <c r="H581" s="29" t="str">
        <f aca="false">IF($G581="Yes",$A581+ROW()/100000,"")</f>
        <v/>
      </c>
    </row>
    <row r="582" customFormat="false" ht="15" hidden="false" customHeight="false" outlineLevel="0" collapsed="false">
      <c r="A582" s="27"/>
      <c r="B582" s="24"/>
      <c r="C582" s="24"/>
      <c r="D582" s="24"/>
      <c r="E582" s="28"/>
      <c r="F582" s="30" t="str">
        <f aca="false">IF($A582="","",$A582-WEEKDAY($A582,3))</f>
        <v/>
      </c>
      <c r="G582" s="29" t="str">
        <f aca="false">IF($A582="","",IF($F582=AsOf-WEEKDAY(AsOf,3),"Yes",""))</f>
        <v/>
      </c>
      <c r="H582" s="29" t="str">
        <f aca="false">IF($G582="Yes",$A582+ROW()/100000,"")</f>
        <v/>
      </c>
    </row>
    <row r="583" customFormat="false" ht="15" hidden="false" customHeight="false" outlineLevel="0" collapsed="false">
      <c r="A583" s="27"/>
      <c r="B583" s="24"/>
      <c r="C583" s="24"/>
      <c r="D583" s="24"/>
      <c r="E583" s="28"/>
      <c r="F583" s="30" t="str">
        <f aca="false">IF($A583="","",$A583-WEEKDAY($A583,3))</f>
        <v/>
      </c>
      <c r="G583" s="29" t="str">
        <f aca="false">IF($A583="","",IF($F583=AsOf-WEEKDAY(AsOf,3),"Yes",""))</f>
        <v/>
      </c>
      <c r="H583" s="29" t="str">
        <f aca="false">IF($G583="Yes",$A583+ROW()/100000,"")</f>
        <v/>
      </c>
    </row>
    <row r="584" customFormat="false" ht="15" hidden="false" customHeight="false" outlineLevel="0" collapsed="false">
      <c r="A584" s="27"/>
      <c r="B584" s="24"/>
      <c r="C584" s="24"/>
      <c r="D584" s="24"/>
      <c r="E584" s="28"/>
      <c r="F584" s="30" t="str">
        <f aca="false">IF($A584="","",$A584-WEEKDAY($A584,3))</f>
        <v/>
      </c>
      <c r="G584" s="29" t="str">
        <f aca="false">IF($A584="","",IF($F584=AsOf-WEEKDAY(AsOf,3),"Yes",""))</f>
        <v/>
      </c>
      <c r="H584" s="29" t="str">
        <f aca="false">IF($G584="Yes",$A584+ROW()/100000,"")</f>
        <v/>
      </c>
    </row>
    <row r="585" customFormat="false" ht="15" hidden="false" customHeight="false" outlineLevel="0" collapsed="false">
      <c r="A585" s="27"/>
      <c r="B585" s="24"/>
      <c r="C585" s="24"/>
      <c r="D585" s="24"/>
      <c r="E585" s="28"/>
      <c r="F585" s="30" t="str">
        <f aca="false">IF($A585="","",$A585-WEEKDAY($A585,3))</f>
        <v/>
      </c>
      <c r="G585" s="29" t="str">
        <f aca="false">IF($A585="","",IF($F585=AsOf-WEEKDAY(AsOf,3),"Yes",""))</f>
        <v/>
      </c>
      <c r="H585" s="29" t="str">
        <f aca="false">IF($G585="Yes",$A585+ROW()/100000,"")</f>
        <v/>
      </c>
    </row>
    <row r="586" customFormat="false" ht="15" hidden="false" customHeight="false" outlineLevel="0" collapsed="false">
      <c r="A586" s="27"/>
      <c r="B586" s="24"/>
      <c r="C586" s="24"/>
      <c r="D586" s="24"/>
      <c r="E586" s="28"/>
      <c r="F586" s="30" t="str">
        <f aca="false">IF($A586="","",$A586-WEEKDAY($A586,3))</f>
        <v/>
      </c>
      <c r="G586" s="29" t="str">
        <f aca="false">IF($A586="","",IF($F586=AsOf-WEEKDAY(AsOf,3),"Yes",""))</f>
        <v/>
      </c>
      <c r="H586" s="29" t="str">
        <f aca="false">IF($G586="Yes",$A586+ROW()/100000,"")</f>
        <v/>
      </c>
    </row>
    <row r="587" customFormat="false" ht="15" hidden="false" customHeight="false" outlineLevel="0" collapsed="false">
      <c r="A587" s="27"/>
      <c r="B587" s="24"/>
      <c r="C587" s="24"/>
      <c r="D587" s="24"/>
      <c r="E587" s="28"/>
      <c r="F587" s="30" t="str">
        <f aca="false">IF($A587="","",$A587-WEEKDAY($A587,3))</f>
        <v/>
      </c>
      <c r="G587" s="29" t="str">
        <f aca="false">IF($A587="","",IF($F587=AsOf-WEEKDAY(AsOf,3),"Yes",""))</f>
        <v/>
      </c>
      <c r="H587" s="29" t="str">
        <f aca="false">IF($G587="Yes",$A587+ROW()/100000,"")</f>
        <v/>
      </c>
    </row>
    <row r="588" customFormat="false" ht="15" hidden="false" customHeight="false" outlineLevel="0" collapsed="false">
      <c r="A588" s="27"/>
      <c r="B588" s="24"/>
      <c r="C588" s="24"/>
      <c r="D588" s="24"/>
      <c r="E588" s="28"/>
      <c r="F588" s="30" t="str">
        <f aca="false">IF($A588="","",$A588-WEEKDAY($A588,3))</f>
        <v/>
      </c>
      <c r="G588" s="29" t="str">
        <f aca="false">IF($A588="","",IF($F588=AsOf-WEEKDAY(AsOf,3),"Yes",""))</f>
        <v/>
      </c>
      <c r="H588" s="29" t="str">
        <f aca="false">IF($G588="Yes",$A588+ROW()/100000,"")</f>
        <v/>
      </c>
    </row>
    <row r="589" customFormat="false" ht="15" hidden="false" customHeight="false" outlineLevel="0" collapsed="false">
      <c r="A589" s="27"/>
      <c r="B589" s="24"/>
      <c r="C589" s="24"/>
      <c r="D589" s="24"/>
      <c r="E589" s="28"/>
      <c r="F589" s="30" t="str">
        <f aca="false">IF($A589="","",$A589-WEEKDAY($A589,3))</f>
        <v/>
      </c>
      <c r="G589" s="29" t="str">
        <f aca="false">IF($A589="","",IF($F589=AsOf-WEEKDAY(AsOf,3),"Yes",""))</f>
        <v/>
      </c>
      <c r="H589" s="29" t="str">
        <f aca="false">IF($G589="Yes",$A589+ROW()/100000,"")</f>
        <v/>
      </c>
    </row>
    <row r="590" customFormat="false" ht="15" hidden="false" customHeight="false" outlineLevel="0" collapsed="false">
      <c r="A590" s="27"/>
      <c r="B590" s="24"/>
      <c r="C590" s="24"/>
      <c r="D590" s="24"/>
      <c r="E590" s="28"/>
      <c r="F590" s="30" t="str">
        <f aca="false">IF($A590="","",$A590-WEEKDAY($A590,3))</f>
        <v/>
      </c>
      <c r="G590" s="29" t="str">
        <f aca="false">IF($A590="","",IF($F590=AsOf-WEEKDAY(AsOf,3),"Yes",""))</f>
        <v/>
      </c>
      <c r="H590" s="29" t="str">
        <f aca="false">IF($G590="Yes",$A590+ROW()/100000,"")</f>
        <v/>
      </c>
    </row>
    <row r="591" customFormat="false" ht="15" hidden="false" customHeight="false" outlineLevel="0" collapsed="false">
      <c r="A591" s="27"/>
      <c r="B591" s="24"/>
      <c r="C591" s="24"/>
      <c r="D591" s="24"/>
      <c r="E591" s="28"/>
      <c r="F591" s="30" t="str">
        <f aca="false">IF($A591="","",$A591-WEEKDAY($A591,3))</f>
        <v/>
      </c>
      <c r="G591" s="29" t="str">
        <f aca="false">IF($A591="","",IF($F591=AsOf-WEEKDAY(AsOf,3),"Yes",""))</f>
        <v/>
      </c>
      <c r="H591" s="29" t="str">
        <f aca="false">IF($G591="Yes",$A591+ROW()/100000,"")</f>
        <v/>
      </c>
    </row>
    <row r="592" customFormat="false" ht="15" hidden="false" customHeight="false" outlineLevel="0" collapsed="false">
      <c r="A592" s="27"/>
      <c r="B592" s="24"/>
      <c r="C592" s="24"/>
      <c r="D592" s="24"/>
      <c r="E592" s="28"/>
      <c r="F592" s="30" t="str">
        <f aca="false">IF($A592="","",$A592-WEEKDAY($A592,3))</f>
        <v/>
      </c>
      <c r="G592" s="29" t="str">
        <f aca="false">IF($A592="","",IF($F592=AsOf-WEEKDAY(AsOf,3),"Yes",""))</f>
        <v/>
      </c>
      <c r="H592" s="29" t="str">
        <f aca="false">IF($G592="Yes",$A592+ROW()/100000,"")</f>
        <v/>
      </c>
    </row>
    <row r="593" customFormat="false" ht="15" hidden="false" customHeight="false" outlineLevel="0" collapsed="false">
      <c r="A593" s="27"/>
      <c r="B593" s="24"/>
      <c r="C593" s="24"/>
      <c r="D593" s="24"/>
      <c r="E593" s="28"/>
      <c r="F593" s="30" t="str">
        <f aca="false">IF($A593="","",$A593-WEEKDAY($A593,3))</f>
        <v/>
      </c>
      <c r="G593" s="29" t="str">
        <f aca="false">IF($A593="","",IF($F593=AsOf-WEEKDAY(AsOf,3),"Yes",""))</f>
        <v/>
      </c>
      <c r="H593" s="29" t="str">
        <f aca="false">IF($G593="Yes",$A593+ROW()/100000,"")</f>
        <v/>
      </c>
    </row>
    <row r="594" customFormat="false" ht="15" hidden="false" customHeight="false" outlineLevel="0" collapsed="false">
      <c r="A594" s="27"/>
      <c r="B594" s="24"/>
      <c r="C594" s="24"/>
      <c r="D594" s="24"/>
      <c r="E594" s="28"/>
      <c r="F594" s="30" t="str">
        <f aca="false">IF($A594="","",$A594-WEEKDAY($A594,3))</f>
        <v/>
      </c>
      <c r="G594" s="29" t="str">
        <f aca="false">IF($A594="","",IF($F594=AsOf-WEEKDAY(AsOf,3),"Yes",""))</f>
        <v/>
      </c>
      <c r="H594" s="29" t="str">
        <f aca="false">IF($G594="Yes",$A594+ROW()/100000,"")</f>
        <v/>
      </c>
    </row>
    <row r="595" customFormat="false" ht="15" hidden="false" customHeight="false" outlineLevel="0" collapsed="false">
      <c r="A595" s="27"/>
      <c r="B595" s="24"/>
      <c r="C595" s="24"/>
      <c r="D595" s="24"/>
      <c r="E595" s="28"/>
      <c r="F595" s="30" t="str">
        <f aca="false">IF($A595="","",$A595-WEEKDAY($A595,3))</f>
        <v/>
      </c>
      <c r="G595" s="29" t="str">
        <f aca="false">IF($A595="","",IF($F595=AsOf-WEEKDAY(AsOf,3),"Yes",""))</f>
        <v/>
      </c>
      <c r="H595" s="29" t="str">
        <f aca="false">IF($G595="Yes",$A595+ROW()/100000,"")</f>
        <v/>
      </c>
    </row>
    <row r="596" customFormat="false" ht="15" hidden="false" customHeight="false" outlineLevel="0" collapsed="false">
      <c r="A596" s="27"/>
      <c r="B596" s="24"/>
      <c r="C596" s="24"/>
      <c r="D596" s="24"/>
      <c r="E596" s="28"/>
      <c r="F596" s="30" t="str">
        <f aca="false">IF($A596="","",$A596-WEEKDAY($A596,3))</f>
        <v/>
      </c>
      <c r="G596" s="29" t="str">
        <f aca="false">IF($A596="","",IF($F596=AsOf-WEEKDAY(AsOf,3),"Yes",""))</f>
        <v/>
      </c>
      <c r="H596" s="29" t="str">
        <f aca="false">IF($G596="Yes",$A596+ROW()/100000,"")</f>
        <v/>
      </c>
    </row>
    <row r="597" customFormat="false" ht="15" hidden="false" customHeight="false" outlineLevel="0" collapsed="false">
      <c r="A597" s="27"/>
      <c r="B597" s="24"/>
      <c r="C597" s="24"/>
      <c r="D597" s="24"/>
      <c r="E597" s="28"/>
      <c r="F597" s="30" t="str">
        <f aca="false">IF($A597="","",$A597-WEEKDAY($A597,3))</f>
        <v/>
      </c>
      <c r="G597" s="29" t="str">
        <f aca="false">IF($A597="","",IF($F597=AsOf-WEEKDAY(AsOf,3),"Yes",""))</f>
        <v/>
      </c>
      <c r="H597" s="29" t="str">
        <f aca="false">IF($G597="Yes",$A597+ROW()/100000,"")</f>
        <v/>
      </c>
    </row>
    <row r="598" customFormat="false" ht="15" hidden="false" customHeight="false" outlineLevel="0" collapsed="false">
      <c r="A598" s="27"/>
      <c r="B598" s="24"/>
      <c r="C598" s="24"/>
      <c r="D598" s="24"/>
      <c r="E598" s="28"/>
      <c r="F598" s="30" t="str">
        <f aca="false">IF($A598="","",$A598-WEEKDAY($A598,3))</f>
        <v/>
      </c>
      <c r="G598" s="29" t="str">
        <f aca="false">IF($A598="","",IF($F598=AsOf-WEEKDAY(AsOf,3),"Yes",""))</f>
        <v/>
      </c>
      <c r="H598" s="29" t="str">
        <f aca="false">IF($G598="Yes",$A598+ROW()/100000,"")</f>
        <v/>
      </c>
    </row>
    <row r="599" customFormat="false" ht="15" hidden="false" customHeight="false" outlineLevel="0" collapsed="false">
      <c r="A599" s="27"/>
      <c r="B599" s="24"/>
      <c r="C599" s="24"/>
      <c r="D599" s="24"/>
      <c r="E599" s="28"/>
      <c r="F599" s="30" t="str">
        <f aca="false">IF($A599="","",$A599-WEEKDAY($A599,3))</f>
        <v/>
      </c>
      <c r="G599" s="29" t="str">
        <f aca="false">IF($A599="","",IF($F599=AsOf-WEEKDAY(AsOf,3),"Yes",""))</f>
        <v/>
      </c>
      <c r="H599" s="29" t="str">
        <f aca="false">IF($G599="Yes",$A599+ROW()/100000,"")</f>
        <v/>
      </c>
    </row>
    <row r="600" customFormat="false" ht="15" hidden="false" customHeight="false" outlineLevel="0" collapsed="false">
      <c r="A600" s="27"/>
      <c r="B600" s="24"/>
      <c r="C600" s="24"/>
      <c r="D600" s="24"/>
      <c r="E600" s="28"/>
      <c r="F600" s="30" t="str">
        <f aca="false">IF($A600="","",$A600-WEEKDAY($A600,3))</f>
        <v/>
      </c>
      <c r="G600" s="29" t="str">
        <f aca="false">IF($A600="","",IF($F600=AsOf-WEEKDAY(AsOf,3),"Yes",""))</f>
        <v/>
      </c>
      <c r="H600" s="29" t="str">
        <f aca="false">IF($G600="Yes",$A600+ROW()/100000,"")</f>
        <v/>
      </c>
    </row>
    <row r="601" customFormat="false" ht="15" hidden="false" customHeight="false" outlineLevel="0" collapsed="false">
      <c r="A601" s="27"/>
      <c r="B601" s="24"/>
      <c r="C601" s="24"/>
      <c r="D601" s="24"/>
      <c r="E601" s="28"/>
      <c r="F601" s="30" t="str">
        <f aca="false">IF($A601="","",$A601-WEEKDAY($A601,3))</f>
        <v/>
      </c>
      <c r="G601" s="29" t="str">
        <f aca="false">IF($A601="","",IF($F601=AsOf-WEEKDAY(AsOf,3),"Yes",""))</f>
        <v/>
      </c>
      <c r="H601" s="29" t="str">
        <f aca="false">IF($G601="Yes",$A601+ROW()/100000,"")</f>
        <v/>
      </c>
    </row>
    <row r="602" customFormat="false" ht="15" hidden="false" customHeight="false" outlineLevel="0" collapsed="false">
      <c r="A602" s="27"/>
      <c r="B602" s="24"/>
      <c r="C602" s="24"/>
      <c r="D602" s="24"/>
      <c r="E602" s="28"/>
      <c r="F602" s="30" t="str">
        <f aca="false">IF($A602="","",$A602-WEEKDAY($A602,3))</f>
        <v/>
      </c>
      <c r="G602" s="29" t="str">
        <f aca="false">IF($A602="","",IF($F602=AsOf-WEEKDAY(AsOf,3),"Yes",""))</f>
        <v/>
      </c>
      <c r="H602" s="29" t="str">
        <f aca="false">IF($G602="Yes",$A602+ROW()/100000,"")</f>
        <v/>
      </c>
    </row>
    <row r="603" customFormat="false" ht="15" hidden="false" customHeight="false" outlineLevel="0" collapsed="false">
      <c r="A603" s="27"/>
      <c r="B603" s="24"/>
      <c r="C603" s="24"/>
      <c r="D603" s="24"/>
      <c r="E603" s="28"/>
      <c r="F603" s="30" t="str">
        <f aca="false">IF($A603="","",$A603-WEEKDAY($A603,3))</f>
        <v/>
      </c>
      <c r="G603" s="29" t="str">
        <f aca="false">IF($A603="","",IF($F603=AsOf-WEEKDAY(AsOf,3),"Yes",""))</f>
        <v/>
      </c>
      <c r="H603" s="29" t="str">
        <f aca="false">IF($G603="Yes",$A603+ROW()/100000,"")</f>
        <v/>
      </c>
    </row>
    <row r="604" customFormat="false" ht="15" hidden="false" customHeight="false" outlineLevel="0" collapsed="false">
      <c r="A604" s="27"/>
      <c r="B604" s="24"/>
      <c r="C604" s="24"/>
      <c r="D604" s="24"/>
      <c r="E604" s="28"/>
      <c r="F604" s="30" t="str">
        <f aca="false">IF($A604="","",$A604-WEEKDAY($A604,3))</f>
        <v/>
      </c>
      <c r="G604" s="29" t="str">
        <f aca="false">IF($A604="","",IF($F604=AsOf-WEEKDAY(AsOf,3),"Yes",""))</f>
        <v/>
      </c>
      <c r="H604" s="29" t="str">
        <f aca="false">IF($G604="Yes",$A604+ROW()/100000,"")</f>
        <v/>
      </c>
    </row>
    <row r="605" customFormat="false" ht="15" hidden="false" customHeight="false" outlineLevel="0" collapsed="false">
      <c r="A605" s="27"/>
      <c r="B605" s="24"/>
      <c r="C605" s="24"/>
      <c r="D605" s="24"/>
      <c r="E605" s="28"/>
      <c r="F605" s="30" t="str">
        <f aca="false">IF($A605="","",$A605-WEEKDAY($A605,3))</f>
        <v/>
      </c>
      <c r="G605" s="29" t="str">
        <f aca="false">IF($A605="","",IF($F605=AsOf-WEEKDAY(AsOf,3),"Yes",""))</f>
        <v/>
      </c>
      <c r="H605" s="29" t="str">
        <f aca="false">IF($G605="Yes",$A605+ROW()/100000,"")</f>
        <v/>
      </c>
    </row>
    <row r="606" customFormat="false" ht="15" hidden="false" customHeight="false" outlineLevel="0" collapsed="false">
      <c r="A606" s="27"/>
      <c r="B606" s="24"/>
      <c r="C606" s="24"/>
      <c r="D606" s="24"/>
      <c r="E606" s="28"/>
      <c r="F606" s="30" t="str">
        <f aca="false">IF($A606="","",$A606-WEEKDAY($A606,3))</f>
        <v/>
      </c>
      <c r="G606" s="29" t="str">
        <f aca="false">IF($A606="","",IF($F606=AsOf-WEEKDAY(AsOf,3),"Yes",""))</f>
        <v/>
      </c>
      <c r="H606" s="29" t="str">
        <f aca="false">IF($G606="Yes",$A606+ROW()/100000,"")</f>
        <v/>
      </c>
    </row>
    <row r="607" customFormat="false" ht="15" hidden="false" customHeight="false" outlineLevel="0" collapsed="false">
      <c r="A607" s="27"/>
      <c r="B607" s="24"/>
      <c r="C607" s="24"/>
      <c r="D607" s="24"/>
      <c r="E607" s="28"/>
      <c r="F607" s="30" t="str">
        <f aca="false">IF($A607="","",$A607-WEEKDAY($A607,3))</f>
        <v/>
      </c>
      <c r="G607" s="29" t="str">
        <f aca="false">IF($A607="","",IF($F607=AsOf-WEEKDAY(AsOf,3),"Yes",""))</f>
        <v/>
      </c>
      <c r="H607" s="29" t="str">
        <f aca="false">IF($G607="Yes",$A607+ROW()/100000,"")</f>
        <v/>
      </c>
    </row>
    <row r="608" customFormat="false" ht="15" hidden="false" customHeight="false" outlineLevel="0" collapsed="false">
      <c r="A608" s="27"/>
      <c r="B608" s="24"/>
      <c r="C608" s="24"/>
      <c r="D608" s="24"/>
      <c r="E608" s="28"/>
      <c r="F608" s="30" t="str">
        <f aca="false">IF($A608="","",$A608-WEEKDAY($A608,3))</f>
        <v/>
      </c>
      <c r="G608" s="29" t="str">
        <f aca="false">IF($A608="","",IF($F608=AsOf-WEEKDAY(AsOf,3),"Yes",""))</f>
        <v/>
      </c>
      <c r="H608" s="29" t="str">
        <f aca="false">IF($G608="Yes",$A608+ROW()/100000,"")</f>
        <v/>
      </c>
    </row>
    <row r="609" customFormat="false" ht="15" hidden="false" customHeight="false" outlineLevel="0" collapsed="false">
      <c r="A609" s="27"/>
      <c r="B609" s="24"/>
      <c r="C609" s="24"/>
      <c r="D609" s="24"/>
      <c r="E609" s="28"/>
      <c r="F609" s="30" t="str">
        <f aca="false">IF($A609="","",$A609-WEEKDAY($A609,3))</f>
        <v/>
      </c>
      <c r="G609" s="29" t="str">
        <f aca="false">IF($A609="","",IF($F609=AsOf-WEEKDAY(AsOf,3),"Yes",""))</f>
        <v/>
      </c>
      <c r="H609" s="29" t="str">
        <f aca="false">IF($G609="Yes",$A609+ROW()/100000,"")</f>
        <v/>
      </c>
    </row>
    <row r="610" customFormat="false" ht="15" hidden="false" customHeight="false" outlineLevel="0" collapsed="false">
      <c r="A610" s="27"/>
      <c r="B610" s="24"/>
      <c r="C610" s="24"/>
      <c r="D610" s="24"/>
      <c r="E610" s="28"/>
      <c r="F610" s="30" t="str">
        <f aca="false">IF($A610="","",$A610-WEEKDAY($A610,3))</f>
        <v/>
      </c>
      <c r="G610" s="29" t="str">
        <f aca="false">IF($A610="","",IF($F610=AsOf-WEEKDAY(AsOf,3),"Yes",""))</f>
        <v/>
      </c>
      <c r="H610" s="29" t="str">
        <f aca="false">IF($G610="Yes",$A610+ROW()/100000,"")</f>
        <v/>
      </c>
    </row>
    <row r="611" customFormat="false" ht="15" hidden="false" customHeight="false" outlineLevel="0" collapsed="false">
      <c r="A611" s="27"/>
      <c r="B611" s="24"/>
      <c r="C611" s="24"/>
      <c r="D611" s="24"/>
      <c r="E611" s="28"/>
      <c r="F611" s="30" t="str">
        <f aca="false">IF($A611="","",$A611-WEEKDAY($A611,3))</f>
        <v/>
      </c>
      <c r="G611" s="29" t="str">
        <f aca="false">IF($A611="","",IF($F611=AsOf-WEEKDAY(AsOf,3),"Yes",""))</f>
        <v/>
      </c>
      <c r="H611" s="29" t="str">
        <f aca="false">IF($G611="Yes",$A611+ROW()/100000,"")</f>
        <v/>
      </c>
    </row>
    <row r="612" customFormat="false" ht="15" hidden="false" customHeight="false" outlineLevel="0" collapsed="false">
      <c r="A612" s="27"/>
      <c r="B612" s="24"/>
      <c r="C612" s="24"/>
      <c r="D612" s="24"/>
      <c r="E612" s="28"/>
      <c r="F612" s="30" t="str">
        <f aca="false">IF($A612="","",$A612-WEEKDAY($A612,3))</f>
        <v/>
      </c>
      <c r="G612" s="29" t="str">
        <f aca="false">IF($A612="","",IF($F612=AsOf-WEEKDAY(AsOf,3),"Yes",""))</f>
        <v/>
      </c>
      <c r="H612" s="29" t="str">
        <f aca="false">IF($G612="Yes",$A612+ROW()/100000,"")</f>
        <v/>
      </c>
    </row>
    <row r="613" customFormat="false" ht="15" hidden="false" customHeight="false" outlineLevel="0" collapsed="false">
      <c r="A613" s="27"/>
      <c r="B613" s="24"/>
      <c r="C613" s="24"/>
      <c r="D613" s="24"/>
      <c r="E613" s="28"/>
      <c r="F613" s="30" t="str">
        <f aca="false">IF($A613="","",$A613-WEEKDAY($A613,3))</f>
        <v/>
      </c>
      <c r="G613" s="29" t="str">
        <f aca="false">IF($A613="","",IF($F613=AsOf-WEEKDAY(AsOf,3),"Yes",""))</f>
        <v/>
      </c>
      <c r="H613" s="29" t="str">
        <f aca="false">IF($G613="Yes",$A613+ROW()/100000,"")</f>
        <v/>
      </c>
    </row>
    <row r="614" customFormat="false" ht="15" hidden="false" customHeight="false" outlineLevel="0" collapsed="false">
      <c r="A614" s="27"/>
      <c r="B614" s="24"/>
      <c r="C614" s="24"/>
      <c r="D614" s="24"/>
      <c r="E614" s="28"/>
      <c r="F614" s="30" t="str">
        <f aca="false">IF($A614="","",$A614-WEEKDAY($A614,3))</f>
        <v/>
      </c>
      <c r="G614" s="29" t="str">
        <f aca="false">IF($A614="","",IF($F614=AsOf-WEEKDAY(AsOf,3),"Yes",""))</f>
        <v/>
      </c>
      <c r="H614" s="29" t="str">
        <f aca="false">IF($G614="Yes",$A614+ROW()/100000,"")</f>
        <v/>
      </c>
    </row>
    <row r="615" customFormat="false" ht="15" hidden="false" customHeight="false" outlineLevel="0" collapsed="false">
      <c r="A615" s="27"/>
      <c r="B615" s="24"/>
      <c r="C615" s="24"/>
      <c r="D615" s="24"/>
      <c r="E615" s="28"/>
      <c r="F615" s="30" t="str">
        <f aca="false">IF($A615="","",$A615-WEEKDAY($A615,3))</f>
        <v/>
      </c>
      <c r="G615" s="29" t="str">
        <f aca="false">IF($A615="","",IF($F615=AsOf-WEEKDAY(AsOf,3),"Yes",""))</f>
        <v/>
      </c>
      <c r="H615" s="29" t="str">
        <f aca="false">IF($G615="Yes",$A615+ROW()/100000,"")</f>
        <v/>
      </c>
    </row>
    <row r="616" customFormat="false" ht="15" hidden="false" customHeight="false" outlineLevel="0" collapsed="false">
      <c r="A616" s="27"/>
      <c r="B616" s="24"/>
      <c r="C616" s="24"/>
      <c r="D616" s="24"/>
      <c r="E616" s="28"/>
      <c r="F616" s="30" t="str">
        <f aca="false">IF($A616="","",$A616-WEEKDAY($A616,3))</f>
        <v/>
      </c>
      <c r="G616" s="29" t="str">
        <f aca="false">IF($A616="","",IF($F616=AsOf-WEEKDAY(AsOf,3),"Yes",""))</f>
        <v/>
      </c>
      <c r="H616" s="29" t="str">
        <f aca="false">IF($G616="Yes",$A616+ROW()/100000,"")</f>
        <v/>
      </c>
    </row>
    <row r="617" customFormat="false" ht="15" hidden="false" customHeight="false" outlineLevel="0" collapsed="false">
      <c r="A617" s="27"/>
      <c r="B617" s="24"/>
      <c r="C617" s="24"/>
      <c r="D617" s="24"/>
      <c r="E617" s="28"/>
      <c r="F617" s="30" t="str">
        <f aca="false">IF($A617="","",$A617-WEEKDAY($A617,3))</f>
        <v/>
      </c>
      <c r="G617" s="29" t="str">
        <f aca="false">IF($A617="","",IF($F617=AsOf-WEEKDAY(AsOf,3),"Yes",""))</f>
        <v/>
      </c>
      <c r="H617" s="29" t="str">
        <f aca="false">IF($G617="Yes",$A617+ROW()/100000,"")</f>
        <v/>
      </c>
    </row>
    <row r="618" customFormat="false" ht="15" hidden="false" customHeight="false" outlineLevel="0" collapsed="false">
      <c r="A618" s="27"/>
      <c r="B618" s="24"/>
      <c r="C618" s="24"/>
      <c r="D618" s="24"/>
      <c r="E618" s="28"/>
      <c r="F618" s="30" t="str">
        <f aca="false">IF($A618="","",$A618-WEEKDAY($A618,3))</f>
        <v/>
      </c>
      <c r="G618" s="29" t="str">
        <f aca="false">IF($A618="","",IF($F618=AsOf-WEEKDAY(AsOf,3),"Yes",""))</f>
        <v/>
      </c>
      <c r="H618" s="29" t="str">
        <f aca="false">IF($G618="Yes",$A618+ROW()/100000,"")</f>
        <v/>
      </c>
    </row>
    <row r="619" customFormat="false" ht="15" hidden="false" customHeight="false" outlineLevel="0" collapsed="false">
      <c r="A619" s="27"/>
      <c r="B619" s="24"/>
      <c r="C619" s="24"/>
      <c r="D619" s="24"/>
      <c r="E619" s="28"/>
      <c r="F619" s="30" t="str">
        <f aca="false">IF($A619="","",$A619-WEEKDAY($A619,3))</f>
        <v/>
      </c>
      <c r="G619" s="29" t="str">
        <f aca="false">IF($A619="","",IF($F619=AsOf-WEEKDAY(AsOf,3),"Yes",""))</f>
        <v/>
      </c>
      <c r="H619" s="29" t="str">
        <f aca="false">IF($G619="Yes",$A619+ROW()/100000,"")</f>
        <v/>
      </c>
    </row>
    <row r="620" customFormat="false" ht="15" hidden="false" customHeight="false" outlineLevel="0" collapsed="false">
      <c r="A620" s="27"/>
      <c r="B620" s="24"/>
      <c r="C620" s="24"/>
      <c r="D620" s="24"/>
      <c r="E620" s="28"/>
      <c r="F620" s="30" t="str">
        <f aca="false">IF($A620="","",$A620-WEEKDAY($A620,3))</f>
        <v/>
      </c>
      <c r="G620" s="29" t="str">
        <f aca="false">IF($A620="","",IF($F620=AsOf-WEEKDAY(AsOf,3),"Yes",""))</f>
        <v/>
      </c>
      <c r="H620" s="29" t="str">
        <f aca="false">IF($G620="Yes",$A620+ROW()/100000,"")</f>
        <v/>
      </c>
    </row>
    <row r="621" customFormat="false" ht="15" hidden="false" customHeight="false" outlineLevel="0" collapsed="false">
      <c r="A621" s="27"/>
      <c r="B621" s="24"/>
      <c r="C621" s="24"/>
      <c r="D621" s="24"/>
      <c r="E621" s="28"/>
      <c r="F621" s="30" t="str">
        <f aca="false">IF($A621="","",$A621-WEEKDAY($A621,3))</f>
        <v/>
      </c>
      <c r="G621" s="29" t="str">
        <f aca="false">IF($A621="","",IF($F621=AsOf-WEEKDAY(AsOf,3),"Yes",""))</f>
        <v/>
      </c>
      <c r="H621" s="29" t="str">
        <f aca="false">IF($G621="Yes",$A621+ROW()/100000,"")</f>
        <v/>
      </c>
    </row>
    <row r="622" customFormat="false" ht="15" hidden="false" customHeight="false" outlineLevel="0" collapsed="false">
      <c r="A622" s="27"/>
      <c r="B622" s="24"/>
      <c r="C622" s="24"/>
      <c r="D622" s="24"/>
      <c r="E622" s="28"/>
      <c r="F622" s="30" t="str">
        <f aca="false">IF($A622="","",$A622-WEEKDAY($A622,3))</f>
        <v/>
      </c>
      <c r="G622" s="29" t="str">
        <f aca="false">IF($A622="","",IF($F622=AsOf-WEEKDAY(AsOf,3),"Yes",""))</f>
        <v/>
      </c>
      <c r="H622" s="29" t="str">
        <f aca="false">IF($G622="Yes",$A622+ROW()/100000,"")</f>
        <v/>
      </c>
    </row>
    <row r="623" customFormat="false" ht="15" hidden="false" customHeight="false" outlineLevel="0" collapsed="false">
      <c r="A623" s="27"/>
      <c r="B623" s="24"/>
      <c r="C623" s="24"/>
      <c r="D623" s="24"/>
      <c r="E623" s="28"/>
      <c r="F623" s="30" t="str">
        <f aca="false">IF($A623="","",$A623-WEEKDAY($A623,3))</f>
        <v/>
      </c>
      <c r="G623" s="29" t="str">
        <f aca="false">IF($A623="","",IF($F623=AsOf-WEEKDAY(AsOf,3),"Yes",""))</f>
        <v/>
      </c>
      <c r="H623" s="29" t="str">
        <f aca="false">IF($G623="Yes",$A623+ROW()/100000,"")</f>
        <v/>
      </c>
    </row>
    <row r="624" customFormat="false" ht="15" hidden="false" customHeight="false" outlineLevel="0" collapsed="false">
      <c r="A624" s="27"/>
      <c r="B624" s="24"/>
      <c r="C624" s="24"/>
      <c r="D624" s="24"/>
      <c r="E624" s="28"/>
      <c r="F624" s="30" t="str">
        <f aca="false">IF($A624="","",$A624-WEEKDAY($A624,3))</f>
        <v/>
      </c>
      <c r="G624" s="29" t="str">
        <f aca="false">IF($A624="","",IF($F624=AsOf-WEEKDAY(AsOf,3),"Yes",""))</f>
        <v/>
      </c>
      <c r="H624" s="29" t="str">
        <f aca="false">IF($G624="Yes",$A624+ROW()/100000,"")</f>
        <v/>
      </c>
    </row>
    <row r="625" customFormat="false" ht="15" hidden="false" customHeight="false" outlineLevel="0" collapsed="false">
      <c r="A625" s="27"/>
      <c r="B625" s="24"/>
      <c r="C625" s="24"/>
      <c r="D625" s="24"/>
      <c r="E625" s="28"/>
      <c r="F625" s="30" t="str">
        <f aca="false">IF($A625="","",$A625-WEEKDAY($A625,3))</f>
        <v/>
      </c>
      <c r="G625" s="29" t="str">
        <f aca="false">IF($A625="","",IF($F625=AsOf-WEEKDAY(AsOf,3),"Yes",""))</f>
        <v/>
      </c>
      <c r="H625" s="29" t="str">
        <f aca="false">IF($G625="Yes",$A625+ROW()/100000,"")</f>
        <v/>
      </c>
    </row>
    <row r="626" customFormat="false" ht="15" hidden="false" customHeight="false" outlineLevel="0" collapsed="false">
      <c r="A626" s="27"/>
      <c r="B626" s="24"/>
      <c r="C626" s="24"/>
      <c r="D626" s="24"/>
      <c r="E626" s="28"/>
      <c r="F626" s="30" t="str">
        <f aca="false">IF($A626="","",$A626-WEEKDAY($A626,3))</f>
        <v/>
      </c>
      <c r="G626" s="29" t="str">
        <f aca="false">IF($A626="","",IF($F626=AsOf-WEEKDAY(AsOf,3),"Yes",""))</f>
        <v/>
      </c>
      <c r="H626" s="29" t="str">
        <f aca="false">IF($G626="Yes",$A626+ROW()/100000,"")</f>
        <v/>
      </c>
    </row>
    <row r="627" customFormat="false" ht="15" hidden="false" customHeight="false" outlineLevel="0" collapsed="false">
      <c r="A627" s="27"/>
      <c r="B627" s="24"/>
      <c r="C627" s="24"/>
      <c r="D627" s="24"/>
      <c r="E627" s="28"/>
      <c r="F627" s="30" t="str">
        <f aca="false">IF($A627="","",$A627-WEEKDAY($A627,3))</f>
        <v/>
      </c>
      <c r="G627" s="29" t="str">
        <f aca="false">IF($A627="","",IF($F627=AsOf-WEEKDAY(AsOf,3),"Yes",""))</f>
        <v/>
      </c>
      <c r="H627" s="29" t="str">
        <f aca="false">IF($G627="Yes",$A627+ROW()/100000,"")</f>
        <v/>
      </c>
    </row>
    <row r="628" customFormat="false" ht="15" hidden="false" customHeight="false" outlineLevel="0" collapsed="false">
      <c r="A628" s="27"/>
      <c r="B628" s="24"/>
      <c r="C628" s="24"/>
      <c r="D628" s="24"/>
      <c r="E628" s="28"/>
      <c r="F628" s="30" t="str">
        <f aca="false">IF($A628="","",$A628-WEEKDAY($A628,3))</f>
        <v/>
      </c>
      <c r="G628" s="29" t="str">
        <f aca="false">IF($A628="","",IF($F628=AsOf-WEEKDAY(AsOf,3),"Yes",""))</f>
        <v/>
      </c>
      <c r="H628" s="29" t="str">
        <f aca="false">IF($G628="Yes",$A628+ROW()/100000,"")</f>
        <v/>
      </c>
    </row>
    <row r="629" customFormat="false" ht="15" hidden="false" customHeight="false" outlineLevel="0" collapsed="false">
      <c r="A629" s="27"/>
      <c r="B629" s="24"/>
      <c r="C629" s="24"/>
      <c r="D629" s="24"/>
      <c r="E629" s="28"/>
      <c r="F629" s="30" t="str">
        <f aca="false">IF($A629="","",$A629-WEEKDAY($A629,3))</f>
        <v/>
      </c>
      <c r="G629" s="29" t="str">
        <f aca="false">IF($A629="","",IF($F629=AsOf-WEEKDAY(AsOf,3),"Yes",""))</f>
        <v/>
      </c>
      <c r="H629" s="29" t="str">
        <f aca="false">IF($G629="Yes",$A629+ROW()/100000,"")</f>
        <v/>
      </c>
    </row>
    <row r="630" customFormat="false" ht="15" hidden="false" customHeight="false" outlineLevel="0" collapsed="false">
      <c r="A630" s="27"/>
      <c r="B630" s="24"/>
      <c r="C630" s="24"/>
      <c r="D630" s="24"/>
      <c r="E630" s="28"/>
      <c r="F630" s="30" t="str">
        <f aca="false">IF($A630="","",$A630-WEEKDAY($A630,3))</f>
        <v/>
      </c>
      <c r="G630" s="29" t="str">
        <f aca="false">IF($A630="","",IF($F630=AsOf-WEEKDAY(AsOf,3),"Yes",""))</f>
        <v/>
      </c>
      <c r="H630" s="29" t="str">
        <f aca="false">IF($G630="Yes",$A630+ROW()/100000,"")</f>
        <v/>
      </c>
    </row>
    <row r="631" customFormat="false" ht="15" hidden="false" customHeight="false" outlineLevel="0" collapsed="false">
      <c r="A631" s="27"/>
      <c r="B631" s="24"/>
      <c r="C631" s="24"/>
      <c r="D631" s="24"/>
      <c r="E631" s="28"/>
      <c r="F631" s="30" t="str">
        <f aca="false">IF($A631="","",$A631-WEEKDAY($A631,3))</f>
        <v/>
      </c>
      <c r="G631" s="29" t="str">
        <f aca="false">IF($A631="","",IF($F631=AsOf-WEEKDAY(AsOf,3),"Yes",""))</f>
        <v/>
      </c>
      <c r="H631" s="29" t="str">
        <f aca="false">IF($G631="Yes",$A631+ROW()/100000,"")</f>
        <v/>
      </c>
    </row>
    <row r="632" customFormat="false" ht="15" hidden="false" customHeight="false" outlineLevel="0" collapsed="false">
      <c r="A632" s="27"/>
      <c r="B632" s="24"/>
      <c r="C632" s="24"/>
      <c r="D632" s="24"/>
      <c r="E632" s="28"/>
      <c r="F632" s="30" t="str">
        <f aca="false">IF($A632="","",$A632-WEEKDAY($A632,3))</f>
        <v/>
      </c>
      <c r="G632" s="29" t="str">
        <f aca="false">IF($A632="","",IF($F632=AsOf-WEEKDAY(AsOf,3),"Yes",""))</f>
        <v/>
      </c>
      <c r="H632" s="29" t="str">
        <f aca="false">IF($G632="Yes",$A632+ROW()/100000,"")</f>
        <v/>
      </c>
    </row>
    <row r="633" customFormat="false" ht="15" hidden="false" customHeight="false" outlineLevel="0" collapsed="false">
      <c r="A633" s="27"/>
      <c r="B633" s="24"/>
      <c r="C633" s="24"/>
      <c r="D633" s="24"/>
      <c r="E633" s="28"/>
      <c r="F633" s="30" t="str">
        <f aca="false">IF($A633="","",$A633-WEEKDAY($A633,3))</f>
        <v/>
      </c>
      <c r="G633" s="29" t="str">
        <f aca="false">IF($A633="","",IF($F633=AsOf-WEEKDAY(AsOf,3),"Yes",""))</f>
        <v/>
      </c>
      <c r="H633" s="29" t="str">
        <f aca="false">IF($G633="Yes",$A633+ROW()/100000,"")</f>
        <v/>
      </c>
    </row>
    <row r="634" customFormat="false" ht="15" hidden="false" customHeight="false" outlineLevel="0" collapsed="false">
      <c r="A634" s="27"/>
      <c r="B634" s="24"/>
      <c r="C634" s="24"/>
      <c r="D634" s="24"/>
      <c r="E634" s="28"/>
      <c r="F634" s="30" t="str">
        <f aca="false">IF($A634="","",$A634-WEEKDAY($A634,3))</f>
        <v/>
      </c>
      <c r="G634" s="29" t="str">
        <f aca="false">IF($A634="","",IF($F634=AsOf-WEEKDAY(AsOf,3),"Yes",""))</f>
        <v/>
      </c>
      <c r="H634" s="29" t="str">
        <f aca="false">IF($G634="Yes",$A634+ROW()/100000,"")</f>
        <v/>
      </c>
    </row>
    <row r="635" customFormat="false" ht="15" hidden="false" customHeight="false" outlineLevel="0" collapsed="false">
      <c r="A635" s="27"/>
      <c r="B635" s="24"/>
      <c r="C635" s="24"/>
      <c r="D635" s="24"/>
      <c r="E635" s="28"/>
      <c r="F635" s="30" t="str">
        <f aca="false">IF($A635="","",$A635-WEEKDAY($A635,3))</f>
        <v/>
      </c>
      <c r="G635" s="29" t="str">
        <f aca="false">IF($A635="","",IF($F635=AsOf-WEEKDAY(AsOf,3),"Yes",""))</f>
        <v/>
      </c>
      <c r="H635" s="29" t="str">
        <f aca="false">IF($G635="Yes",$A635+ROW()/100000,"")</f>
        <v/>
      </c>
    </row>
    <row r="636" customFormat="false" ht="15" hidden="false" customHeight="false" outlineLevel="0" collapsed="false">
      <c r="A636" s="27"/>
      <c r="B636" s="24"/>
      <c r="C636" s="24"/>
      <c r="D636" s="24"/>
      <c r="E636" s="28"/>
      <c r="F636" s="30" t="str">
        <f aca="false">IF($A636="","",$A636-WEEKDAY($A636,3))</f>
        <v/>
      </c>
      <c r="G636" s="29" t="str">
        <f aca="false">IF($A636="","",IF($F636=AsOf-WEEKDAY(AsOf,3),"Yes",""))</f>
        <v/>
      </c>
      <c r="H636" s="29" t="str">
        <f aca="false">IF($G636="Yes",$A636+ROW()/100000,"")</f>
        <v/>
      </c>
    </row>
    <row r="637" customFormat="false" ht="15" hidden="false" customHeight="false" outlineLevel="0" collapsed="false">
      <c r="A637" s="27"/>
      <c r="B637" s="24"/>
      <c r="C637" s="24"/>
      <c r="D637" s="24"/>
      <c r="E637" s="28"/>
      <c r="F637" s="30" t="str">
        <f aca="false">IF($A637="","",$A637-WEEKDAY($A637,3))</f>
        <v/>
      </c>
      <c r="G637" s="29" t="str">
        <f aca="false">IF($A637="","",IF($F637=AsOf-WEEKDAY(AsOf,3),"Yes",""))</f>
        <v/>
      </c>
      <c r="H637" s="29" t="str">
        <f aca="false">IF($G637="Yes",$A637+ROW()/100000,"")</f>
        <v/>
      </c>
    </row>
    <row r="638" customFormat="false" ht="15" hidden="false" customHeight="false" outlineLevel="0" collapsed="false">
      <c r="A638" s="27"/>
      <c r="B638" s="24"/>
      <c r="C638" s="24"/>
      <c r="D638" s="24"/>
      <c r="E638" s="28"/>
      <c r="F638" s="30" t="str">
        <f aca="false">IF($A638="","",$A638-WEEKDAY($A638,3))</f>
        <v/>
      </c>
      <c r="G638" s="29" t="str">
        <f aca="false">IF($A638="","",IF($F638=AsOf-WEEKDAY(AsOf,3),"Yes",""))</f>
        <v/>
      </c>
      <c r="H638" s="29" t="str">
        <f aca="false">IF($G638="Yes",$A638+ROW()/100000,"")</f>
        <v/>
      </c>
    </row>
    <row r="639" customFormat="false" ht="15" hidden="false" customHeight="false" outlineLevel="0" collapsed="false">
      <c r="A639" s="27"/>
      <c r="B639" s="24"/>
      <c r="C639" s="24"/>
      <c r="D639" s="24"/>
      <c r="E639" s="28"/>
      <c r="F639" s="30" t="str">
        <f aca="false">IF($A639="","",$A639-WEEKDAY($A639,3))</f>
        <v/>
      </c>
      <c r="G639" s="29" t="str">
        <f aca="false">IF($A639="","",IF($F639=AsOf-WEEKDAY(AsOf,3),"Yes",""))</f>
        <v/>
      </c>
      <c r="H639" s="29" t="str">
        <f aca="false">IF($G639="Yes",$A639+ROW()/100000,"")</f>
        <v/>
      </c>
    </row>
    <row r="640" customFormat="false" ht="15" hidden="false" customHeight="false" outlineLevel="0" collapsed="false">
      <c r="A640" s="27"/>
      <c r="B640" s="24"/>
      <c r="C640" s="24"/>
      <c r="D640" s="24"/>
      <c r="E640" s="28"/>
      <c r="F640" s="30" t="str">
        <f aca="false">IF($A640="","",$A640-WEEKDAY($A640,3))</f>
        <v/>
      </c>
      <c r="G640" s="29" t="str">
        <f aca="false">IF($A640="","",IF($F640=AsOf-WEEKDAY(AsOf,3),"Yes",""))</f>
        <v/>
      </c>
      <c r="H640" s="29" t="str">
        <f aca="false">IF($G640="Yes",$A640+ROW()/100000,"")</f>
        <v/>
      </c>
    </row>
    <row r="641" customFormat="false" ht="15" hidden="false" customHeight="false" outlineLevel="0" collapsed="false">
      <c r="A641" s="27"/>
      <c r="B641" s="24"/>
      <c r="C641" s="24"/>
      <c r="D641" s="24"/>
      <c r="E641" s="28"/>
      <c r="F641" s="30" t="str">
        <f aca="false">IF($A641="","",$A641-WEEKDAY($A641,3))</f>
        <v/>
      </c>
      <c r="G641" s="29" t="str">
        <f aca="false">IF($A641="","",IF($F641=AsOf-WEEKDAY(AsOf,3),"Yes",""))</f>
        <v/>
      </c>
      <c r="H641" s="29" t="str">
        <f aca="false">IF($G641="Yes",$A641+ROW()/100000,"")</f>
        <v/>
      </c>
    </row>
    <row r="642" customFormat="false" ht="15" hidden="false" customHeight="false" outlineLevel="0" collapsed="false">
      <c r="A642" s="27"/>
      <c r="B642" s="24"/>
      <c r="C642" s="24"/>
      <c r="D642" s="24"/>
      <c r="E642" s="28"/>
      <c r="F642" s="30" t="str">
        <f aca="false">IF($A642="","",$A642-WEEKDAY($A642,3))</f>
        <v/>
      </c>
      <c r="G642" s="29" t="str">
        <f aca="false">IF($A642="","",IF($F642=AsOf-WEEKDAY(AsOf,3),"Yes",""))</f>
        <v/>
      </c>
      <c r="H642" s="29" t="str">
        <f aca="false">IF($G642="Yes",$A642+ROW()/100000,"")</f>
        <v/>
      </c>
    </row>
    <row r="643" customFormat="false" ht="15" hidden="false" customHeight="false" outlineLevel="0" collapsed="false">
      <c r="A643" s="27"/>
      <c r="B643" s="24"/>
      <c r="C643" s="24"/>
      <c r="D643" s="24"/>
      <c r="E643" s="28"/>
      <c r="F643" s="30" t="str">
        <f aca="false">IF($A643="","",$A643-WEEKDAY($A643,3))</f>
        <v/>
      </c>
      <c r="G643" s="29" t="str">
        <f aca="false">IF($A643="","",IF($F643=AsOf-WEEKDAY(AsOf,3),"Yes",""))</f>
        <v/>
      </c>
      <c r="H643" s="29" t="str">
        <f aca="false">IF($G643="Yes",$A643+ROW()/100000,"")</f>
        <v/>
      </c>
    </row>
    <row r="644" customFormat="false" ht="15" hidden="false" customHeight="false" outlineLevel="0" collapsed="false">
      <c r="A644" s="27"/>
      <c r="B644" s="24"/>
      <c r="C644" s="24"/>
      <c r="D644" s="24"/>
      <c r="E644" s="28"/>
      <c r="F644" s="30" t="str">
        <f aca="false">IF($A644="","",$A644-WEEKDAY($A644,3))</f>
        <v/>
      </c>
      <c r="G644" s="29" t="str">
        <f aca="false">IF($A644="","",IF($F644=AsOf-WEEKDAY(AsOf,3),"Yes",""))</f>
        <v/>
      </c>
      <c r="H644" s="29" t="str">
        <f aca="false">IF($G644="Yes",$A644+ROW()/100000,"")</f>
        <v/>
      </c>
    </row>
    <row r="645" customFormat="false" ht="15" hidden="false" customHeight="false" outlineLevel="0" collapsed="false">
      <c r="A645" s="27"/>
      <c r="B645" s="24"/>
      <c r="C645" s="24"/>
      <c r="D645" s="24"/>
      <c r="E645" s="28"/>
      <c r="F645" s="30" t="str">
        <f aca="false">IF($A645="","",$A645-WEEKDAY($A645,3))</f>
        <v/>
      </c>
      <c r="G645" s="29" t="str">
        <f aca="false">IF($A645="","",IF($F645=AsOf-WEEKDAY(AsOf,3),"Yes",""))</f>
        <v/>
      </c>
      <c r="H645" s="29" t="str">
        <f aca="false">IF($G645="Yes",$A645+ROW()/100000,"")</f>
        <v/>
      </c>
    </row>
    <row r="646" customFormat="false" ht="15" hidden="false" customHeight="false" outlineLevel="0" collapsed="false">
      <c r="A646" s="27"/>
      <c r="B646" s="24"/>
      <c r="C646" s="24"/>
      <c r="D646" s="24"/>
      <c r="E646" s="28"/>
      <c r="F646" s="30" t="str">
        <f aca="false">IF($A646="","",$A646-WEEKDAY($A646,3))</f>
        <v/>
      </c>
      <c r="G646" s="29" t="str">
        <f aca="false">IF($A646="","",IF($F646=AsOf-WEEKDAY(AsOf,3),"Yes",""))</f>
        <v/>
      </c>
      <c r="H646" s="29" t="str">
        <f aca="false">IF($G646="Yes",$A646+ROW()/100000,"")</f>
        <v/>
      </c>
    </row>
    <row r="647" customFormat="false" ht="15" hidden="false" customHeight="false" outlineLevel="0" collapsed="false">
      <c r="A647" s="27"/>
      <c r="B647" s="24"/>
      <c r="C647" s="24"/>
      <c r="D647" s="24"/>
      <c r="E647" s="28"/>
      <c r="F647" s="30" t="str">
        <f aca="false">IF($A647="","",$A647-WEEKDAY($A647,3))</f>
        <v/>
      </c>
      <c r="G647" s="29" t="str">
        <f aca="false">IF($A647="","",IF($F647=AsOf-WEEKDAY(AsOf,3),"Yes",""))</f>
        <v/>
      </c>
      <c r="H647" s="29" t="str">
        <f aca="false">IF($G647="Yes",$A647+ROW()/100000,"")</f>
        <v/>
      </c>
    </row>
    <row r="648" customFormat="false" ht="15" hidden="false" customHeight="false" outlineLevel="0" collapsed="false">
      <c r="A648" s="27"/>
      <c r="B648" s="24"/>
      <c r="C648" s="24"/>
      <c r="D648" s="24"/>
      <c r="E648" s="28"/>
      <c r="F648" s="30" t="str">
        <f aca="false">IF($A648="","",$A648-WEEKDAY($A648,3))</f>
        <v/>
      </c>
      <c r="G648" s="29" t="str">
        <f aca="false">IF($A648="","",IF($F648=AsOf-WEEKDAY(AsOf,3),"Yes",""))</f>
        <v/>
      </c>
      <c r="H648" s="29" t="str">
        <f aca="false">IF($G648="Yes",$A648+ROW()/100000,"")</f>
        <v/>
      </c>
    </row>
    <row r="649" customFormat="false" ht="15" hidden="false" customHeight="false" outlineLevel="0" collapsed="false">
      <c r="A649" s="27"/>
      <c r="B649" s="24"/>
      <c r="C649" s="24"/>
      <c r="D649" s="24"/>
      <c r="E649" s="28"/>
      <c r="F649" s="30" t="str">
        <f aca="false">IF($A649="","",$A649-WEEKDAY($A649,3))</f>
        <v/>
      </c>
      <c r="G649" s="29" t="str">
        <f aca="false">IF($A649="","",IF($F649=AsOf-WEEKDAY(AsOf,3),"Yes",""))</f>
        <v/>
      </c>
      <c r="H649" s="29" t="str">
        <f aca="false">IF($G649="Yes",$A649+ROW()/100000,"")</f>
        <v/>
      </c>
    </row>
    <row r="650" customFormat="false" ht="15" hidden="false" customHeight="false" outlineLevel="0" collapsed="false">
      <c r="A650" s="27"/>
      <c r="B650" s="24"/>
      <c r="C650" s="24"/>
      <c r="D650" s="24"/>
      <c r="E650" s="28"/>
      <c r="F650" s="30" t="str">
        <f aca="false">IF($A650="","",$A650-WEEKDAY($A650,3))</f>
        <v/>
      </c>
      <c r="G650" s="29" t="str">
        <f aca="false">IF($A650="","",IF($F650=AsOf-WEEKDAY(AsOf,3),"Yes",""))</f>
        <v/>
      </c>
      <c r="H650" s="29" t="str">
        <f aca="false">IF($G650="Yes",$A650+ROW()/100000,"")</f>
        <v/>
      </c>
    </row>
    <row r="651" customFormat="false" ht="15" hidden="false" customHeight="false" outlineLevel="0" collapsed="false">
      <c r="A651" s="27"/>
      <c r="B651" s="24"/>
      <c r="C651" s="24"/>
      <c r="D651" s="24"/>
      <c r="E651" s="28"/>
      <c r="F651" s="30" t="str">
        <f aca="false">IF($A651="","",$A651-WEEKDAY($A651,3))</f>
        <v/>
      </c>
      <c r="G651" s="29" t="str">
        <f aca="false">IF($A651="","",IF($F651=AsOf-WEEKDAY(AsOf,3),"Yes",""))</f>
        <v/>
      </c>
      <c r="H651" s="29" t="str">
        <f aca="false">IF($G651="Yes",$A651+ROW()/100000,"")</f>
        <v/>
      </c>
    </row>
    <row r="652" customFormat="false" ht="15" hidden="false" customHeight="false" outlineLevel="0" collapsed="false">
      <c r="A652" s="27"/>
      <c r="B652" s="24"/>
      <c r="C652" s="24"/>
      <c r="D652" s="24"/>
      <c r="E652" s="28"/>
      <c r="F652" s="30" t="str">
        <f aca="false">IF($A652="","",$A652-WEEKDAY($A652,3))</f>
        <v/>
      </c>
      <c r="G652" s="29" t="str">
        <f aca="false">IF($A652="","",IF($F652=AsOf-WEEKDAY(AsOf,3),"Yes",""))</f>
        <v/>
      </c>
      <c r="H652" s="29" t="str">
        <f aca="false">IF($G652="Yes",$A652+ROW()/100000,"")</f>
        <v/>
      </c>
    </row>
    <row r="653" customFormat="false" ht="15" hidden="false" customHeight="false" outlineLevel="0" collapsed="false">
      <c r="A653" s="27"/>
      <c r="B653" s="24"/>
      <c r="C653" s="24"/>
      <c r="D653" s="24"/>
      <c r="E653" s="28"/>
      <c r="F653" s="30" t="str">
        <f aca="false">IF($A653="","",$A653-WEEKDAY($A653,3))</f>
        <v/>
      </c>
      <c r="G653" s="29" t="str">
        <f aca="false">IF($A653="","",IF($F653=AsOf-WEEKDAY(AsOf,3),"Yes",""))</f>
        <v/>
      </c>
      <c r="H653" s="29" t="str">
        <f aca="false">IF($G653="Yes",$A653+ROW()/100000,"")</f>
        <v/>
      </c>
    </row>
    <row r="654" customFormat="false" ht="15" hidden="false" customHeight="false" outlineLevel="0" collapsed="false">
      <c r="A654" s="27"/>
      <c r="B654" s="24"/>
      <c r="C654" s="24"/>
      <c r="D654" s="24"/>
      <c r="E654" s="28"/>
      <c r="F654" s="30" t="str">
        <f aca="false">IF($A654="","",$A654-WEEKDAY($A654,3))</f>
        <v/>
      </c>
      <c r="G654" s="29" t="str">
        <f aca="false">IF($A654="","",IF($F654=AsOf-WEEKDAY(AsOf,3),"Yes",""))</f>
        <v/>
      </c>
      <c r="H654" s="29" t="str">
        <f aca="false">IF($G654="Yes",$A654+ROW()/100000,"")</f>
        <v/>
      </c>
    </row>
    <row r="655" customFormat="false" ht="15" hidden="false" customHeight="false" outlineLevel="0" collapsed="false">
      <c r="A655" s="27"/>
      <c r="B655" s="24"/>
      <c r="C655" s="24"/>
      <c r="D655" s="24"/>
      <c r="E655" s="28"/>
      <c r="F655" s="30" t="str">
        <f aca="false">IF($A655="","",$A655-WEEKDAY($A655,3))</f>
        <v/>
      </c>
      <c r="G655" s="29" t="str">
        <f aca="false">IF($A655="","",IF($F655=AsOf-WEEKDAY(AsOf,3),"Yes",""))</f>
        <v/>
      </c>
      <c r="H655" s="29" t="str">
        <f aca="false">IF($G655="Yes",$A655+ROW()/100000,"")</f>
        <v/>
      </c>
    </row>
    <row r="656" customFormat="false" ht="15" hidden="false" customHeight="false" outlineLevel="0" collapsed="false">
      <c r="A656" s="27"/>
      <c r="B656" s="24"/>
      <c r="C656" s="24"/>
      <c r="D656" s="24"/>
      <c r="E656" s="28"/>
      <c r="F656" s="30" t="str">
        <f aca="false">IF($A656="","",$A656-WEEKDAY($A656,3))</f>
        <v/>
      </c>
      <c r="G656" s="29" t="str">
        <f aca="false">IF($A656="","",IF($F656=AsOf-WEEKDAY(AsOf,3),"Yes",""))</f>
        <v/>
      </c>
      <c r="H656" s="29" t="str">
        <f aca="false">IF($G656="Yes",$A656+ROW()/100000,"")</f>
        <v/>
      </c>
    </row>
    <row r="657" customFormat="false" ht="15" hidden="false" customHeight="false" outlineLevel="0" collapsed="false">
      <c r="A657" s="27"/>
      <c r="B657" s="24"/>
      <c r="C657" s="24"/>
      <c r="D657" s="24"/>
      <c r="E657" s="28"/>
      <c r="F657" s="30" t="str">
        <f aca="false">IF($A657="","",$A657-WEEKDAY($A657,3))</f>
        <v/>
      </c>
      <c r="G657" s="29" t="str">
        <f aca="false">IF($A657="","",IF($F657=AsOf-WEEKDAY(AsOf,3),"Yes",""))</f>
        <v/>
      </c>
      <c r="H657" s="29" t="str">
        <f aca="false">IF($G657="Yes",$A657+ROW()/100000,"")</f>
        <v/>
      </c>
    </row>
    <row r="658" customFormat="false" ht="15" hidden="false" customHeight="false" outlineLevel="0" collapsed="false">
      <c r="A658" s="27"/>
      <c r="B658" s="24"/>
      <c r="C658" s="24"/>
      <c r="D658" s="24"/>
      <c r="E658" s="28"/>
      <c r="F658" s="30" t="str">
        <f aca="false">IF($A658="","",$A658-WEEKDAY($A658,3))</f>
        <v/>
      </c>
      <c r="G658" s="29" t="str">
        <f aca="false">IF($A658="","",IF($F658=AsOf-WEEKDAY(AsOf,3),"Yes",""))</f>
        <v/>
      </c>
      <c r="H658" s="29" t="str">
        <f aca="false">IF($G658="Yes",$A658+ROW()/100000,"")</f>
        <v/>
      </c>
    </row>
    <row r="659" customFormat="false" ht="15" hidden="false" customHeight="false" outlineLevel="0" collapsed="false">
      <c r="A659" s="27"/>
      <c r="B659" s="24"/>
      <c r="C659" s="24"/>
      <c r="D659" s="24"/>
      <c r="E659" s="28"/>
      <c r="F659" s="30" t="str">
        <f aca="false">IF($A659="","",$A659-WEEKDAY($A659,3))</f>
        <v/>
      </c>
      <c r="G659" s="29" t="str">
        <f aca="false">IF($A659="","",IF($F659=AsOf-WEEKDAY(AsOf,3),"Yes",""))</f>
        <v/>
      </c>
      <c r="H659" s="29" t="str">
        <f aca="false">IF($G659="Yes",$A659+ROW()/100000,"")</f>
        <v/>
      </c>
    </row>
    <row r="660" customFormat="false" ht="15" hidden="false" customHeight="false" outlineLevel="0" collapsed="false">
      <c r="A660" s="27"/>
      <c r="B660" s="24"/>
      <c r="C660" s="24"/>
      <c r="D660" s="24"/>
      <c r="E660" s="28"/>
      <c r="F660" s="30" t="str">
        <f aca="false">IF($A660="","",$A660-WEEKDAY($A660,3))</f>
        <v/>
      </c>
      <c r="G660" s="29" t="str">
        <f aca="false">IF($A660="","",IF($F660=AsOf-WEEKDAY(AsOf,3),"Yes",""))</f>
        <v/>
      </c>
      <c r="H660" s="29" t="str">
        <f aca="false">IF($G660="Yes",$A660+ROW()/100000,"")</f>
        <v/>
      </c>
    </row>
    <row r="661" customFormat="false" ht="15" hidden="false" customHeight="false" outlineLevel="0" collapsed="false">
      <c r="A661" s="27"/>
      <c r="B661" s="24"/>
      <c r="C661" s="24"/>
      <c r="D661" s="24"/>
      <c r="E661" s="28"/>
      <c r="F661" s="30" t="str">
        <f aca="false">IF($A661="","",$A661-WEEKDAY($A661,3))</f>
        <v/>
      </c>
      <c r="G661" s="29" t="str">
        <f aca="false">IF($A661="","",IF($F661=AsOf-WEEKDAY(AsOf,3),"Yes",""))</f>
        <v/>
      </c>
      <c r="H661" s="29" t="str">
        <f aca="false">IF($G661="Yes",$A661+ROW()/100000,"")</f>
        <v/>
      </c>
    </row>
    <row r="662" customFormat="false" ht="15" hidden="false" customHeight="false" outlineLevel="0" collapsed="false">
      <c r="A662" s="27"/>
      <c r="B662" s="24"/>
      <c r="C662" s="24"/>
      <c r="D662" s="24"/>
      <c r="E662" s="28"/>
      <c r="F662" s="30" t="str">
        <f aca="false">IF($A662="","",$A662-WEEKDAY($A662,3))</f>
        <v/>
      </c>
      <c r="G662" s="29" t="str">
        <f aca="false">IF($A662="","",IF($F662=AsOf-WEEKDAY(AsOf,3),"Yes",""))</f>
        <v/>
      </c>
      <c r="H662" s="29" t="str">
        <f aca="false">IF($G662="Yes",$A662+ROW()/100000,"")</f>
        <v/>
      </c>
    </row>
    <row r="663" customFormat="false" ht="15" hidden="false" customHeight="false" outlineLevel="0" collapsed="false">
      <c r="A663" s="27"/>
      <c r="B663" s="24"/>
      <c r="C663" s="24"/>
      <c r="D663" s="24"/>
      <c r="E663" s="28"/>
      <c r="F663" s="30" t="str">
        <f aca="false">IF($A663="","",$A663-WEEKDAY($A663,3))</f>
        <v/>
      </c>
      <c r="G663" s="29" t="str">
        <f aca="false">IF($A663="","",IF($F663=AsOf-WEEKDAY(AsOf,3),"Yes",""))</f>
        <v/>
      </c>
      <c r="H663" s="29" t="str">
        <f aca="false">IF($G663="Yes",$A663+ROW()/100000,"")</f>
        <v/>
      </c>
    </row>
    <row r="664" customFormat="false" ht="15" hidden="false" customHeight="false" outlineLevel="0" collapsed="false">
      <c r="A664" s="27"/>
      <c r="B664" s="24"/>
      <c r="C664" s="24"/>
      <c r="D664" s="24"/>
      <c r="E664" s="28"/>
      <c r="F664" s="30" t="str">
        <f aca="false">IF($A664="","",$A664-WEEKDAY($A664,3))</f>
        <v/>
      </c>
      <c r="G664" s="29" t="str">
        <f aca="false">IF($A664="","",IF($F664=AsOf-WEEKDAY(AsOf,3),"Yes",""))</f>
        <v/>
      </c>
      <c r="H664" s="29" t="str">
        <f aca="false">IF($G664="Yes",$A664+ROW()/100000,"")</f>
        <v/>
      </c>
    </row>
    <row r="665" customFormat="false" ht="15" hidden="false" customHeight="false" outlineLevel="0" collapsed="false">
      <c r="A665" s="27"/>
      <c r="B665" s="24"/>
      <c r="C665" s="24"/>
      <c r="D665" s="24"/>
      <c r="E665" s="28"/>
      <c r="F665" s="30" t="str">
        <f aca="false">IF($A665="","",$A665-WEEKDAY($A665,3))</f>
        <v/>
      </c>
      <c r="G665" s="29" t="str">
        <f aca="false">IF($A665="","",IF($F665=AsOf-WEEKDAY(AsOf,3),"Yes",""))</f>
        <v/>
      </c>
      <c r="H665" s="29" t="str">
        <f aca="false">IF($G665="Yes",$A665+ROW()/100000,"")</f>
        <v/>
      </c>
    </row>
    <row r="666" customFormat="false" ht="15" hidden="false" customHeight="false" outlineLevel="0" collapsed="false">
      <c r="A666" s="27"/>
      <c r="B666" s="24"/>
      <c r="C666" s="24"/>
      <c r="D666" s="24"/>
      <c r="E666" s="28"/>
      <c r="F666" s="30" t="str">
        <f aca="false">IF($A666="","",$A666-WEEKDAY($A666,3))</f>
        <v/>
      </c>
      <c r="G666" s="29" t="str">
        <f aca="false">IF($A666="","",IF($F666=AsOf-WEEKDAY(AsOf,3),"Yes",""))</f>
        <v/>
      </c>
      <c r="H666" s="29" t="str">
        <f aca="false">IF($G666="Yes",$A666+ROW()/100000,"")</f>
        <v/>
      </c>
    </row>
    <row r="667" customFormat="false" ht="15" hidden="false" customHeight="false" outlineLevel="0" collapsed="false">
      <c r="A667" s="27"/>
      <c r="B667" s="24"/>
      <c r="C667" s="24"/>
      <c r="D667" s="24"/>
      <c r="E667" s="28"/>
      <c r="F667" s="30" t="str">
        <f aca="false">IF($A667="","",$A667-WEEKDAY($A667,3))</f>
        <v/>
      </c>
      <c r="G667" s="29" t="str">
        <f aca="false">IF($A667="","",IF($F667=AsOf-WEEKDAY(AsOf,3),"Yes",""))</f>
        <v/>
      </c>
      <c r="H667" s="29" t="str">
        <f aca="false">IF($G667="Yes",$A667+ROW()/100000,"")</f>
        <v/>
      </c>
    </row>
    <row r="668" customFormat="false" ht="15" hidden="false" customHeight="false" outlineLevel="0" collapsed="false">
      <c r="A668" s="27"/>
      <c r="B668" s="24"/>
      <c r="C668" s="24"/>
      <c r="D668" s="24"/>
      <c r="E668" s="28"/>
      <c r="F668" s="30" t="str">
        <f aca="false">IF($A668="","",$A668-WEEKDAY($A668,3))</f>
        <v/>
      </c>
      <c r="G668" s="29" t="str">
        <f aca="false">IF($A668="","",IF($F668=AsOf-WEEKDAY(AsOf,3),"Yes",""))</f>
        <v/>
      </c>
      <c r="H668" s="29" t="str">
        <f aca="false">IF($G668="Yes",$A668+ROW()/100000,"")</f>
        <v/>
      </c>
    </row>
    <row r="669" customFormat="false" ht="15" hidden="false" customHeight="false" outlineLevel="0" collapsed="false">
      <c r="A669" s="27"/>
      <c r="B669" s="24"/>
      <c r="C669" s="24"/>
      <c r="D669" s="24"/>
      <c r="E669" s="28"/>
      <c r="F669" s="30" t="str">
        <f aca="false">IF($A669="","",$A669-WEEKDAY($A669,3))</f>
        <v/>
      </c>
      <c r="G669" s="29" t="str">
        <f aca="false">IF($A669="","",IF($F669=AsOf-WEEKDAY(AsOf,3),"Yes",""))</f>
        <v/>
      </c>
      <c r="H669" s="29" t="str">
        <f aca="false">IF($G669="Yes",$A669+ROW()/100000,"")</f>
        <v/>
      </c>
    </row>
    <row r="670" customFormat="false" ht="15" hidden="false" customHeight="false" outlineLevel="0" collapsed="false">
      <c r="A670" s="27"/>
      <c r="B670" s="24"/>
      <c r="C670" s="24"/>
      <c r="D670" s="24"/>
      <c r="E670" s="28"/>
      <c r="F670" s="30" t="str">
        <f aca="false">IF($A670="","",$A670-WEEKDAY($A670,3))</f>
        <v/>
      </c>
      <c r="G670" s="29" t="str">
        <f aca="false">IF($A670="","",IF($F670=AsOf-WEEKDAY(AsOf,3),"Yes",""))</f>
        <v/>
      </c>
      <c r="H670" s="29" t="str">
        <f aca="false">IF($G670="Yes",$A670+ROW()/100000,"")</f>
        <v/>
      </c>
    </row>
    <row r="671" customFormat="false" ht="15" hidden="false" customHeight="false" outlineLevel="0" collapsed="false">
      <c r="A671" s="27"/>
      <c r="B671" s="24"/>
      <c r="C671" s="24"/>
      <c r="D671" s="24"/>
      <c r="E671" s="28"/>
      <c r="F671" s="30" t="str">
        <f aca="false">IF($A671="","",$A671-WEEKDAY($A671,3))</f>
        <v/>
      </c>
      <c r="G671" s="29" t="str">
        <f aca="false">IF($A671="","",IF($F671=AsOf-WEEKDAY(AsOf,3),"Yes",""))</f>
        <v/>
      </c>
      <c r="H671" s="29" t="str">
        <f aca="false">IF($G671="Yes",$A671+ROW()/100000,"")</f>
        <v/>
      </c>
    </row>
    <row r="672" customFormat="false" ht="15" hidden="false" customHeight="false" outlineLevel="0" collapsed="false">
      <c r="A672" s="27"/>
      <c r="B672" s="24"/>
      <c r="C672" s="24"/>
      <c r="D672" s="24"/>
      <c r="E672" s="28"/>
      <c r="F672" s="30" t="str">
        <f aca="false">IF($A672="","",$A672-WEEKDAY($A672,3))</f>
        <v/>
      </c>
      <c r="G672" s="29" t="str">
        <f aca="false">IF($A672="","",IF($F672=AsOf-WEEKDAY(AsOf,3),"Yes",""))</f>
        <v/>
      </c>
      <c r="H672" s="29" t="str">
        <f aca="false">IF($G672="Yes",$A672+ROW()/100000,"")</f>
        <v/>
      </c>
    </row>
    <row r="673" customFormat="false" ht="15" hidden="false" customHeight="false" outlineLevel="0" collapsed="false">
      <c r="A673" s="27"/>
      <c r="B673" s="24"/>
      <c r="C673" s="24"/>
      <c r="D673" s="24"/>
      <c r="E673" s="28"/>
      <c r="F673" s="30" t="str">
        <f aca="false">IF($A673="","",$A673-WEEKDAY($A673,3))</f>
        <v/>
      </c>
      <c r="G673" s="29" t="str">
        <f aca="false">IF($A673="","",IF($F673=AsOf-WEEKDAY(AsOf,3),"Yes",""))</f>
        <v/>
      </c>
      <c r="H673" s="29" t="str">
        <f aca="false">IF($G673="Yes",$A673+ROW()/100000,"")</f>
        <v/>
      </c>
    </row>
    <row r="674" customFormat="false" ht="15" hidden="false" customHeight="false" outlineLevel="0" collapsed="false">
      <c r="A674" s="27"/>
      <c r="B674" s="24"/>
      <c r="C674" s="24"/>
      <c r="D674" s="24"/>
      <c r="E674" s="28"/>
      <c r="F674" s="30" t="str">
        <f aca="false">IF($A674="","",$A674-WEEKDAY($A674,3))</f>
        <v/>
      </c>
      <c r="G674" s="29" t="str">
        <f aca="false">IF($A674="","",IF($F674=AsOf-WEEKDAY(AsOf,3),"Yes",""))</f>
        <v/>
      </c>
      <c r="H674" s="29" t="str">
        <f aca="false">IF($G674="Yes",$A674+ROW()/100000,"")</f>
        <v/>
      </c>
    </row>
    <row r="675" customFormat="false" ht="15" hidden="false" customHeight="false" outlineLevel="0" collapsed="false">
      <c r="A675" s="27"/>
      <c r="B675" s="24"/>
      <c r="C675" s="24"/>
      <c r="D675" s="24"/>
      <c r="E675" s="28"/>
      <c r="F675" s="30" t="str">
        <f aca="false">IF($A675="","",$A675-WEEKDAY($A675,3))</f>
        <v/>
      </c>
      <c r="G675" s="29" t="str">
        <f aca="false">IF($A675="","",IF($F675=AsOf-WEEKDAY(AsOf,3),"Yes",""))</f>
        <v/>
      </c>
      <c r="H675" s="29" t="str">
        <f aca="false">IF($G675="Yes",$A675+ROW()/100000,"")</f>
        <v/>
      </c>
    </row>
    <row r="676" customFormat="false" ht="15" hidden="false" customHeight="false" outlineLevel="0" collapsed="false">
      <c r="A676" s="27"/>
      <c r="B676" s="24"/>
      <c r="C676" s="24"/>
      <c r="D676" s="24"/>
      <c r="E676" s="28"/>
      <c r="F676" s="30" t="str">
        <f aca="false">IF($A676="","",$A676-WEEKDAY($A676,3))</f>
        <v/>
      </c>
      <c r="G676" s="29" t="str">
        <f aca="false">IF($A676="","",IF($F676=AsOf-WEEKDAY(AsOf,3),"Yes",""))</f>
        <v/>
      </c>
      <c r="H676" s="29" t="str">
        <f aca="false">IF($G676="Yes",$A676+ROW()/100000,"")</f>
        <v/>
      </c>
    </row>
    <row r="677" customFormat="false" ht="15" hidden="false" customHeight="false" outlineLevel="0" collapsed="false">
      <c r="A677" s="27"/>
      <c r="B677" s="24"/>
      <c r="C677" s="24"/>
      <c r="D677" s="24"/>
      <c r="E677" s="28"/>
      <c r="F677" s="30" t="str">
        <f aca="false">IF($A677="","",$A677-WEEKDAY($A677,3))</f>
        <v/>
      </c>
      <c r="G677" s="29" t="str">
        <f aca="false">IF($A677="","",IF($F677=AsOf-WEEKDAY(AsOf,3),"Yes",""))</f>
        <v/>
      </c>
      <c r="H677" s="29" t="str">
        <f aca="false">IF($G677="Yes",$A677+ROW()/100000,"")</f>
        <v/>
      </c>
    </row>
    <row r="678" customFormat="false" ht="15" hidden="false" customHeight="false" outlineLevel="0" collapsed="false">
      <c r="A678" s="27"/>
      <c r="B678" s="24"/>
      <c r="C678" s="24"/>
      <c r="D678" s="24"/>
      <c r="E678" s="28"/>
      <c r="F678" s="30" t="str">
        <f aca="false">IF($A678="","",$A678-WEEKDAY($A678,3))</f>
        <v/>
      </c>
      <c r="G678" s="29" t="str">
        <f aca="false">IF($A678="","",IF($F678=AsOf-WEEKDAY(AsOf,3),"Yes",""))</f>
        <v/>
      </c>
      <c r="H678" s="29" t="str">
        <f aca="false">IF($G678="Yes",$A678+ROW()/100000,"")</f>
        <v/>
      </c>
    </row>
    <row r="679" customFormat="false" ht="15" hidden="false" customHeight="false" outlineLevel="0" collapsed="false">
      <c r="A679" s="27"/>
      <c r="B679" s="24"/>
      <c r="C679" s="24"/>
      <c r="D679" s="24"/>
      <c r="E679" s="28"/>
      <c r="F679" s="30" t="str">
        <f aca="false">IF($A679="","",$A679-WEEKDAY($A679,3))</f>
        <v/>
      </c>
      <c r="G679" s="29" t="str">
        <f aca="false">IF($A679="","",IF($F679=AsOf-WEEKDAY(AsOf,3),"Yes",""))</f>
        <v/>
      </c>
      <c r="H679" s="29" t="str">
        <f aca="false">IF($G679="Yes",$A679+ROW()/100000,"")</f>
        <v/>
      </c>
    </row>
    <row r="680" customFormat="false" ht="15" hidden="false" customHeight="false" outlineLevel="0" collapsed="false">
      <c r="A680" s="27"/>
      <c r="B680" s="24"/>
      <c r="C680" s="24"/>
      <c r="D680" s="24"/>
      <c r="E680" s="28"/>
      <c r="F680" s="30" t="str">
        <f aca="false">IF($A680="","",$A680-WEEKDAY($A680,3))</f>
        <v/>
      </c>
      <c r="G680" s="29" t="str">
        <f aca="false">IF($A680="","",IF($F680=AsOf-WEEKDAY(AsOf,3),"Yes",""))</f>
        <v/>
      </c>
      <c r="H680" s="29" t="str">
        <f aca="false">IF($G680="Yes",$A680+ROW()/100000,"")</f>
        <v/>
      </c>
    </row>
    <row r="681" customFormat="false" ht="15" hidden="false" customHeight="false" outlineLevel="0" collapsed="false">
      <c r="A681" s="27"/>
      <c r="B681" s="24"/>
      <c r="C681" s="24"/>
      <c r="D681" s="24"/>
      <c r="E681" s="28"/>
      <c r="F681" s="30" t="str">
        <f aca="false">IF($A681="","",$A681-WEEKDAY($A681,3))</f>
        <v/>
      </c>
      <c r="G681" s="29" t="str">
        <f aca="false">IF($A681="","",IF($F681=AsOf-WEEKDAY(AsOf,3),"Yes",""))</f>
        <v/>
      </c>
      <c r="H681" s="29" t="str">
        <f aca="false">IF($G681="Yes",$A681+ROW()/100000,"")</f>
        <v/>
      </c>
    </row>
    <row r="682" customFormat="false" ht="15" hidden="false" customHeight="false" outlineLevel="0" collapsed="false">
      <c r="A682" s="27"/>
      <c r="B682" s="24"/>
      <c r="C682" s="24"/>
      <c r="D682" s="24"/>
      <c r="E682" s="28"/>
      <c r="F682" s="30" t="str">
        <f aca="false">IF($A682="","",$A682-WEEKDAY($A682,3))</f>
        <v/>
      </c>
      <c r="G682" s="29" t="str">
        <f aca="false">IF($A682="","",IF($F682=AsOf-WEEKDAY(AsOf,3),"Yes",""))</f>
        <v/>
      </c>
      <c r="H682" s="29" t="str">
        <f aca="false">IF($G682="Yes",$A682+ROW()/100000,"")</f>
        <v/>
      </c>
    </row>
    <row r="683" customFormat="false" ht="15" hidden="false" customHeight="false" outlineLevel="0" collapsed="false">
      <c r="A683" s="27"/>
      <c r="B683" s="24"/>
      <c r="C683" s="24"/>
      <c r="D683" s="24"/>
      <c r="E683" s="28"/>
      <c r="F683" s="30" t="str">
        <f aca="false">IF($A683="","",$A683-WEEKDAY($A683,3))</f>
        <v/>
      </c>
      <c r="G683" s="29" t="str">
        <f aca="false">IF($A683="","",IF($F683=AsOf-WEEKDAY(AsOf,3),"Yes",""))</f>
        <v/>
      </c>
      <c r="H683" s="29" t="str">
        <f aca="false">IF($G683="Yes",$A683+ROW()/100000,"")</f>
        <v/>
      </c>
    </row>
    <row r="684" customFormat="false" ht="15" hidden="false" customHeight="false" outlineLevel="0" collapsed="false">
      <c r="A684" s="27"/>
      <c r="B684" s="24"/>
      <c r="C684" s="24"/>
      <c r="D684" s="24"/>
      <c r="E684" s="28"/>
      <c r="F684" s="30" t="str">
        <f aca="false">IF($A684="","",$A684-WEEKDAY($A684,3))</f>
        <v/>
      </c>
      <c r="G684" s="29" t="str">
        <f aca="false">IF($A684="","",IF($F684=AsOf-WEEKDAY(AsOf,3),"Yes",""))</f>
        <v/>
      </c>
      <c r="H684" s="29" t="str">
        <f aca="false">IF($G684="Yes",$A684+ROW()/100000,"")</f>
        <v/>
      </c>
    </row>
    <row r="685" customFormat="false" ht="15" hidden="false" customHeight="false" outlineLevel="0" collapsed="false">
      <c r="A685" s="27"/>
      <c r="B685" s="24"/>
      <c r="C685" s="24"/>
      <c r="D685" s="24"/>
      <c r="E685" s="28"/>
      <c r="F685" s="30" t="str">
        <f aca="false">IF($A685="","",$A685-WEEKDAY($A685,3))</f>
        <v/>
      </c>
      <c r="G685" s="29" t="str">
        <f aca="false">IF($A685="","",IF($F685=AsOf-WEEKDAY(AsOf,3),"Yes",""))</f>
        <v/>
      </c>
      <c r="H685" s="29" t="str">
        <f aca="false">IF($G685="Yes",$A685+ROW()/100000,"")</f>
        <v/>
      </c>
    </row>
    <row r="686" customFormat="false" ht="15" hidden="false" customHeight="false" outlineLevel="0" collapsed="false">
      <c r="A686" s="27"/>
      <c r="B686" s="24"/>
      <c r="C686" s="24"/>
      <c r="D686" s="24"/>
      <c r="E686" s="28"/>
      <c r="F686" s="30" t="str">
        <f aca="false">IF($A686="","",$A686-WEEKDAY($A686,3))</f>
        <v/>
      </c>
      <c r="G686" s="29" t="str">
        <f aca="false">IF($A686="","",IF($F686=AsOf-WEEKDAY(AsOf,3),"Yes",""))</f>
        <v/>
      </c>
      <c r="H686" s="29" t="str">
        <f aca="false">IF($G686="Yes",$A686+ROW()/100000,"")</f>
        <v/>
      </c>
    </row>
    <row r="687" customFormat="false" ht="15" hidden="false" customHeight="false" outlineLevel="0" collapsed="false">
      <c r="A687" s="27"/>
      <c r="B687" s="24"/>
      <c r="C687" s="24"/>
      <c r="D687" s="24"/>
      <c r="E687" s="28"/>
      <c r="F687" s="30" t="str">
        <f aca="false">IF($A687="","",$A687-WEEKDAY($A687,3))</f>
        <v/>
      </c>
      <c r="G687" s="29" t="str">
        <f aca="false">IF($A687="","",IF($F687=AsOf-WEEKDAY(AsOf,3),"Yes",""))</f>
        <v/>
      </c>
      <c r="H687" s="29" t="str">
        <f aca="false">IF($G687="Yes",$A687+ROW()/100000,"")</f>
        <v/>
      </c>
    </row>
    <row r="688" customFormat="false" ht="15" hidden="false" customHeight="false" outlineLevel="0" collapsed="false">
      <c r="A688" s="27"/>
      <c r="B688" s="24"/>
      <c r="C688" s="24"/>
      <c r="D688" s="24"/>
      <c r="E688" s="28"/>
      <c r="F688" s="30" t="str">
        <f aca="false">IF($A688="","",$A688-WEEKDAY($A688,3))</f>
        <v/>
      </c>
      <c r="G688" s="29" t="str">
        <f aca="false">IF($A688="","",IF($F688=AsOf-WEEKDAY(AsOf,3),"Yes",""))</f>
        <v/>
      </c>
      <c r="H688" s="29" t="str">
        <f aca="false">IF($G688="Yes",$A688+ROW()/100000,"")</f>
        <v/>
      </c>
    </row>
    <row r="689" customFormat="false" ht="15" hidden="false" customHeight="false" outlineLevel="0" collapsed="false">
      <c r="A689" s="27"/>
      <c r="B689" s="24"/>
      <c r="C689" s="24"/>
      <c r="D689" s="24"/>
      <c r="E689" s="28"/>
      <c r="F689" s="30" t="str">
        <f aca="false">IF($A689="","",$A689-WEEKDAY($A689,3))</f>
        <v/>
      </c>
      <c r="G689" s="29" t="str">
        <f aca="false">IF($A689="","",IF($F689=AsOf-WEEKDAY(AsOf,3),"Yes",""))</f>
        <v/>
      </c>
      <c r="H689" s="29" t="str">
        <f aca="false">IF($G689="Yes",$A689+ROW()/100000,"")</f>
        <v/>
      </c>
    </row>
    <row r="690" customFormat="false" ht="15" hidden="false" customHeight="false" outlineLevel="0" collapsed="false">
      <c r="A690" s="27"/>
      <c r="B690" s="24"/>
      <c r="C690" s="24"/>
      <c r="D690" s="24"/>
      <c r="E690" s="28"/>
      <c r="F690" s="30" t="str">
        <f aca="false">IF($A690="","",$A690-WEEKDAY($A690,3))</f>
        <v/>
      </c>
      <c r="G690" s="29" t="str">
        <f aca="false">IF($A690="","",IF($F690=AsOf-WEEKDAY(AsOf,3),"Yes",""))</f>
        <v/>
      </c>
      <c r="H690" s="29" t="str">
        <f aca="false">IF($G690="Yes",$A690+ROW()/100000,"")</f>
        <v/>
      </c>
    </row>
    <row r="691" customFormat="false" ht="15" hidden="false" customHeight="false" outlineLevel="0" collapsed="false">
      <c r="A691" s="27"/>
      <c r="B691" s="24"/>
      <c r="C691" s="24"/>
      <c r="D691" s="24"/>
      <c r="E691" s="28"/>
      <c r="F691" s="30" t="str">
        <f aca="false">IF($A691="","",$A691-WEEKDAY($A691,3))</f>
        <v/>
      </c>
      <c r="G691" s="29" t="str">
        <f aca="false">IF($A691="","",IF($F691=AsOf-WEEKDAY(AsOf,3),"Yes",""))</f>
        <v/>
      </c>
      <c r="H691" s="29" t="str">
        <f aca="false">IF($G691="Yes",$A691+ROW()/100000,"")</f>
        <v/>
      </c>
    </row>
    <row r="692" customFormat="false" ht="15" hidden="false" customHeight="false" outlineLevel="0" collapsed="false">
      <c r="A692" s="27"/>
      <c r="B692" s="24"/>
      <c r="C692" s="24"/>
      <c r="D692" s="24"/>
      <c r="E692" s="28"/>
      <c r="F692" s="30" t="str">
        <f aca="false">IF($A692="","",$A692-WEEKDAY($A692,3))</f>
        <v/>
      </c>
      <c r="G692" s="29" t="str">
        <f aca="false">IF($A692="","",IF($F692=AsOf-WEEKDAY(AsOf,3),"Yes",""))</f>
        <v/>
      </c>
      <c r="H692" s="29" t="str">
        <f aca="false">IF($G692="Yes",$A692+ROW()/100000,"")</f>
        <v/>
      </c>
    </row>
    <row r="693" customFormat="false" ht="15" hidden="false" customHeight="false" outlineLevel="0" collapsed="false">
      <c r="A693" s="27"/>
      <c r="B693" s="24"/>
      <c r="C693" s="24"/>
      <c r="D693" s="24"/>
      <c r="E693" s="28"/>
      <c r="F693" s="30" t="str">
        <f aca="false">IF($A693="","",$A693-WEEKDAY($A693,3))</f>
        <v/>
      </c>
      <c r="G693" s="29" t="str">
        <f aca="false">IF($A693="","",IF($F693=AsOf-WEEKDAY(AsOf,3),"Yes",""))</f>
        <v/>
      </c>
      <c r="H693" s="29" t="str">
        <f aca="false">IF($G693="Yes",$A693+ROW()/100000,"")</f>
        <v/>
      </c>
    </row>
    <row r="694" customFormat="false" ht="15" hidden="false" customHeight="false" outlineLevel="0" collapsed="false">
      <c r="A694" s="27"/>
      <c r="B694" s="24"/>
      <c r="C694" s="24"/>
      <c r="D694" s="24"/>
      <c r="E694" s="28"/>
      <c r="F694" s="30" t="str">
        <f aca="false">IF($A694="","",$A694-WEEKDAY($A694,3))</f>
        <v/>
      </c>
      <c r="G694" s="29" t="str">
        <f aca="false">IF($A694="","",IF($F694=AsOf-WEEKDAY(AsOf,3),"Yes",""))</f>
        <v/>
      </c>
      <c r="H694" s="29" t="str">
        <f aca="false">IF($G694="Yes",$A694+ROW()/100000,"")</f>
        <v/>
      </c>
    </row>
    <row r="695" customFormat="false" ht="15" hidden="false" customHeight="false" outlineLevel="0" collapsed="false">
      <c r="A695" s="27"/>
      <c r="B695" s="24"/>
      <c r="C695" s="24"/>
      <c r="D695" s="24"/>
      <c r="E695" s="28"/>
      <c r="F695" s="30" t="str">
        <f aca="false">IF($A695="","",$A695-WEEKDAY($A695,3))</f>
        <v/>
      </c>
      <c r="G695" s="29" t="str">
        <f aca="false">IF($A695="","",IF($F695=AsOf-WEEKDAY(AsOf,3),"Yes",""))</f>
        <v/>
      </c>
      <c r="H695" s="29" t="str">
        <f aca="false">IF($G695="Yes",$A695+ROW()/100000,"")</f>
        <v/>
      </c>
    </row>
    <row r="696" customFormat="false" ht="15" hidden="false" customHeight="false" outlineLevel="0" collapsed="false">
      <c r="A696" s="27"/>
      <c r="B696" s="24"/>
      <c r="C696" s="24"/>
      <c r="D696" s="24"/>
      <c r="E696" s="28"/>
      <c r="F696" s="30" t="str">
        <f aca="false">IF($A696="","",$A696-WEEKDAY($A696,3))</f>
        <v/>
      </c>
      <c r="G696" s="29" t="str">
        <f aca="false">IF($A696="","",IF($F696=AsOf-WEEKDAY(AsOf,3),"Yes",""))</f>
        <v/>
      </c>
      <c r="H696" s="29" t="str">
        <f aca="false">IF($G696="Yes",$A696+ROW()/100000,"")</f>
        <v/>
      </c>
    </row>
    <row r="697" customFormat="false" ht="15" hidden="false" customHeight="false" outlineLevel="0" collapsed="false">
      <c r="A697" s="27"/>
      <c r="B697" s="24"/>
      <c r="C697" s="24"/>
      <c r="D697" s="24"/>
      <c r="E697" s="28"/>
      <c r="F697" s="30" t="str">
        <f aca="false">IF($A697="","",$A697-WEEKDAY($A697,3))</f>
        <v/>
      </c>
      <c r="G697" s="29" t="str">
        <f aca="false">IF($A697="","",IF($F697=AsOf-WEEKDAY(AsOf,3),"Yes",""))</f>
        <v/>
      </c>
      <c r="H697" s="29" t="str">
        <f aca="false">IF($G697="Yes",$A697+ROW()/100000,"")</f>
        <v/>
      </c>
    </row>
    <row r="698" customFormat="false" ht="15" hidden="false" customHeight="false" outlineLevel="0" collapsed="false">
      <c r="A698" s="27"/>
      <c r="B698" s="24"/>
      <c r="C698" s="24"/>
      <c r="D698" s="24"/>
      <c r="E698" s="28"/>
      <c r="F698" s="30" t="str">
        <f aca="false">IF($A698="","",$A698-WEEKDAY($A698,3))</f>
        <v/>
      </c>
      <c r="G698" s="29" t="str">
        <f aca="false">IF($A698="","",IF($F698=AsOf-WEEKDAY(AsOf,3),"Yes",""))</f>
        <v/>
      </c>
      <c r="H698" s="29" t="str">
        <f aca="false">IF($G698="Yes",$A698+ROW()/100000,"")</f>
        <v/>
      </c>
    </row>
    <row r="699" customFormat="false" ht="15" hidden="false" customHeight="false" outlineLevel="0" collapsed="false">
      <c r="A699" s="27"/>
      <c r="B699" s="24"/>
      <c r="C699" s="24"/>
      <c r="D699" s="24"/>
      <c r="E699" s="28"/>
      <c r="F699" s="30" t="str">
        <f aca="false">IF($A699="","",$A699-WEEKDAY($A699,3))</f>
        <v/>
      </c>
      <c r="G699" s="29" t="str">
        <f aca="false">IF($A699="","",IF($F699=AsOf-WEEKDAY(AsOf,3),"Yes",""))</f>
        <v/>
      </c>
      <c r="H699" s="29" t="str">
        <f aca="false">IF($G699="Yes",$A699+ROW()/100000,"")</f>
        <v/>
      </c>
    </row>
    <row r="700" customFormat="false" ht="15" hidden="false" customHeight="false" outlineLevel="0" collapsed="false">
      <c r="A700" s="27"/>
      <c r="B700" s="24"/>
      <c r="C700" s="24"/>
      <c r="D700" s="24"/>
      <c r="E700" s="28"/>
      <c r="F700" s="30" t="str">
        <f aca="false">IF($A700="","",$A700-WEEKDAY($A700,3))</f>
        <v/>
      </c>
      <c r="G700" s="29" t="str">
        <f aca="false">IF($A700="","",IF($F700=AsOf-WEEKDAY(AsOf,3),"Yes",""))</f>
        <v/>
      </c>
      <c r="H700" s="29" t="str">
        <f aca="false">IF($G700="Yes",$A700+ROW()/100000,"")</f>
        <v/>
      </c>
    </row>
    <row r="701" customFormat="false" ht="15" hidden="false" customHeight="false" outlineLevel="0" collapsed="false">
      <c r="A701" s="27"/>
      <c r="B701" s="24"/>
      <c r="C701" s="24"/>
      <c r="D701" s="24"/>
      <c r="E701" s="28"/>
      <c r="F701" s="30" t="str">
        <f aca="false">IF($A701="","",$A701-WEEKDAY($A701,3))</f>
        <v/>
      </c>
      <c r="G701" s="29" t="str">
        <f aca="false">IF($A701="","",IF($F701=AsOf-WEEKDAY(AsOf,3),"Yes",""))</f>
        <v/>
      </c>
      <c r="H701" s="29" t="str">
        <f aca="false">IF($G701="Yes",$A701+ROW()/100000,"")</f>
        <v/>
      </c>
    </row>
    <row r="702" customFormat="false" ht="15" hidden="false" customHeight="false" outlineLevel="0" collapsed="false">
      <c r="A702" s="27"/>
      <c r="B702" s="24"/>
      <c r="C702" s="24"/>
      <c r="D702" s="24"/>
      <c r="E702" s="28"/>
      <c r="F702" s="30" t="str">
        <f aca="false">IF($A702="","",$A702-WEEKDAY($A702,3))</f>
        <v/>
      </c>
      <c r="G702" s="29" t="str">
        <f aca="false">IF($A702="","",IF($F702=AsOf-WEEKDAY(AsOf,3),"Yes",""))</f>
        <v/>
      </c>
      <c r="H702" s="29" t="str">
        <f aca="false">IF($G702="Yes",$A702+ROW()/100000,"")</f>
        <v/>
      </c>
    </row>
    <row r="703" customFormat="false" ht="15" hidden="false" customHeight="false" outlineLevel="0" collapsed="false">
      <c r="A703" s="27"/>
      <c r="B703" s="24"/>
      <c r="C703" s="24"/>
      <c r="D703" s="24"/>
      <c r="E703" s="28"/>
      <c r="F703" s="30" t="str">
        <f aca="false">IF($A703="","",$A703-WEEKDAY($A703,3))</f>
        <v/>
      </c>
      <c r="G703" s="29" t="str">
        <f aca="false">IF($A703="","",IF($F703=AsOf-WEEKDAY(AsOf,3),"Yes",""))</f>
        <v/>
      </c>
      <c r="H703" s="29" t="str">
        <f aca="false">IF($G703="Yes",$A703+ROW()/100000,"")</f>
        <v/>
      </c>
    </row>
    <row r="704" customFormat="false" ht="15" hidden="false" customHeight="false" outlineLevel="0" collapsed="false">
      <c r="A704" s="27"/>
      <c r="B704" s="24"/>
      <c r="C704" s="24"/>
      <c r="D704" s="24"/>
      <c r="E704" s="28"/>
      <c r="F704" s="30" t="str">
        <f aca="false">IF($A704="","",$A704-WEEKDAY($A704,3))</f>
        <v/>
      </c>
      <c r="G704" s="29" t="str">
        <f aca="false">IF($A704="","",IF($F704=AsOf-WEEKDAY(AsOf,3),"Yes",""))</f>
        <v/>
      </c>
      <c r="H704" s="29" t="str">
        <f aca="false">IF($G704="Yes",$A704+ROW()/100000,"")</f>
        <v/>
      </c>
    </row>
    <row r="705" customFormat="false" ht="15" hidden="false" customHeight="false" outlineLevel="0" collapsed="false">
      <c r="A705" s="27"/>
      <c r="B705" s="24"/>
      <c r="C705" s="24"/>
      <c r="D705" s="24"/>
      <c r="E705" s="28"/>
      <c r="F705" s="30" t="str">
        <f aca="false">IF($A705="","",$A705-WEEKDAY($A705,3))</f>
        <v/>
      </c>
      <c r="G705" s="29" t="str">
        <f aca="false">IF($A705="","",IF($F705=AsOf-WEEKDAY(AsOf,3),"Yes",""))</f>
        <v/>
      </c>
      <c r="H705" s="29" t="str">
        <f aca="false">IF($G705="Yes",$A705+ROW()/100000,"")</f>
        <v/>
      </c>
    </row>
    <row r="706" customFormat="false" ht="15" hidden="false" customHeight="false" outlineLevel="0" collapsed="false">
      <c r="A706" s="27"/>
      <c r="B706" s="24"/>
      <c r="C706" s="24"/>
      <c r="D706" s="24"/>
      <c r="E706" s="28"/>
      <c r="F706" s="30" t="str">
        <f aca="false">IF($A706="","",$A706-WEEKDAY($A706,3))</f>
        <v/>
      </c>
      <c r="G706" s="29" t="str">
        <f aca="false">IF($A706="","",IF($F706=AsOf-WEEKDAY(AsOf,3),"Yes",""))</f>
        <v/>
      </c>
      <c r="H706" s="29" t="str">
        <f aca="false">IF($G706="Yes",$A706+ROW()/100000,"")</f>
        <v/>
      </c>
    </row>
    <row r="707" customFormat="false" ht="15" hidden="false" customHeight="false" outlineLevel="0" collapsed="false">
      <c r="A707" s="27"/>
      <c r="B707" s="24"/>
      <c r="C707" s="24"/>
      <c r="D707" s="24"/>
      <c r="E707" s="28"/>
      <c r="F707" s="30" t="str">
        <f aca="false">IF($A707="","",$A707-WEEKDAY($A707,3))</f>
        <v/>
      </c>
      <c r="G707" s="29" t="str">
        <f aca="false">IF($A707="","",IF($F707=AsOf-WEEKDAY(AsOf,3),"Yes",""))</f>
        <v/>
      </c>
      <c r="H707" s="29" t="str">
        <f aca="false">IF($G707="Yes",$A707+ROW()/100000,"")</f>
        <v/>
      </c>
    </row>
    <row r="708" customFormat="false" ht="15" hidden="false" customHeight="false" outlineLevel="0" collapsed="false">
      <c r="A708" s="27"/>
      <c r="B708" s="24"/>
      <c r="C708" s="24"/>
      <c r="D708" s="24"/>
      <c r="E708" s="28"/>
      <c r="F708" s="30" t="str">
        <f aca="false">IF($A708="","",$A708-WEEKDAY($A708,3))</f>
        <v/>
      </c>
      <c r="G708" s="29" t="str">
        <f aca="false">IF($A708="","",IF($F708=AsOf-WEEKDAY(AsOf,3),"Yes",""))</f>
        <v/>
      </c>
      <c r="H708" s="29" t="str">
        <f aca="false">IF($G708="Yes",$A708+ROW()/100000,"")</f>
        <v/>
      </c>
    </row>
    <row r="709" customFormat="false" ht="15" hidden="false" customHeight="false" outlineLevel="0" collapsed="false">
      <c r="A709" s="27"/>
      <c r="B709" s="24"/>
      <c r="C709" s="24"/>
      <c r="D709" s="24"/>
      <c r="E709" s="28"/>
      <c r="F709" s="30" t="str">
        <f aca="false">IF($A709="","",$A709-WEEKDAY($A709,3))</f>
        <v/>
      </c>
      <c r="G709" s="29" t="str">
        <f aca="false">IF($A709="","",IF($F709=AsOf-WEEKDAY(AsOf,3),"Yes",""))</f>
        <v/>
      </c>
      <c r="H709" s="29" t="str">
        <f aca="false">IF($G709="Yes",$A709+ROW()/100000,"")</f>
        <v/>
      </c>
    </row>
    <row r="710" customFormat="false" ht="15" hidden="false" customHeight="false" outlineLevel="0" collapsed="false">
      <c r="A710" s="27"/>
      <c r="B710" s="24"/>
      <c r="C710" s="24"/>
      <c r="D710" s="24"/>
      <c r="E710" s="28"/>
      <c r="F710" s="30" t="str">
        <f aca="false">IF($A710="","",$A710-WEEKDAY($A710,3))</f>
        <v/>
      </c>
      <c r="G710" s="29" t="str">
        <f aca="false">IF($A710="","",IF($F710=AsOf-WEEKDAY(AsOf,3),"Yes",""))</f>
        <v/>
      </c>
      <c r="H710" s="29" t="str">
        <f aca="false">IF($G710="Yes",$A710+ROW()/100000,"")</f>
        <v/>
      </c>
    </row>
    <row r="711" customFormat="false" ht="15" hidden="false" customHeight="false" outlineLevel="0" collapsed="false">
      <c r="A711" s="27"/>
      <c r="B711" s="24"/>
      <c r="C711" s="24"/>
      <c r="D711" s="24"/>
      <c r="E711" s="28"/>
      <c r="F711" s="30" t="str">
        <f aca="false">IF($A711="","",$A711-WEEKDAY($A711,3))</f>
        <v/>
      </c>
      <c r="G711" s="29" t="str">
        <f aca="false">IF($A711="","",IF($F711=AsOf-WEEKDAY(AsOf,3),"Yes",""))</f>
        <v/>
      </c>
      <c r="H711" s="29" t="str">
        <f aca="false">IF($G711="Yes",$A711+ROW()/100000,"")</f>
        <v/>
      </c>
    </row>
    <row r="712" customFormat="false" ht="15" hidden="false" customHeight="false" outlineLevel="0" collapsed="false">
      <c r="A712" s="27"/>
      <c r="B712" s="24"/>
      <c r="C712" s="24"/>
      <c r="D712" s="24"/>
      <c r="E712" s="28"/>
      <c r="F712" s="30" t="str">
        <f aca="false">IF($A712="","",$A712-WEEKDAY($A712,3))</f>
        <v/>
      </c>
      <c r="G712" s="29" t="str">
        <f aca="false">IF($A712="","",IF($F712=AsOf-WEEKDAY(AsOf,3),"Yes",""))</f>
        <v/>
      </c>
      <c r="H712" s="29" t="str">
        <f aca="false">IF($G712="Yes",$A712+ROW()/100000,"")</f>
        <v/>
      </c>
    </row>
    <row r="713" customFormat="false" ht="15" hidden="false" customHeight="false" outlineLevel="0" collapsed="false">
      <c r="A713" s="27"/>
      <c r="B713" s="24"/>
      <c r="C713" s="24"/>
      <c r="D713" s="24"/>
      <c r="E713" s="28"/>
      <c r="F713" s="30" t="str">
        <f aca="false">IF($A713="","",$A713-WEEKDAY($A713,3))</f>
        <v/>
      </c>
      <c r="G713" s="29" t="str">
        <f aca="false">IF($A713="","",IF($F713=AsOf-WEEKDAY(AsOf,3),"Yes",""))</f>
        <v/>
      </c>
      <c r="H713" s="29" t="str">
        <f aca="false">IF($G713="Yes",$A713+ROW()/100000,"")</f>
        <v/>
      </c>
    </row>
    <row r="714" customFormat="false" ht="15" hidden="false" customHeight="false" outlineLevel="0" collapsed="false">
      <c r="A714" s="27"/>
      <c r="B714" s="24"/>
      <c r="C714" s="24"/>
      <c r="D714" s="24"/>
      <c r="E714" s="28"/>
      <c r="F714" s="30" t="str">
        <f aca="false">IF($A714="","",$A714-WEEKDAY($A714,3))</f>
        <v/>
      </c>
      <c r="G714" s="29" t="str">
        <f aca="false">IF($A714="","",IF($F714=AsOf-WEEKDAY(AsOf,3),"Yes",""))</f>
        <v/>
      </c>
      <c r="H714" s="29" t="str">
        <f aca="false">IF($G714="Yes",$A714+ROW()/100000,"")</f>
        <v/>
      </c>
    </row>
    <row r="715" customFormat="false" ht="15" hidden="false" customHeight="false" outlineLevel="0" collapsed="false">
      <c r="A715" s="27"/>
      <c r="B715" s="24"/>
      <c r="C715" s="24"/>
      <c r="D715" s="24"/>
      <c r="E715" s="28"/>
      <c r="F715" s="30" t="str">
        <f aca="false">IF($A715="","",$A715-WEEKDAY($A715,3))</f>
        <v/>
      </c>
      <c r="G715" s="29" t="str">
        <f aca="false">IF($A715="","",IF($F715=AsOf-WEEKDAY(AsOf,3),"Yes",""))</f>
        <v/>
      </c>
      <c r="H715" s="29" t="str">
        <f aca="false">IF($G715="Yes",$A715+ROW()/100000,"")</f>
        <v/>
      </c>
    </row>
    <row r="716" customFormat="false" ht="15" hidden="false" customHeight="false" outlineLevel="0" collapsed="false">
      <c r="A716" s="27"/>
      <c r="B716" s="24"/>
      <c r="C716" s="24"/>
      <c r="D716" s="24"/>
      <c r="E716" s="28"/>
      <c r="F716" s="30" t="str">
        <f aca="false">IF($A716="","",$A716-WEEKDAY($A716,3))</f>
        <v/>
      </c>
      <c r="G716" s="29" t="str">
        <f aca="false">IF($A716="","",IF($F716=AsOf-WEEKDAY(AsOf,3),"Yes",""))</f>
        <v/>
      </c>
      <c r="H716" s="29" t="str">
        <f aca="false">IF($G716="Yes",$A716+ROW()/100000,"")</f>
        <v/>
      </c>
    </row>
    <row r="717" customFormat="false" ht="15" hidden="false" customHeight="false" outlineLevel="0" collapsed="false">
      <c r="A717" s="27"/>
      <c r="B717" s="24"/>
      <c r="C717" s="24"/>
      <c r="D717" s="24"/>
      <c r="E717" s="28"/>
      <c r="F717" s="30" t="str">
        <f aca="false">IF($A717="","",$A717-WEEKDAY($A717,3))</f>
        <v/>
      </c>
      <c r="G717" s="29" t="str">
        <f aca="false">IF($A717="","",IF($F717=AsOf-WEEKDAY(AsOf,3),"Yes",""))</f>
        <v/>
      </c>
      <c r="H717" s="29" t="str">
        <f aca="false">IF($G717="Yes",$A717+ROW()/100000,"")</f>
        <v/>
      </c>
    </row>
    <row r="718" customFormat="false" ht="15" hidden="false" customHeight="false" outlineLevel="0" collapsed="false">
      <c r="A718" s="27"/>
      <c r="B718" s="24"/>
      <c r="C718" s="24"/>
      <c r="D718" s="24"/>
      <c r="E718" s="28"/>
      <c r="F718" s="30" t="str">
        <f aca="false">IF($A718="","",$A718-WEEKDAY($A718,3))</f>
        <v/>
      </c>
      <c r="G718" s="29" t="str">
        <f aca="false">IF($A718="","",IF($F718=AsOf-WEEKDAY(AsOf,3),"Yes",""))</f>
        <v/>
      </c>
      <c r="H718" s="29" t="str">
        <f aca="false">IF($G718="Yes",$A718+ROW()/100000,"")</f>
        <v/>
      </c>
    </row>
    <row r="719" customFormat="false" ht="15" hidden="false" customHeight="false" outlineLevel="0" collapsed="false">
      <c r="A719" s="27"/>
      <c r="B719" s="24"/>
      <c r="C719" s="24"/>
      <c r="D719" s="24"/>
      <c r="E719" s="28"/>
      <c r="F719" s="30" t="str">
        <f aca="false">IF($A719="","",$A719-WEEKDAY($A719,3))</f>
        <v/>
      </c>
      <c r="G719" s="29" t="str">
        <f aca="false">IF($A719="","",IF($F719=AsOf-WEEKDAY(AsOf,3),"Yes",""))</f>
        <v/>
      </c>
      <c r="H719" s="29" t="str">
        <f aca="false">IF($G719="Yes",$A719+ROW()/100000,"")</f>
        <v/>
      </c>
    </row>
    <row r="720" customFormat="false" ht="15" hidden="false" customHeight="false" outlineLevel="0" collapsed="false">
      <c r="A720" s="27"/>
      <c r="B720" s="24"/>
      <c r="C720" s="24"/>
      <c r="D720" s="24"/>
      <c r="E720" s="28"/>
      <c r="F720" s="30" t="str">
        <f aca="false">IF($A720="","",$A720-WEEKDAY($A720,3))</f>
        <v/>
      </c>
      <c r="G720" s="29" t="str">
        <f aca="false">IF($A720="","",IF($F720=AsOf-WEEKDAY(AsOf,3),"Yes",""))</f>
        <v/>
      </c>
      <c r="H720" s="29" t="str">
        <f aca="false">IF($G720="Yes",$A720+ROW()/100000,"")</f>
        <v/>
      </c>
    </row>
    <row r="721" customFormat="false" ht="15" hidden="false" customHeight="false" outlineLevel="0" collapsed="false">
      <c r="A721" s="27"/>
      <c r="B721" s="24"/>
      <c r="C721" s="24"/>
      <c r="D721" s="24"/>
      <c r="E721" s="28"/>
      <c r="F721" s="30" t="str">
        <f aca="false">IF($A721="","",$A721-WEEKDAY($A721,3))</f>
        <v/>
      </c>
      <c r="G721" s="29" t="str">
        <f aca="false">IF($A721="","",IF($F721=AsOf-WEEKDAY(AsOf,3),"Yes",""))</f>
        <v/>
      </c>
      <c r="H721" s="29" t="str">
        <f aca="false">IF($G721="Yes",$A721+ROW()/100000,"")</f>
        <v/>
      </c>
    </row>
    <row r="722" customFormat="false" ht="15" hidden="false" customHeight="false" outlineLevel="0" collapsed="false">
      <c r="A722" s="27"/>
      <c r="B722" s="24"/>
      <c r="C722" s="24"/>
      <c r="D722" s="24"/>
      <c r="E722" s="28"/>
      <c r="F722" s="30" t="str">
        <f aca="false">IF($A722="","",$A722-WEEKDAY($A722,3))</f>
        <v/>
      </c>
      <c r="G722" s="29" t="str">
        <f aca="false">IF($A722="","",IF($F722=AsOf-WEEKDAY(AsOf,3),"Yes",""))</f>
        <v/>
      </c>
      <c r="H722" s="29" t="str">
        <f aca="false">IF($G722="Yes",$A722+ROW()/100000,"")</f>
        <v/>
      </c>
    </row>
    <row r="723" customFormat="false" ht="15" hidden="false" customHeight="false" outlineLevel="0" collapsed="false">
      <c r="A723" s="27"/>
      <c r="B723" s="24"/>
      <c r="C723" s="24"/>
      <c r="D723" s="24"/>
      <c r="E723" s="28"/>
      <c r="F723" s="30" t="str">
        <f aca="false">IF($A723="","",$A723-WEEKDAY($A723,3))</f>
        <v/>
      </c>
      <c r="G723" s="29" t="str">
        <f aca="false">IF($A723="","",IF($F723=AsOf-WEEKDAY(AsOf,3),"Yes",""))</f>
        <v/>
      </c>
      <c r="H723" s="29" t="str">
        <f aca="false">IF($G723="Yes",$A723+ROW()/100000,"")</f>
        <v/>
      </c>
    </row>
    <row r="724" customFormat="false" ht="15" hidden="false" customHeight="false" outlineLevel="0" collapsed="false">
      <c r="A724" s="27"/>
      <c r="B724" s="24"/>
      <c r="C724" s="24"/>
      <c r="D724" s="24"/>
      <c r="E724" s="28"/>
      <c r="F724" s="30" t="str">
        <f aca="false">IF($A724="","",$A724-WEEKDAY($A724,3))</f>
        <v/>
      </c>
      <c r="G724" s="29" t="str">
        <f aca="false">IF($A724="","",IF($F724=AsOf-WEEKDAY(AsOf,3),"Yes",""))</f>
        <v/>
      </c>
      <c r="H724" s="29" t="str">
        <f aca="false">IF($G724="Yes",$A724+ROW()/100000,"")</f>
        <v/>
      </c>
    </row>
    <row r="725" customFormat="false" ht="15" hidden="false" customHeight="false" outlineLevel="0" collapsed="false">
      <c r="A725" s="27"/>
      <c r="B725" s="24"/>
      <c r="C725" s="24"/>
      <c r="D725" s="24"/>
      <c r="E725" s="28"/>
      <c r="F725" s="30" t="str">
        <f aca="false">IF($A725="","",$A725-WEEKDAY($A725,3))</f>
        <v/>
      </c>
      <c r="G725" s="29" t="str">
        <f aca="false">IF($A725="","",IF($F725=AsOf-WEEKDAY(AsOf,3),"Yes",""))</f>
        <v/>
      </c>
      <c r="H725" s="29" t="str">
        <f aca="false">IF($G725="Yes",$A725+ROW()/100000,"")</f>
        <v/>
      </c>
    </row>
    <row r="726" customFormat="false" ht="15" hidden="false" customHeight="false" outlineLevel="0" collapsed="false">
      <c r="A726" s="27"/>
      <c r="B726" s="24"/>
      <c r="C726" s="24"/>
      <c r="D726" s="24"/>
      <c r="E726" s="28"/>
      <c r="F726" s="30" t="str">
        <f aca="false">IF($A726="","",$A726-WEEKDAY($A726,3))</f>
        <v/>
      </c>
      <c r="G726" s="29" t="str">
        <f aca="false">IF($A726="","",IF($F726=AsOf-WEEKDAY(AsOf,3),"Yes",""))</f>
        <v/>
      </c>
      <c r="H726" s="29" t="str">
        <f aca="false">IF($G726="Yes",$A726+ROW()/100000,"")</f>
        <v/>
      </c>
    </row>
    <row r="727" customFormat="false" ht="15" hidden="false" customHeight="false" outlineLevel="0" collapsed="false">
      <c r="A727" s="27"/>
      <c r="B727" s="24"/>
      <c r="C727" s="24"/>
      <c r="D727" s="24"/>
      <c r="E727" s="28"/>
      <c r="F727" s="30" t="str">
        <f aca="false">IF($A727="","",$A727-WEEKDAY($A727,3))</f>
        <v/>
      </c>
      <c r="G727" s="29" t="str">
        <f aca="false">IF($A727="","",IF($F727=AsOf-WEEKDAY(AsOf,3),"Yes",""))</f>
        <v/>
      </c>
      <c r="H727" s="29" t="str">
        <f aca="false">IF($G727="Yes",$A727+ROW()/100000,"")</f>
        <v/>
      </c>
    </row>
    <row r="728" customFormat="false" ht="15" hidden="false" customHeight="false" outlineLevel="0" collapsed="false">
      <c r="A728" s="27"/>
      <c r="B728" s="24"/>
      <c r="C728" s="24"/>
      <c r="D728" s="24"/>
      <c r="E728" s="28"/>
      <c r="F728" s="30" t="str">
        <f aca="false">IF($A728="","",$A728-WEEKDAY($A728,3))</f>
        <v/>
      </c>
      <c r="G728" s="29" t="str">
        <f aca="false">IF($A728="","",IF($F728=AsOf-WEEKDAY(AsOf,3),"Yes",""))</f>
        <v/>
      </c>
      <c r="H728" s="29" t="str">
        <f aca="false">IF($G728="Yes",$A728+ROW()/100000,"")</f>
        <v/>
      </c>
    </row>
    <row r="729" customFormat="false" ht="15" hidden="false" customHeight="false" outlineLevel="0" collapsed="false">
      <c r="A729" s="27"/>
      <c r="B729" s="24"/>
      <c r="C729" s="24"/>
      <c r="D729" s="24"/>
      <c r="E729" s="28"/>
      <c r="F729" s="30" t="str">
        <f aca="false">IF($A729="","",$A729-WEEKDAY($A729,3))</f>
        <v/>
      </c>
      <c r="G729" s="29" t="str">
        <f aca="false">IF($A729="","",IF($F729=AsOf-WEEKDAY(AsOf,3),"Yes",""))</f>
        <v/>
      </c>
      <c r="H729" s="29" t="str">
        <f aca="false">IF($G729="Yes",$A729+ROW()/100000,"")</f>
        <v/>
      </c>
    </row>
    <row r="730" customFormat="false" ht="15" hidden="false" customHeight="false" outlineLevel="0" collapsed="false">
      <c r="A730" s="27"/>
      <c r="B730" s="24"/>
      <c r="C730" s="24"/>
      <c r="D730" s="24"/>
      <c r="E730" s="28"/>
      <c r="F730" s="30" t="str">
        <f aca="false">IF($A730="","",$A730-WEEKDAY($A730,3))</f>
        <v/>
      </c>
      <c r="G730" s="29" t="str">
        <f aca="false">IF($A730="","",IF($F730=AsOf-WEEKDAY(AsOf,3),"Yes",""))</f>
        <v/>
      </c>
      <c r="H730" s="29" t="str">
        <f aca="false">IF($G730="Yes",$A730+ROW()/100000,"")</f>
        <v/>
      </c>
    </row>
    <row r="731" customFormat="false" ht="15" hidden="false" customHeight="false" outlineLevel="0" collapsed="false">
      <c r="A731" s="27"/>
      <c r="B731" s="24"/>
      <c r="C731" s="24"/>
      <c r="D731" s="24"/>
      <c r="E731" s="28"/>
      <c r="F731" s="30" t="str">
        <f aca="false">IF($A731="","",$A731-WEEKDAY($A731,3))</f>
        <v/>
      </c>
      <c r="G731" s="29" t="str">
        <f aca="false">IF($A731="","",IF($F731=AsOf-WEEKDAY(AsOf,3),"Yes",""))</f>
        <v/>
      </c>
      <c r="H731" s="29" t="str">
        <f aca="false">IF($G731="Yes",$A731+ROW()/100000,"")</f>
        <v/>
      </c>
    </row>
    <row r="732" customFormat="false" ht="15" hidden="false" customHeight="false" outlineLevel="0" collapsed="false">
      <c r="A732" s="27"/>
      <c r="B732" s="24"/>
      <c r="C732" s="24"/>
      <c r="D732" s="24"/>
      <c r="E732" s="28"/>
      <c r="F732" s="30" t="str">
        <f aca="false">IF($A732="","",$A732-WEEKDAY($A732,3))</f>
        <v/>
      </c>
      <c r="G732" s="29" t="str">
        <f aca="false">IF($A732="","",IF($F732=AsOf-WEEKDAY(AsOf,3),"Yes",""))</f>
        <v/>
      </c>
      <c r="H732" s="29" t="str">
        <f aca="false">IF($G732="Yes",$A732+ROW()/100000,"")</f>
        <v/>
      </c>
    </row>
    <row r="733" customFormat="false" ht="15" hidden="false" customHeight="false" outlineLevel="0" collapsed="false">
      <c r="A733" s="27"/>
      <c r="B733" s="24"/>
      <c r="C733" s="24"/>
      <c r="D733" s="24"/>
      <c r="E733" s="28"/>
      <c r="F733" s="30" t="str">
        <f aca="false">IF($A733="","",$A733-WEEKDAY($A733,3))</f>
        <v/>
      </c>
      <c r="G733" s="29" t="str">
        <f aca="false">IF($A733="","",IF($F733=AsOf-WEEKDAY(AsOf,3),"Yes",""))</f>
        <v/>
      </c>
      <c r="H733" s="29" t="str">
        <f aca="false">IF($G733="Yes",$A733+ROW()/100000,"")</f>
        <v/>
      </c>
    </row>
    <row r="734" customFormat="false" ht="15" hidden="false" customHeight="false" outlineLevel="0" collapsed="false">
      <c r="A734" s="27"/>
      <c r="B734" s="24"/>
      <c r="C734" s="24"/>
      <c r="D734" s="24"/>
      <c r="E734" s="28"/>
      <c r="F734" s="30" t="str">
        <f aca="false">IF($A734="","",$A734-WEEKDAY($A734,3))</f>
        <v/>
      </c>
      <c r="G734" s="29" t="str">
        <f aca="false">IF($A734="","",IF($F734=AsOf-WEEKDAY(AsOf,3),"Yes",""))</f>
        <v/>
      </c>
      <c r="H734" s="29" t="str">
        <f aca="false">IF($G734="Yes",$A734+ROW()/100000,"")</f>
        <v/>
      </c>
    </row>
    <row r="735" customFormat="false" ht="15" hidden="false" customHeight="false" outlineLevel="0" collapsed="false">
      <c r="A735" s="27"/>
      <c r="B735" s="24"/>
      <c r="C735" s="24"/>
      <c r="D735" s="24"/>
      <c r="E735" s="28"/>
      <c r="F735" s="30" t="str">
        <f aca="false">IF($A735="","",$A735-WEEKDAY($A735,3))</f>
        <v/>
      </c>
      <c r="G735" s="29" t="str">
        <f aca="false">IF($A735="","",IF($F735=AsOf-WEEKDAY(AsOf,3),"Yes",""))</f>
        <v/>
      </c>
      <c r="H735" s="29" t="str">
        <f aca="false">IF($G735="Yes",$A735+ROW()/100000,"")</f>
        <v/>
      </c>
    </row>
    <row r="736" customFormat="false" ht="15" hidden="false" customHeight="false" outlineLevel="0" collapsed="false">
      <c r="A736" s="27"/>
      <c r="B736" s="24"/>
      <c r="C736" s="24"/>
      <c r="D736" s="24"/>
      <c r="E736" s="28"/>
      <c r="F736" s="30" t="str">
        <f aca="false">IF($A736="","",$A736-WEEKDAY($A736,3))</f>
        <v/>
      </c>
      <c r="G736" s="29" t="str">
        <f aca="false">IF($A736="","",IF($F736=AsOf-WEEKDAY(AsOf,3),"Yes",""))</f>
        <v/>
      </c>
      <c r="H736" s="29" t="str">
        <f aca="false">IF($G736="Yes",$A736+ROW()/100000,"")</f>
        <v/>
      </c>
    </row>
    <row r="737" customFormat="false" ht="15" hidden="false" customHeight="false" outlineLevel="0" collapsed="false">
      <c r="A737" s="27"/>
      <c r="B737" s="24"/>
      <c r="C737" s="24"/>
      <c r="D737" s="24"/>
      <c r="E737" s="28"/>
      <c r="F737" s="30" t="str">
        <f aca="false">IF($A737="","",$A737-WEEKDAY($A737,3))</f>
        <v/>
      </c>
      <c r="G737" s="29" t="str">
        <f aca="false">IF($A737="","",IF($F737=AsOf-WEEKDAY(AsOf,3),"Yes",""))</f>
        <v/>
      </c>
      <c r="H737" s="29" t="str">
        <f aca="false">IF($G737="Yes",$A737+ROW()/100000,"")</f>
        <v/>
      </c>
    </row>
    <row r="738" customFormat="false" ht="15" hidden="false" customHeight="false" outlineLevel="0" collapsed="false">
      <c r="A738" s="27"/>
      <c r="B738" s="24"/>
      <c r="C738" s="24"/>
      <c r="D738" s="24"/>
      <c r="E738" s="28"/>
      <c r="F738" s="30" t="str">
        <f aca="false">IF($A738="","",$A738-WEEKDAY($A738,3))</f>
        <v/>
      </c>
      <c r="G738" s="29" t="str">
        <f aca="false">IF($A738="","",IF($F738=AsOf-WEEKDAY(AsOf,3),"Yes",""))</f>
        <v/>
      </c>
      <c r="H738" s="29" t="str">
        <f aca="false">IF($G738="Yes",$A738+ROW()/100000,"")</f>
        <v/>
      </c>
    </row>
    <row r="739" customFormat="false" ht="15" hidden="false" customHeight="false" outlineLevel="0" collapsed="false">
      <c r="A739" s="27"/>
      <c r="B739" s="24"/>
      <c r="C739" s="24"/>
      <c r="D739" s="24"/>
      <c r="E739" s="28"/>
      <c r="F739" s="30" t="str">
        <f aca="false">IF($A739="","",$A739-WEEKDAY($A739,3))</f>
        <v/>
      </c>
      <c r="G739" s="29" t="str">
        <f aca="false">IF($A739="","",IF($F739=AsOf-WEEKDAY(AsOf,3),"Yes",""))</f>
        <v/>
      </c>
      <c r="H739" s="29" t="str">
        <f aca="false">IF($G739="Yes",$A739+ROW()/100000,"")</f>
        <v/>
      </c>
    </row>
    <row r="740" customFormat="false" ht="15" hidden="false" customHeight="false" outlineLevel="0" collapsed="false">
      <c r="A740" s="27"/>
      <c r="B740" s="24"/>
      <c r="C740" s="24"/>
      <c r="D740" s="24"/>
      <c r="E740" s="28"/>
      <c r="F740" s="30" t="str">
        <f aca="false">IF($A740="","",$A740-WEEKDAY($A740,3))</f>
        <v/>
      </c>
      <c r="G740" s="29" t="str">
        <f aca="false">IF($A740="","",IF($F740=AsOf-WEEKDAY(AsOf,3),"Yes",""))</f>
        <v/>
      </c>
      <c r="H740" s="29" t="str">
        <f aca="false">IF($G740="Yes",$A740+ROW()/100000,"")</f>
        <v/>
      </c>
    </row>
    <row r="741" customFormat="false" ht="15" hidden="false" customHeight="false" outlineLevel="0" collapsed="false">
      <c r="A741" s="27"/>
      <c r="B741" s="24"/>
      <c r="C741" s="24"/>
      <c r="D741" s="24"/>
      <c r="E741" s="28"/>
      <c r="F741" s="30" t="str">
        <f aca="false">IF($A741="","",$A741-WEEKDAY($A741,3))</f>
        <v/>
      </c>
      <c r="G741" s="29" t="str">
        <f aca="false">IF($A741="","",IF($F741=AsOf-WEEKDAY(AsOf,3),"Yes",""))</f>
        <v/>
      </c>
      <c r="H741" s="29" t="str">
        <f aca="false">IF($G741="Yes",$A741+ROW()/100000,"")</f>
        <v/>
      </c>
    </row>
    <row r="742" customFormat="false" ht="15" hidden="false" customHeight="false" outlineLevel="0" collapsed="false">
      <c r="A742" s="27"/>
      <c r="B742" s="24"/>
      <c r="C742" s="24"/>
      <c r="D742" s="24"/>
      <c r="E742" s="28"/>
      <c r="F742" s="30" t="str">
        <f aca="false">IF($A742="","",$A742-WEEKDAY($A742,3))</f>
        <v/>
      </c>
      <c r="G742" s="29" t="str">
        <f aca="false">IF($A742="","",IF($F742=AsOf-WEEKDAY(AsOf,3),"Yes",""))</f>
        <v/>
      </c>
      <c r="H742" s="29" t="str">
        <f aca="false">IF($G742="Yes",$A742+ROW()/100000,"")</f>
        <v/>
      </c>
    </row>
    <row r="743" customFormat="false" ht="15" hidden="false" customHeight="false" outlineLevel="0" collapsed="false">
      <c r="A743" s="27"/>
      <c r="B743" s="24"/>
      <c r="C743" s="24"/>
      <c r="D743" s="24"/>
      <c r="E743" s="28"/>
      <c r="F743" s="30" t="str">
        <f aca="false">IF($A743="","",$A743-WEEKDAY($A743,3))</f>
        <v/>
      </c>
      <c r="G743" s="29" t="str">
        <f aca="false">IF($A743="","",IF($F743=AsOf-WEEKDAY(AsOf,3),"Yes",""))</f>
        <v/>
      </c>
      <c r="H743" s="29" t="str">
        <f aca="false">IF($G743="Yes",$A743+ROW()/100000,"")</f>
        <v/>
      </c>
    </row>
    <row r="744" customFormat="false" ht="15" hidden="false" customHeight="false" outlineLevel="0" collapsed="false">
      <c r="A744" s="27"/>
      <c r="B744" s="24"/>
      <c r="C744" s="24"/>
      <c r="D744" s="24"/>
      <c r="E744" s="28"/>
      <c r="F744" s="30" t="str">
        <f aca="false">IF($A744="","",$A744-WEEKDAY($A744,3))</f>
        <v/>
      </c>
      <c r="G744" s="29" t="str">
        <f aca="false">IF($A744="","",IF($F744=AsOf-WEEKDAY(AsOf,3),"Yes",""))</f>
        <v/>
      </c>
      <c r="H744" s="29" t="str">
        <f aca="false">IF($G744="Yes",$A744+ROW()/100000,"")</f>
        <v/>
      </c>
    </row>
    <row r="745" customFormat="false" ht="15" hidden="false" customHeight="false" outlineLevel="0" collapsed="false">
      <c r="A745" s="27"/>
      <c r="B745" s="24"/>
      <c r="C745" s="24"/>
      <c r="D745" s="24"/>
      <c r="E745" s="28"/>
      <c r="F745" s="30" t="str">
        <f aca="false">IF($A745="","",$A745-WEEKDAY($A745,3))</f>
        <v/>
      </c>
      <c r="G745" s="29" t="str">
        <f aca="false">IF($A745="","",IF($F745=AsOf-WEEKDAY(AsOf,3),"Yes",""))</f>
        <v/>
      </c>
      <c r="H745" s="29" t="str">
        <f aca="false">IF($G745="Yes",$A745+ROW()/100000,"")</f>
        <v/>
      </c>
    </row>
    <row r="746" customFormat="false" ht="15" hidden="false" customHeight="false" outlineLevel="0" collapsed="false">
      <c r="A746" s="27"/>
      <c r="B746" s="24"/>
      <c r="C746" s="24"/>
      <c r="D746" s="24"/>
      <c r="E746" s="28"/>
      <c r="F746" s="30" t="str">
        <f aca="false">IF($A746="","",$A746-WEEKDAY($A746,3))</f>
        <v/>
      </c>
      <c r="G746" s="29" t="str">
        <f aca="false">IF($A746="","",IF($F746=AsOf-WEEKDAY(AsOf,3),"Yes",""))</f>
        <v/>
      </c>
      <c r="H746" s="29" t="str">
        <f aca="false">IF($G746="Yes",$A746+ROW()/100000,"")</f>
        <v/>
      </c>
    </row>
    <row r="747" customFormat="false" ht="15" hidden="false" customHeight="false" outlineLevel="0" collapsed="false">
      <c r="A747" s="27"/>
      <c r="B747" s="24"/>
      <c r="C747" s="24"/>
      <c r="D747" s="24"/>
      <c r="E747" s="28"/>
      <c r="F747" s="30" t="str">
        <f aca="false">IF($A747="","",$A747-WEEKDAY($A747,3))</f>
        <v/>
      </c>
      <c r="G747" s="29" t="str">
        <f aca="false">IF($A747="","",IF($F747=AsOf-WEEKDAY(AsOf,3),"Yes",""))</f>
        <v/>
      </c>
      <c r="H747" s="29" t="str">
        <f aca="false">IF($G747="Yes",$A747+ROW()/100000,"")</f>
        <v/>
      </c>
    </row>
    <row r="748" customFormat="false" ht="15" hidden="false" customHeight="false" outlineLevel="0" collapsed="false">
      <c r="A748" s="27"/>
      <c r="B748" s="24"/>
      <c r="C748" s="24"/>
      <c r="D748" s="24"/>
      <c r="E748" s="28"/>
      <c r="F748" s="30" t="str">
        <f aca="false">IF($A748="","",$A748-WEEKDAY($A748,3))</f>
        <v/>
      </c>
      <c r="G748" s="29" t="str">
        <f aca="false">IF($A748="","",IF($F748=AsOf-WEEKDAY(AsOf,3),"Yes",""))</f>
        <v/>
      </c>
      <c r="H748" s="29" t="str">
        <f aca="false">IF($G748="Yes",$A748+ROW()/100000,"")</f>
        <v/>
      </c>
    </row>
    <row r="749" customFormat="false" ht="15" hidden="false" customHeight="false" outlineLevel="0" collapsed="false">
      <c r="A749" s="27"/>
      <c r="B749" s="24"/>
      <c r="C749" s="24"/>
      <c r="D749" s="24"/>
      <c r="E749" s="28"/>
      <c r="F749" s="30" t="str">
        <f aca="false">IF($A749="","",$A749-WEEKDAY($A749,3))</f>
        <v/>
      </c>
      <c r="G749" s="29" t="str">
        <f aca="false">IF($A749="","",IF($F749=AsOf-WEEKDAY(AsOf,3),"Yes",""))</f>
        <v/>
      </c>
      <c r="H749" s="29" t="str">
        <f aca="false">IF($G749="Yes",$A749+ROW()/100000,"")</f>
        <v/>
      </c>
    </row>
    <row r="750" customFormat="false" ht="15" hidden="false" customHeight="false" outlineLevel="0" collapsed="false">
      <c r="A750" s="27"/>
      <c r="B750" s="24"/>
      <c r="C750" s="24"/>
      <c r="D750" s="24"/>
      <c r="E750" s="28"/>
      <c r="F750" s="30" t="str">
        <f aca="false">IF($A750="","",$A750-WEEKDAY($A750,3))</f>
        <v/>
      </c>
      <c r="G750" s="29" t="str">
        <f aca="false">IF($A750="","",IF($F750=AsOf-WEEKDAY(AsOf,3),"Yes",""))</f>
        <v/>
      </c>
      <c r="H750" s="29" t="str">
        <f aca="false">IF($G750="Yes",$A750+ROW()/100000,"")</f>
        <v/>
      </c>
    </row>
    <row r="751" customFormat="false" ht="15" hidden="false" customHeight="false" outlineLevel="0" collapsed="false">
      <c r="A751" s="27"/>
      <c r="B751" s="24"/>
      <c r="C751" s="24"/>
      <c r="D751" s="24"/>
      <c r="E751" s="28"/>
      <c r="F751" s="30" t="str">
        <f aca="false">IF($A751="","",$A751-WEEKDAY($A751,3))</f>
        <v/>
      </c>
      <c r="G751" s="29" t="str">
        <f aca="false">IF($A751="","",IF($F751=AsOf-WEEKDAY(AsOf,3),"Yes",""))</f>
        <v/>
      </c>
      <c r="H751" s="29" t="str">
        <f aca="false">IF($G751="Yes",$A751+ROW()/100000,"")</f>
        <v/>
      </c>
    </row>
    <row r="752" customFormat="false" ht="15" hidden="false" customHeight="false" outlineLevel="0" collapsed="false">
      <c r="A752" s="27"/>
      <c r="B752" s="24"/>
      <c r="C752" s="24"/>
      <c r="D752" s="24"/>
      <c r="E752" s="28"/>
      <c r="F752" s="30" t="str">
        <f aca="false">IF($A752="","",$A752-WEEKDAY($A752,3))</f>
        <v/>
      </c>
      <c r="G752" s="29" t="str">
        <f aca="false">IF($A752="","",IF($F752=AsOf-WEEKDAY(AsOf,3),"Yes",""))</f>
        <v/>
      </c>
      <c r="H752" s="29" t="str">
        <f aca="false">IF($G752="Yes",$A752+ROW()/100000,"")</f>
        <v/>
      </c>
    </row>
    <row r="753" customFormat="false" ht="15" hidden="false" customHeight="false" outlineLevel="0" collapsed="false">
      <c r="A753" s="27"/>
      <c r="B753" s="24"/>
      <c r="C753" s="24"/>
      <c r="D753" s="24"/>
      <c r="E753" s="28"/>
      <c r="F753" s="30" t="str">
        <f aca="false">IF($A753="","",$A753-WEEKDAY($A753,3))</f>
        <v/>
      </c>
      <c r="G753" s="29" t="str">
        <f aca="false">IF($A753="","",IF($F753=AsOf-WEEKDAY(AsOf,3),"Yes",""))</f>
        <v/>
      </c>
      <c r="H753" s="29" t="str">
        <f aca="false">IF($G753="Yes",$A753+ROW()/100000,"")</f>
        <v/>
      </c>
    </row>
    <row r="754" customFormat="false" ht="15" hidden="false" customHeight="false" outlineLevel="0" collapsed="false">
      <c r="A754" s="27"/>
      <c r="B754" s="24"/>
      <c r="C754" s="24"/>
      <c r="D754" s="24"/>
      <c r="E754" s="28"/>
      <c r="F754" s="30" t="str">
        <f aca="false">IF($A754="","",$A754-WEEKDAY($A754,3))</f>
        <v/>
      </c>
      <c r="G754" s="29" t="str">
        <f aca="false">IF($A754="","",IF($F754=AsOf-WEEKDAY(AsOf,3),"Yes",""))</f>
        <v/>
      </c>
      <c r="H754" s="29" t="str">
        <f aca="false">IF($G754="Yes",$A754+ROW()/100000,"")</f>
        <v/>
      </c>
    </row>
    <row r="755" customFormat="false" ht="15" hidden="false" customHeight="false" outlineLevel="0" collapsed="false">
      <c r="A755" s="27"/>
      <c r="B755" s="24"/>
      <c r="C755" s="24"/>
      <c r="D755" s="24"/>
      <c r="E755" s="28"/>
      <c r="F755" s="30" t="str">
        <f aca="false">IF($A755="","",$A755-WEEKDAY($A755,3))</f>
        <v/>
      </c>
      <c r="G755" s="29" t="str">
        <f aca="false">IF($A755="","",IF($F755=AsOf-WEEKDAY(AsOf,3),"Yes",""))</f>
        <v/>
      </c>
      <c r="H755" s="29" t="str">
        <f aca="false">IF($G755="Yes",$A755+ROW()/100000,"")</f>
        <v/>
      </c>
    </row>
    <row r="756" customFormat="false" ht="15" hidden="false" customHeight="false" outlineLevel="0" collapsed="false">
      <c r="A756" s="27"/>
      <c r="B756" s="24"/>
      <c r="C756" s="24"/>
      <c r="D756" s="24"/>
      <c r="E756" s="28"/>
      <c r="F756" s="30" t="str">
        <f aca="false">IF($A756="","",$A756-WEEKDAY($A756,3))</f>
        <v/>
      </c>
      <c r="G756" s="29" t="str">
        <f aca="false">IF($A756="","",IF($F756=AsOf-WEEKDAY(AsOf,3),"Yes",""))</f>
        <v/>
      </c>
      <c r="H756" s="29" t="str">
        <f aca="false">IF($G756="Yes",$A756+ROW()/100000,"")</f>
        <v/>
      </c>
    </row>
    <row r="757" customFormat="false" ht="15" hidden="false" customHeight="false" outlineLevel="0" collapsed="false">
      <c r="A757" s="27"/>
      <c r="B757" s="24"/>
      <c r="C757" s="24"/>
      <c r="D757" s="24"/>
      <c r="E757" s="28"/>
      <c r="F757" s="30" t="str">
        <f aca="false">IF($A757="","",$A757-WEEKDAY($A757,3))</f>
        <v/>
      </c>
      <c r="G757" s="29" t="str">
        <f aca="false">IF($A757="","",IF($F757=AsOf-WEEKDAY(AsOf,3),"Yes",""))</f>
        <v/>
      </c>
      <c r="H757" s="29" t="str">
        <f aca="false">IF($G757="Yes",$A757+ROW()/100000,"")</f>
        <v/>
      </c>
    </row>
    <row r="758" customFormat="false" ht="15" hidden="false" customHeight="false" outlineLevel="0" collapsed="false">
      <c r="A758" s="27"/>
      <c r="B758" s="24"/>
      <c r="C758" s="24"/>
      <c r="D758" s="24"/>
      <c r="E758" s="28"/>
      <c r="F758" s="30" t="str">
        <f aca="false">IF($A758="","",$A758-WEEKDAY($A758,3))</f>
        <v/>
      </c>
      <c r="G758" s="29" t="str">
        <f aca="false">IF($A758="","",IF($F758=AsOf-WEEKDAY(AsOf,3),"Yes",""))</f>
        <v/>
      </c>
      <c r="H758" s="29" t="str">
        <f aca="false">IF($G758="Yes",$A758+ROW()/100000,"")</f>
        <v/>
      </c>
    </row>
    <row r="759" customFormat="false" ht="15" hidden="false" customHeight="false" outlineLevel="0" collapsed="false">
      <c r="A759" s="27"/>
      <c r="B759" s="24"/>
      <c r="C759" s="24"/>
      <c r="D759" s="24"/>
      <c r="E759" s="28"/>
      <c r="F759" s="30" t="str">
        <f aca="false">IF($A759="","",$A759-WEEKDAY($A759,3))</f>
        <v/>
      </c>
      <c r="G759" s="29" t="str">
        <f aca="false">IF($A759="","",IF($F759=AsOf-WEEKDAY(AsOf,3),"Yes",""))</f>
        <v/>
      </c>
      <c r="H759" s="29" t="str">
        <f aca="false">IF($G759="Yes",$A759+ROW()/100000,"")</f>
        <v/>
      </c>
    </row>
    <row r="760" customFormat="false" ht="15" hidden="false" customHeight="false" outlineLevel="0" collapsed="false">
      <c r="A760" s="27"/>
      <c r="B760" s="24"/>
      <c r="C760" s="24"/>
      <c r="D760" s="24"/>
      <c r="E760" s="28"/>
      <c r="F760" s="30" t="str">
        <f aca="false">IF($A760="","",$A760-WEEKDAY($A760,3))</f>
        <v/>
      </c>
      <c r="G760" s="29" t="str">
        <f aca="false">IF($A760="","",IF($F760=AsOf-WEEKDAY(AsOf,3),"Yes",""))</f>
        <v/>
      </c>
      <c r="H760" s="29" t="str">
        <f aca="false">IF($G760="Yes",$A760+ROW()/100000,"")</f>
        <v/>
      </c>
    </row>
    <row r="761" customFormat="false" ht="15" hidden="false" customHeight="false" outlineLevel="0" collapsed="false">
      <c r="A761" s="27"/>
      <c r="B761" s="24"/>
      <c r="C761" s="24"/>
      <c r="D761" s="24"/>
      <c r="E761" s="28"/>
      <c r="F761" s="30" t="str">
        <f aca="false">IF($A761="","",$A761-WEEKDAY($A761,3))</f>
        <v/>
      </c>
      <c r="G761" s="29" t="str">
        <f aca="false">IF($A761="","",IF($F761=AsOf-WEEKDAY(AsOf,3),"Yes",""))</f>
        <v/>
      </c>
      <c r="H761" s="29" t="str">
        <f aca="false">IF($G761="Yes",$A761+ROW()/100000,"")</f>
        <v/>
      </c>
    </row>
    <row r="762" customFormat="false" ht="15" hidden="false" customHeight="false" outlineLevel="0" collapsed="false">
      <c r="A762" s="27"/>
      <c r="B762" s="24"/>
      <c r="C762" s="24"/>
      <c r="D762" s="24"/>
      <c r="E762" s="28"/>
      <c r="F762" s="30" t="str">
        <f aca="false">IF($A762="","",$A762-WEEKDAY($A762,3))</f>
        <v/>
      </c>
      <c r="G762" s="29" t="str">
        <f aca="false">IF($A762="","",IF($F762=AsOf-WEEKDAY(AsOf,3),"Yes",""))</f>
        <v/>
      </c>
      <c r="H762" s="29" t="str">
        <f aca="false">IF($G762="Yes",$A762+ROW()/100000,"")</f>
        <v/>
      </c>
    </row>
    <row r="763" customFormat="false" ht="15" hidden="false" customHeight="false" outlineLevel="0" collapsed="false">
      <c r="A763" s="27"/>
      <c r="B763" s="24"/>
      <c r="C763" s="24"/>
      <c r="D763" s="24"/>
      <c r="E763" s="28"/>
      <c r="F763" s="30" t="str">
        <f aca="false">IF($A763="","",$A763-WEEKDAY($A763,3))</f>
        <v/>
      </c>
      <c r="G763" s="29" t="str">
        <f aca="false">IF($A763="","",IF($F763=AsOf-WEEKDAY(AsOf,3),"Yes",""))</f>
        <v/>
      </c>
      <c r="H763" s="29" t="str">
        <f aca="false">IF($G763="Yes",$A763+ROW()/100000,"")</f>
        <v/>
      </c>
    </row>
    <row r="764" customFormat="false" ht="15" hidden="false" customHeight="false" outlineLevel="0" collapsed="false">
      <c r="A764" s="27"/>
      <c r="B764" s="24"/>
      <c r="C764" s="24"/>
      <c r="D764" s="24"/>
      <c r="E764" s="28"/>
      <c r="F764" s="30" t="str">
        <f aca="false">IF($A764="","",$A764-WEEKDAY($A764,3))</f>
        <v/>
      </c>
      <c r="G764" s="29" t="str">
        <f aca="false">IF($A764="","",IF($F764=AsOf-WEEKDAY(AsOf,3),"Yes",""))</f>
        <v/>
      </c>
      <c r="H764" s="29" t="str">
        <f aca="false">IF($G764="Yes",$A764+ROW()/100000,"")</f>
        <v/>
      </c>
    </row>
    <row r="765" customFormat="false" ht="15" hidden="false" customHeight="false" outlineLevel="0" collapsed="false">
      <c r="A765" s="27"/>
      <c r="B765" s="24"/>
      <c r="C765" s="24"/>
      <c r="D765" s="24"/>
      <c r="E765" s="28"/>
      <c r="F765" s="30" t="str">
        <f aca="false">IF($A765="","",$A765-WEEKDAY($A765,3))</f>
        <v/>
      </c>
      <c r="G765" s="29" t="str">
        <f aca="false">IF($A765="","",IF($F765=AsOf-WEEKDAY(AsOf,3),"Yes",""))</f>
        <v/>
      </c>
      <c r="H765" s="29" t="str">
        <f aca="false">IF($G765="Yes",$A765+ROW()/100000,"")</f>
        <v/>
      </c>
    </row>
    <row r="766" customFormat="false" ht="15" hidden="false" customHeight="false" outlineLevel="0" collapsed="false">
      <c r="A766" s="27"/>
      <c r="B766" s="24"/>
      <c r="C766" s="24"/>
      <c r="D766" s="24"/>
      <c r="E766" s="28"/>
      <c r="F766" s="30" t="str">
        <f aca="false">IF($A766="","",$A766-WEEKDAY($A766,3))</f>
        <v/>
      </c>
      <c r="G766" s="29" t="str">
        <f aca="false">IF($A766="","",IF($F766=AsOf-WEEKDAY(AsOf,3),"Yes",""))</f>
        <v/>
      </c>
      <c r="H766" s="29" t="str">
        <f aca="false">IF($G766="Yes",$A766+ROW()/100000,"")</f>
        <v/>
      </c>
    </row>
    <row r="767" customFormat="false" ht="15" hidden="false" customHeight="false" outlineLevel="0" collapsed="false">
      <c r="A767" s="27"/>
      <c r="B767" s="24"/>
      <c r="C767" s="24"/>
      <c r="D767" s="24"/>
      <c r="E767" s="28"/>
      <c r="F767" s="30" t="str">
        <f aca="false">IF($A767="","",$A767-WEEKDAY($A767,3))</f>
        <v/>
      </c>
      <c r="G767" s="29" t="str">
        <f aca="false">IF($A767="","",IF($F767=AsOf-WEEKDAY(AsOf,3),"Yes",""))</f>
        <v/>
      </c>
      <c r="H767" s="29" t="str">
        <f aca="false">IF($G767="Yes",$A767+ROW()/100000,"")</f>
        <v/>
      </c>
    </row>
    <row r="768" customFormat="false" ht="15" hidden="false" customHeight="false" outlineLevel="0" collapsed="false">
      <c r="A768" s="27"/>
      <c r="B768" s="24"/>
      <c r="C768" s="24"/>
      <c r="D768" s="24"/>
      <c r="E768" s="28"/>
      <c r="F768" s="30" t="str">
        <f aca="false">IF($A768="","",$A768-WEEKDAY($A768,3))</f>
        <v/>
      </c>
      <c r="G768" s="29" t="str">
        <f aca="false">IF($A768="","",IF($F768=AsOf-WEEKDAY(AsOf,3),"Yes",""))</f>
        <v/>
      </c>
      <c r="H768" s="29" t="str">
        <f aca="false">IF($G768="Yes",$A768+ROW()/100000,"")</f>
        <v/>
      </c>
    </row>
    <row r="769" customFormat="false" ht="15" hidden="false" customHeight="false" outlineLevel="0" collapsed="false">
      <c r="A769" s="27"/>
      <c r="B769" s="24"/>
      <c r="C769" s="24"/>
      <c r="D769" s="24"/>
      <c r="E769" s="28"/>
      <c r="F769" s="30" t="str">
        <f aca="false">IF($A769="","",$A769-WEEKDAY($A769,3))</f>
        <v/>
      </c>
      <c r="G769" s="29" t="str">
        <f aca="false">IF($A769="","",IF($F769=AsOf-WEEKDAY(AsOf,3),"Yes",""))</f>
        <v/>
      </c>
      <c r="H769" s="29" t="str">
        <f aca="false">IF($G769="Yes",$A769+ROW()/100000,"")</f>
        <v/>
      </c>
    </row>
    <row r="770" customFormat="false" ht="15" hidden="false" customHeight="false" outlineLevel="0" collapsed="false">
      <c r="A770" s="27"/>
      <c r="B770" s="24"/>
      <c r="C770" s="24"/>
      <c r="D770" s="24"/>
      <c r="E770" s="28"/>
      <c r="F770" s="30" t="str">
        <f aca="false">IF($A770="","",$A770-WEEKDAY($A770,3))</f>
        <v/>
      </c>
      <c r="G770" s="29" t="str">
        <f aca="false">IF($A770="","",IF($F770=AsOf-WEEKDAY(AsOf,3),"Yes",""))</f>
        <v/>
      </c>
      <c r="H770" s="29" t="str">
        <f aca="false">IF($G770="Yes",$A770+ROW()/100000,"")</f>
        <v/>
      </c>
    </row>
    <row r="771" customFormat="false" ht="15" hidden="false" customHeight="false" outlineLevel="0" collapsed="false">
      <c r="A771" s="27"/>
      <c r="B771" s="24"/>
      <c r="C771" s="24"/>
      <c r="D771" s="24"/>
      <c r="E771" s="28"/>
      <c r="F771" s="30" t="str">
        <f aca="false">IF($A771="","",$A771-WEEKDAY($A771,3))</f>
        <v/>
      </c>
      <c r="G771" s="29" t="str">
        <f aca="false">IF($A771="","",IF($F771=AsOf-WEEKDAY(AsOf,3),"Yes",""))</f>
        <v/>
      </c>
      <c r="H771" s="29" t="str">
        <f aca="false">IF($G771="Yes",$A771+ROW()/100000,"")</f>
        <v/>
      </c>
    </row>
    <row r="772" customFormat="false" ht="15" hidden="false" customHeight="false" outlineLevel="0" collapsed="false">
      <c r="A772" s="27"/>
      <c r="B772" s="24"/>
      <c r="C772" s="24"/>
      <c r="D772" s="24"/>
      <c r="E772" s="28"/>
      <c r="F772" s="30" t="str">
        <f aca="false">IF($A772="","",$A772-WEEKDAY($A772,3))</f>
        <v/>
      </c>
      <c r="G772" s="29" t="str">
        <f aca="false">IF($A772="","",IF($F772=AsOf-WEEKDAY(AsOf,3),"Yes",""))</f>
        <v/>
      </c>
      <c r="H772" s="29" t="str">
        <f aca="false">IF($G772="Yes",$A772+ROW()/100000,"")</f>
        <v/>
      </c>
    </row>
    <row r="773" customFormat="false" ht="15" hidden="false" customHeight="false" outlineLevel="0" collapsed="false">
      <c r="A773" s="27"/>
      <c r="B773" s="24"/>
      <c r="C773" s="24"/>
      <c r="D773" s="24"/>
      <c r="E773" s="28"/>
      <c r="F773" s="30" t="str">
        <f aca="false">IF($A773="","",$A773-WEEKDAY($A773,3))</f>
        <v/>
      </c>
      <c r="G773" s="29" t="str">
        <f aca="false">IF($A773="","",IF($F773=AsOf-WEEKDAY(AsOf,3),"Yes",""))</f>
        <v/>
      </c>
      <c r="H773" s="29" t="str">
        <f aca="false">IF($G773="Yes",$A773+ROW()/100000,"")</f>
        <v/>
      </c>
    </row>
    <row r="774" customFormat="false" ht="15" hidden="false" customHeight="false" outlineLevel="0" collapsed="false">
      <c r="A774" s="27"/>
      <c r="B774" s="24"/>
      <c r="C774" s="24"/>
      <c r="D774" s="24"/>
      <c r="E774" s="28"/>
      <c r="F774" s="30" t="str">
        <f aca="false">IF($A774="","",$A774-WEEKDAY($A774,3))</f>
        <v/>
      </c>
      <c r="G774" s="29" t="str">
        <f aca="false">IF($A774="","",IF($F774=AsOf-WEEKDAY(AsOf,3),"Yes",""))</f>
        <v/>
      </c>
      <c r="H774" s="29" t="str">
        <f aca="false">IF($G774="Yes",$A774+ROW()/100000,"")</f>
        <v/>
      </c>
    </row>
    <row r="775" customFormat="false" ht="15" hidden="false" customHeight="false" outlineLevel="0" collapsed="false">
      <c r="A775" s="27"/>
      <c r="B775" s="24"/>
      <c r="C775" s="24"/>
      <c r="D775" s="24"/>
      <c r="E775" s="28"/>
      <c r="F775" s="30" t="str">
        <f aca="false">IF($A775="","",$A775-WEEKDAY($A775,3))</f>
        <v/>
      </c>
      <c r="G775" s="29" t="str">
        <f aca="false">IF($A775="","",IF($F775=AsOf-WEEKDAY(AsOf,3),"Yes",""))</f>
        <v/>
      </c>
      <c r="H775" s="29" t="str">
        <f aca="false">IF($G775="Yes",$A775+ROW()/100000,"")</f>
        <v/>
      </c>
    </row>
    <row r="776" customFormat="false" ht="15" hidden="false" customHeight="false" outlineLevel="0" collapsed="false">
      <c r="A776" s="27"/>
      <c r="B776" s="24"/>
      <c r="C776" s="24"/>
      <c r="D776" s="24"/>
      <c r="E776" s="28"/>
      <c r="F776" s="30" t="str">
        <f aca="false">IF($A776="","",$A776-WEEKDAY($A776,3))</f>
        <v/>
      </c>
      <c r="G776" s="29" t="str">
        <f aca="false">IF($A776="","",IF($F776=AsOf-WEEKDAY(AsOf,3),"Yes",""))</f>
        <v/>
      </c>
      <c r="H776" s="29" t="str">
        <f aca="false">IF($G776="Yes",$A776+ROW()/100000,"")</f>
        <v/>
      </c>
    </row>
    <row r="777" customFormat="false" ht="15" hidden="false" customHeight="false" outlineLevel="0" collapsed="false">
      <c r="A777" s="27"/>
      <c r="B777" s="24"/>
      <c r="C777" s="24"/>
      <c r="D777" s="24"/>
      <c r="E777" s="28"/>
      <c r="F777" s="30" t="str">
        <f aca="false">IF($A777="","",$A777-WEEKDAY($A777,3))</f>
        <v/>
      </c>
      <c r="G777" s="29" t="str">
        <f aca="false">IF($A777="","",IF($F777=AsOf-WEEKDAY(AsOf,3),"Yes",""))</f>
        <v/>
      </c>
      <c r="H777" s="29" t="str">
        <f aca="false">IF($G777="Yes",$A777+ROW()/100000,"")</f>
        <v/>
      </c>
    </row>
    <row r="778" customFormat="false" ht="15" hidden="false" customHeight="false" outlineLevel="0" collapsed="false">
      <c r="A778" s="27"/>
      <c r="B778" s="24"/>
      <c r="C778" s="24"/>
      <c r="D778" s="24"/>
      <c r="E778" s="28"/>
      <c r="F778" s="30" t="str">
        <f aca="false">IF($A778="","",$A778-WEEKDAY($A778,3))</f>
        <v/>
      </c>
      <c r="G778" s="29" t="str">
        <f aca="false">IF($A778="","",IF($F778=AsOf-WEEKDAY(AsOf,3),"Yes",""))</f>
        <v/>
      </c>
      <c r="H778" s="29" t="str">
        <f aca="false">IF($G778="Yes",$A778+ROW()/100000,"")</f>
        <v/>
      </c>
    </row>
    <row r="779" customFormat="false" ht="15" hidden="false" customHeight="false" outlineLevel="0" collapsed="false">
      <c r="A779" s="27"/>
      <c r="B779" s="24"/>
      <c r="C779" s="24"/>
      <c r="D779" s="24"/>
      <c r="E779" s="28"/>
      <c r="F779" s="30" t="str">
        <f aca="false">IF($A779="","",$A779-WEEKDAY($A779,3))</f>
        <v/>
      </c>
      <c r="G779" s="29" t="str">
        <f aca="false">IF($A779="","",IF($F779=AsOf-WEEKDAY(AsOf,3),"Yes",""))</f>
        <v/>
      </c>
      <c r="H779" s="29" t="str">
        <f aca="false">IF($G779="Yes",$A779+ROW()/100000,"")</f>
        <v/>
      </c>
    </row>
    <row r="780" customFormat="false" ht="15" hidden="false" customHeight="false" outlineLevel="0" collapsed="false">
      <c r="A780" s="27"/>
      <c r="B780" s="24"/>
      <c r="C780" s="24"/>
      <c r="D780" s="24"/>
      <c r="E780" s="28"/>
      <c r="F780" s="30" t="str">
        <f aca="false">IF($A780="","",$A780-WEEKDAY($A780,3))</f>
        <v/>
      </c>
      <c r="G780" s="29" t="str">
        <f aca="false">IF($A780="","",IF($F780=AsOf-WEEKDAY(AsOf,3),"Yes",""))</f>
        <v/>
      </c>
      <c r="H780" s="29" t="str">
        <f aca="false">IF($G780="Yes",$A780+ROW()/100000,"")</f>
        <v/>
      </c>
    </row>
    <row r="781" customFormat="false" ht="15" hidden="false" customHeight="false" outlineLevel="0" collapsed="false">
      <c r="A781" s="27"/>
      <c r="B781" s="24"/>
      <c r="C781" s="24"/>
      <c r="D781" s="24"/>
      <c r="E781" s="28"/>
      <c r="F781" s="30" t="str">
        <f aca="false">IF($A781="","",$A781-WEEKDAY($A781,3))</f>
        <v/>
      </c>
      <c r="G781" s="29" t="str">
        <f aca="false">IF($A781="","",IF($F781=AsOf-WEEKDAY(AsOf,3),"Yes",""))</f>
        <v/>
      </c>
      <c r="H781" s="29" t="str">
        <f aca="false">IF($G781="Yes",$A781+ROW()/100000,"")</f>
        <v/>
      </c>
    </row>
    <row r="782" customFormat="false" ht="15" hidden="false" customHeight="false" outlineLevel="0" collapsed="false">
      <c r="A782" s="27"/>
      <c r="B782" s="24"/>
      <c r="C782" s="24"/>
      <c r="D782" s="24"/>
      <c r="E782" s="28"/>
      <c r="F782" s="30" t="str">
        <f aca="false">IF($A782="","",$A782-WEEKDAY($A782,3))</f>
        <v/>
      </c>
      <c r="G782" s="29" t="str">
        <f aca="false">IF($A782="","",IF($F782=AsOf-WEEKDAY(AsOf,3),"Yes",""))</f>
        <v/>
      </c>
      <c r="H782" s="29" t="str">
        <f aca="false">IF($G782="Yes",$A782+ROW()/100000,"")</f>
        <v/>
      </c>
    </row>
    <row r="783" customFormat="false" ht="15" hidden="false" customHeight="false" outlineLevel="0" collapsed="false">
      <c r="A783" s="27"/>
      <c r="B783" s="24"/>
      <c r="C783" s="24"/>
      <c r="D783" s="24"/>
      <c r="E783" s="28"/>
      <c r="F783" s="30" t="str">
        <f aca="false">IF($A783="","",$A783-WEEKDAY($A783,3))</f>
        <v/>
      </c>
      <c r="G783" s="29" t="str">
        <f aca="false">IF($A783="","",IF($F783=AsOf-WEEKDAY(AsOf,3),"Yes",""))</f>
        <v/>
      </c>
      <c r="H783" s="29" t="str">
        <f aca="false">IF($G783="Yes",$A783+ROW()/100000,"")</f>
        <v/>
      </c>
    </row>
    <row r="784" customFormat="false" ht="15" hidden="false" customHeight="false" outlineLevel="0" collapsed="false">
      <c r="A784" s="27"/>
      <c r="B784" s="24"/>
      <c r="C784" s="24"/>
      <c r="D784" s="24"/>
      <c r="E784" s="28"/>
      <c r="F784" s="30" t="str">
        <f aca="false">IF($A784="","",$A784-WEEKDAY($A784,3))</f>
        <v/>
      </c>
      <c r="G784" s="29" t="str">
        <f aca="false">IF($A784="","",IF($F784=AsOf-WEEKDAY(AsOf,3),"Yes",""))</f>
        <v/>
      </c>
      <c r="H784" s="29" t="str">
        <f aca="false">IF($G784="Yes",$A784+ROW()/100000,"")</f>
        <v/>
      </c>
    </row>
    <row r="785" customFormat="false" ht="15" hidden="false" customHeight="false" outlineLevel="0" collapsed="false">
      <c r="A785" s="27"/>
      <c r="B785" s="24"/>
      <c r="C785" s="24"/>
      <c r="D785" s="24"/>
      <c r="E785" s="28"/>
      <c r="F785" s="30" t="str">
        <f aca="false">IF($A785="","",$A785-WEEKDAY($A785,3))</f>
        <v/>
      </c>
      <c r="G785" s="29" t="str">
        <f aca="false">IF($A785="","",IF($F785=AsOf-WEEKDAY(AsOf,3),"Yes",""))</f>
        <v/>
      </c>
      <c r="H785" s="29" t="str">
        <f aca="false">IF($G785="Yes",$A785+ROW()/100000,"")</f>
        <v/>
      </c>
    </row>
    <row r="786" customFormat="false" ht="15" hidden="false" customHeight="false" outlineLevel="0" collapsed="false">
      <c r="A786" s="27"/>
      <c r="B786" s="24"/>
      <c r="C786" s="24"/>
      <c r="D786" s="24"/>
      <c r="E786" s="28"/>
      <c r="F786" s="30" t="str">
        <f aca="false">IF($A786="","",$A786-WEEKDAY($A786,3))</f>
        <v/>
      </c>
      <c r="G786" s="29" t="str">
        <f aca="false">IF($A786="","",IF($F786=AsOf-WEEKDAY(AsOf,3),"Yes",""))</f>
        <v/>
      </c>
      <c r="H786" s="29" t="str">
        <f aca="false">IF($G786="Yes",$A786+ROW()/100000,"")</f>
        <v/>
      </c>
    </row>
    <row r="787" customFormat="false" ht="15" hidden="false" customHeight="false" outlineLevel="0" collapsed="false">
      <c r="A787" s="27"/>
      <c r="B787" s="24"/>
      <c r="C787" s="24"/>
      <c r="D787" s="24"/>
      <c r="E787" s="28"/>
      <c r="F787" s="30" t="str">
        <f aca="false">IF($A787="","",$A787-WEEKDAY($A787,3))</f>
        <v/>
      </c>
      <c r="G787" s="29" t="str">
        <f aca="false">IF($A787="","",IF($F787=AsOf-WEEKDAY(AsOf,3),"Yes",""))</f>
        <v/>
      </c>
      <c r="H787" s="29" t="str">
        <f aca="false">IF($G787="Yes",$A787+ROW()/100000,"")</f>
        <v/>
      </c>
    </row>
    <row r="788" customFormat="false" ht="15" hidden="false" customHeight="false" outlineLevel="0" collapsed="false">
      <c r="A788" s="27"/>
      <c r="B788" s="24"/>
      <c r="C788" s="24"/>
      <c r="D788" s="24"/>
      <c r="E788" s="28"/>
      <c r="F788" s="30" t="str">
        <f aca="false">IF($A788="","",$A788-WEEKDAY($A788,3))</f>
        <v/>
      </c>
      <c r="G788" s="29" t="str">
        <f aca="false">IF($A788="","",IF($F788=AsOf-WEEKDAY(AsOf,3),"Yes",""))</f>
        <v/>
      </c>
      <c r="H788" s="29" t="str">
        <f aca="false">IF($G788="Yes",$A788+ROW()/100000,"")</f>
        <v/>
      </c>
    </row>
    <row r="789" customFormat="false" ht="15" hidden="false" customHeight="false" outlineLevel="0" collapsed="false">
      <c r="A789" s="27"/>
      <c r="B789" s="24"/>
      <c r="C789" s="24"/>
      <c r="D789" s="24"/>
      <c r="E789" s="28"/>
      <c r="F789" s="30" t="str">
        <f aca="false">IF($A789="","",$A789-WEEKDAY($A789,3))</f>
        <v/>
      </c>
      <c r="G789" s="29" t="str">
        <f aca="false">IF($A789="","",IF($F789=AsOf-WEEKDAY(AsOf,3),"Yes",""))</f>
        <v/>
      </c>
      <c r="H789" s="29" t="str">
        <f aca="false">IF($G789="Yes",$A789+ROW()/100000,"")</f>
        <v/>
      </c>
    </row>
    <row r="790" customFormat="false" ht="15" hidden="false" customHeight="false" outlineLevel="0" collapsed="false">
      <c r="A790" s="27"/>
      <c r="B790" s="24"/>
      <c r="C790" s="24"/>
      <c r="D790" s="24"/>
      <c r="E790" s="28"/>
      <c r="F790" s="30" t="str">
        <f aca="false">IF($A790="","",$A790-WEEKDAY($A790,3))</f>
        <v/>
      </c>
      <c r="G790" s="29" t="str">
        <f aca="false">IF($A790="","",IF($F790=AsOf-WEEKDAY(AsOf,3),"Yes",""))</f>
        <v/>
      </c>
      <c r="H790" s="29" t="str">
        <f aca="false">IF($G790="Yes",$A790+ROW()/100000,"")</f>
        <v/>
      </c>
    </row>
    <row r="791" customFormat="false" ht="15" hidden="false" customHeight="false" outlineLevel="0" collapsed="false">
      <c r="A791" s="27"/>
      <c r="B791" s="24"/>
      <c r="C791" s="24"/>
      <c r="D791" s="24"/>
      <c r="E791" s="28"/>
      <c r="F791" s="30" t="str">
        <f aca="false">IF($A791="","",$A791-WEEKDAY($A791,3))</f>
        <v/>
      </c>
      <c r="G791" s="29" t="str">
        <f aca="false">IF($A791="","",IF($F791=AsOf-WEEKDAY(AsOf,3),"Yes",""))</f>
        <v/>
      </c>
      <c r="H791" s="29" t="str">
        <f aca="false">IF($G791="Yes",$A791+ROW()/100000,"")</f>
        <v/>
      </c>
    </row>
    <row r="792" customFormat="false" ht="15" hidden="false" customHeight="false" outlineLevel="0" collapsed="false">
      <c r="A792" s="27"/>
      <c r="B792" s="24"/>
      <c r="C792" s="24"/>
      <c r="D792" s="24"/>
      <c r="E792" s="28"/>
      <c r="F792" s="30" t="str">
        <f aca="false">IF($A792="","",$A792-WEEKDAY($A792,3))</f>
        <v/>
      </c>
      <c r="G792" s="29" t="str">
        <f aca="false">IF($A792="","",IF($F792=AsOf-WEEKDAY(AsOf,3),"Yes",""))</f>
        <v/>
      </c>
      <c r="H792" s="29" t="str">
        <f aca="false">IF($G792="Yes",$A792+ROW()/100000,"")</f>
        <v/>
      </c>
    </row>
    <row r="793" customFormat="false" ht="15" hidden="false" customHeight="false" outlineLevel="0" collapsed="false">
      <c r="A793" s="27"/>
      <c r="B793" s="24"/>
      <c r="C793" s="24"/>
      <c r="D793" s="24"/>
      <c r="E793" s="28"/>
      <c r="F793" s="30" t="str">
        <f aca="false">IF($A793="","",$A793-WEEKDAY($A793,3))</f>
        <v/>
      </c>
      <c r="G793" s="29" t="str">
        <f aca="false">IF($A793="","",IF($F793=AsOf-WEEKDAY(AsOf,3),"Yes",""))</f>
        <v/>
      </c>
      <c r="H793" s="29" t="str">
        <f aca="false">IF($G793="Yes",$A793+ROW()/100000,"")</f>
        <v/>
      </c>
    </row>
    <row r="794" customFormat="false" ht="15" hidden="false" customHeight="false" outlineLevel="0" collapsed="false">
      <c r="A794" s="27"/>
      <c r="B794" s="24"/>
      <c r="C794" s="24"/>
      <c r="D794" s="24"/>
      <c r="E794" s="28"/>
      <c r="F794" s="30" t="str">
        <f aca="false">IF($A794="","",$A794-WEEKDAY($A794,3))</f>
        <v/>
      </c>
      <c r="G794" s="29" t="str">
        <f aca="false">IF($A794="","",IF($F794=AsOf-WEEKDAY(AsOf,3),"Yes",""))</f>
        <v/>
      </c>
      <c r="H794" s="29" t="str">
        <f aca="false">IF($G794="Yes",$A794+ROW()/100000,"")</f>
        <v/>
      </c>
    </row>
    <row r="795" customFormat="false" ht="15" hidden="false" customHeight="false" outlineLevel="0" collapsed="false">
      <c r="A795" s="27"/>
      <c r="B795" s="24"/>
      <c r="C795" s="24"/>
      <c r="D795" s="24"/>
      <c r="E795" s="28"/>
      <c r="F795" s="30" t="str">
        <f aca="false">IF($A795="","",$A795-WEEKDAY($A795,3))</f>
        <v/>
      </c>
      <c r="G795" s="29" t="str">
        <f aca="false">IF($A795="","",IF($F795=AsOf-WEEKDAY(AsOf,3),"Yes",""))</f>
        <v/>
      </c>
      <c r="H795" s="29" t="str">
        <f aca="false">IF($G795="Yes",$A795+ROW()/100000,"")</f>
        <v/>
      </c>
    </row>
    <row r="796" customFormat="false" ht="15" hidden="false" customHeight="false" outlineLevel="0" collapsed="false">
      <c r="A796" s="27"/>
      <c r="B796" s="24"/>
      <c r="C796" s="24"/>
      <c r="D796" s="24"/>
      <c r="E796" s="28"/>
      <c r="F796" s="30" t="str">
        <f aca="false">IF($A796="","",$A796-WEEKDAY($A796,3))</f>
        <v/>
      </c>
      <c r="G796" s="29" t="str">
        <f aca="false">IF($A796="","",IF($F796=AsOf-WEEKDAY(AsOf,3),"Yes",""))</f>
        <v/>
      </c>
      <c r="H796" s="29" t="str">
        <f aca="false">IF($G796="Yes",$A796+ROW()/100000,"")</f>
        <v/>
      </c>
    </row>
    <row r="797" customFormat="false" ht="15" hidden="false" customHeight="false" outlineLevel="0" collapsed="false">
      <c r="A797" s="27"/>
      <c r="B797" s="24"/>
      <c r="C797" s="24"/>
      <c r="D797" s="24"/>
      <c r="E797" s="28"/>
      <c r="F797" s="30" t="str">
        <f aca="false">IF($A797="","",$A797-WEEKDAY($A797,3))</f>
        <v/>
      </c>
      <c r="G797" s="29" t="str">
        <f aca="false">IF($A797="","",IF($F797=AsOf-WEEKDAY(AsOf,3),"Yes",""))</f>
        <v/>
      </c>
      <c r="H797" s="29" t="str">
        <f aca="false">IF($G797="Yes",$A797+ROW()/100000,"")</f>
        <v/>
      </c>
    </row>
    <row r="798" customFormat="false" ht="15" hidden="false" customHeight="false" outlineLevel="0" collapsed="false">
      <c r="A798" s="27"/>
      <c r="B798" s="24"/>
      <c r="C798" s="24"/>
      <c r="D798" s="24"/>
      <c r="E798" s="28"/>
      <c r="F798" s="30" t="str">
        <f aca="false">IF($A798="","",$A798-WEEKDAY($A798,3))</f>
        <v/>
      </c>
      <c r="G798" s="29" t="str">
        <f aca="false">IF($A798="","",IF($F798=AsOf-WEEKDAY(AsOf,3),"Yes",""))</f>
        <v/>
      </c>
      <c r="H798" s="29" t="str">
        <f aca="false">IF($G798="Yes",$A798+ROW()/100000,"")</f>
        <v/>
      </c>
    </row>
    <row r="799" customFormat="false" ht="15" hidden="false" customHeight="false" outlineLevel="0" collapsed="false">
      <c r="A799" s="27"/>
      <c r="B799" s="24"/>
      <c r="C799" s="24"/>
      <c r="D799" s="24"/>
      <c r="E799" s="28"/>
      <c r="F799" s="30" t="str">
        <f aca="false">IF($A799="","",$A799-WEEKDAY($A799,3))</f>
        <v/>
      </c>
      <c r="G799" s="29" t="str">
        <f aca="false">IF($A799="","",IF($F799=AsOf-WEEKDAY(AsOf,3),"Yes",""))</f>
        <v/>
      </c>
      <c r="H799" s="29" t="str">
        <f aca="false">IF($G799="Yes",$A799+ROW()/100000,"")</f>
        <v/>
      </c>
    </row>
    <row r="800" customFormat="false" ht="15" hidden="false" customHeight="false" outlineLevel="0" collapsed="false">
      <c r="A800" s="27"/>
      <c r="B800" s="24"/>
      <c r="C800" s="24"/>
      <c r="D800" s="24"/>
      <c r="E800" s="28"/>
      <c r="F800" s="30" t="str">
        <f aca="false">IF($A800="","",$A800-WEEKDAY($A800,3))</f>
        <v/>
      </c>
      <c r="G800" s="29" t="str">
        <f aca="false">IF($A800="","",IF($F800=AsOf-WEEKDAY(AsOf,3),"Yes",""))</f>
        <v/>
      </c>
      <c r="H800" s="29" t="str">
        <f aca="false">IF($G800="Yes",$A800+ROW()/100000,"")</f>
        <v/>
      </c>
    </row>
    <row r="801" customFormat="false" ht="15" hidden="false" customHeight="false" outlineLevel="0" collapsed="false">
      <c r="A801" s="27"/>
      <c r="B801" s="24"/>
      <c r="C801" s="24"/>
      <c r="D801" s="24"/>
      <c r="E801" s="28"/>
      <c r="F801" s="30" t="str">
        <f aca="false">IF($A801="","",$A801-WEEKDAY($A801,3))</f>
        <v/>
      </c>
      <c r="G801" s="29" t="str">
        <f aca="false">IF($A801="","",IF($F801=AsOf-WEEKDAY(AsOf,3),"Yes",""))</f>
        <v/>
      </c>
      <c r="H801" s="29" t="str">
        <f aca="false">IF($G801="Yes",$A801+ROW()/100000,"")</f>
        <v/>
      </c>
    </row>
    <row r="802" customFormat="false" ht="15" hidden="false" customHeight="false" outlineLevel="0" collapsed="false">
      <c r="A802" s="27"/>
      <c r="B802" s="24"/>
      <c r="C802" s="24"/>
      <c r="D802" s="24"/>
      <c r="E802" s="28"/>
      <c r="F802" s="30" t="str">
        <f aca="false">IF($A802="","",$A802-WEEKDAY($A802,3))</f>
        <v/>
      </c>
      <c r="G802" s="29" t="str">
        <f aca="false">IF($A802="","",IF($F802=AsOf-WEEKDAY(AsOf,3),"Yes",""))</f>
        <v/>
      </c>
      <c r="H802" s="29" t="str">
        <f aca="false">IF($G802="Yes",$A802+ROW()/100000,"")</f>
        <v/>
      </c>
    </row>
    <row r="803" customFormat="false" ht="15" hidden="false" customHeight="false" outlineLevel="0" collapsed="false">
      <c r="A803" s="27"/>
      <c r="B803" s="24"/>
      <c r="C803" s="24"/>
      <c r="D803" s="24"/>
      <c r="E803" s="28"/>
      <c r="F803" s="30" t="str">
        <f aca="false">IF($A803="","",$A803-WEEKDAY($A803,3))</f>
        <v/>
      </c>
      <c r="G803" s="29" t="str">
        <f aca="false">IF($A803="","",IF($F803=AsOf-WEEKDAY(AsOf,3),"Yes",""))</f>
        <v/>
      </c>
      <c r="H803" s="29" t="str">
        <f aca="false">IF($G803="Yes",$A803+ROW()/100000,"")</f>
        <v/>
      </c>
    </row>
    <row r="804" customFormat="false" ht="15" hidden="false" customHeight="false" outlineLevel="0" collapsed="false">
      <c r="A804" s="27"/>
      <c r="B804" s="24"/>
      <c r="C804" s="24"/>
      <c r="D804" s="24"/>
      <c r="E804" s="28"/>
      <c r="F804" s="30" t="str">
        <f aca="false">IF($A804="","",$A804-WEEKDAY($A804,3))</f>
        <v/>
      </c>
      <c r="G804" s="29" t="str">
        <f aca="false">IF($A804="","",IF($F804=AsOf-WEEKDAY(AsOf,3),"Yes",""))</f>
        <v/>
      </c>
      <c r="H804" s="29" t="str">
        <f aca="false">IF($G804="Yes",$A804+ROW()/100000,"")</f>
        <v/>
      </c>
    </row>
    <row r="805" customFormat="false" ht="15" hidden="false" customHeight="false" outlineLevel="0" collapsed="false">
      <c r="A805" s="27"/>
      <c r="B805" s="24"/>
      <c r="C805" s="24"/>
      <c r="D805" s="24"/>
      <c r="E805" s="28"/>
      <c r="F805" s="30" t="str">
        <f aca="false">IF($A805="","",$A805-WEEKDAY($A805,3))</f>
        <v/>
      </c>
      <c r="G805" s="29" t="str">
        <f aca="false">IF($A805="","",IF($F805=AsOf-WEEKDAY(AsOf,3),"Yes",""))</f>
        <v/>
      </c>
      <c r="H805" s="29" t="str">
        <f aca="false">IF($G805="Yes",$A805+ROW()/100000,"")</f>
        <v/>
      </c>
    </row>
    <row r="806" customFormat="false" ht="15" hidden="false" customHeight="false" outlineLevel="0" collapsed="false">
      <c r="A806" s="27"/>
      <c r="B806" s="24"/>
      <c r="C806" s="24"/>
      <c r="D806" s="24"/>
      <c r="E806" s="28"/>
      <c r="F806" s="30" t="str">
        <f aca="false">IF($A806="","",$A806-WEEKDAY($A806,3))</f>
        <v/>
      </c>
      <c r="G806" s="29" t="str">
        <f aca="false">IF($A806="","",IF($F806=AsOf-WEEKDAY(AsOf,3),"Yes",""))</f>
        <v/>
      </c>
      <c r="H806" s="29" t="str">
        <f aca="false">IF($G806="Yes",$A806+ROW()/100000,"")</f>
        <v/>
      </c>
    </row>
    <row r="807" customFormat="false" ht="15" hidden="false" customHeight="false" outlineLevel="0" collapsed="false">
      <c r="A807" s="27"/>
      <c r="B807" s="24"/>
      <c r="C807" s="24"/>
      <c r="D807" s="24"/>
      <c r="E807" s="28"/>
      <c r="F807" s="30" t="str">
        <f aca="false">IF($A807="","",$A807-WEEKDAY($A807,3))</f>
        <v/>
      </c>
      <c r="G807" s="29" t="str">
        <f aca="false">IF($A807="","",IF($F807=AsOf-WEEKDAY(AsOf,3),"Yes",""))</f>
        <v/>
      </c>
      <c r="H807" s="29" t="str">
        <f aca="false">IF($G807="Yes",$A807+ROW()/100000,"")</f>
        <v/>
      </c>
    </row>
    <row r="808" customFormat="false" ht="15" hidden="false" customHeight="false" outlineLevel="0" collapsed="false">
      <c r="A808" s="27"/>
      <c r="B808" s="24"/>
      <c r="C808" s="24"/>
      <c r="D808" s="24"/>
      <c r="E808" s="28"/>
      <c r="F808" s="30" t="str">
        <f aca="false">IF($A808="","",$A808-WEEKDAY($A808,3))</f>
        <v/>
      </c>
      <c r="G808" s="29" t="str">
        <f aca="false">IF($A808="","",IF($F808=AsOf-WEEKDAY(AsOf,3),"Yes",""))</f>
        <v/>
      </c>
      <c r="H808" s="29" t="str">
        <f aca="false">IF($G808="Yes",$A808+ROW()/100000,"")</f>
        <v/>
      </c>
    </row>
    <row r="809" customFormat="false" ht="15" hidden="false" customHeight="false" outlineLevel="0" collapsed="false">
      <c r="A809" s="27"/>
      <c r="B809" s="24"/>
      <c r="C809" s="24"/>
      <c r="D809" s="24"/>
      <c r="E809" s="28"/>
      <c r="F809" s="30" t="str">
        <f aca="false">IF($A809="","",$A809-WEEKDAY($A809,3))</f>
        <v/>
      </c>
      <c r="G809" s="29" t="str">
        <f aca="false">IF($A809="","",IF($F809=AsOf-WEEKDAY(AsOf,3),"Yes",""))</f>
        <v/>
      </c>
      <c r="H809" s="29" t="str">
        <f aca="false">IF($G809="Yes",$A809+ROW()/100000,"")</f>
        <v/>
      </c>
    </row>
    <row r="810" customFormat="false" ht="15" hidden="false" customHeight="false" outlineLevel="0" collapsed="false">
      <c r="A810" s="27"/>
      <c r="B810" s="24"/>
      <c r="C810" s="24"/>
      <c r="D810" s="24"/>
      <c r="E810" s="28"/>
      <c r="F810" s="30" t="str">
        <f aca="false">IF($A810="","",$A810-WEEKDAY($A810,3))</f>
        <v/>
      </c>
      <c r="G810" s="29" t="str">
        <f aca="false">IF($A810="","",IF($F810=AsOf-WEEKDAY(AsOf,3),"Yes",""))</f>
        <v/>
      </c>
      <c r="H810" s="29" t="str">
        <f aca="false">IF($G810="Yes",$A810+ROW()/100000,"")</f>
        <v/>
      </c>
    </row>
    <row r="811" customFormat="false" ht="15" hidden="false" customHeight="false" outlineLevel="0" collapsed="false">
      <c r="A811" s="27"/>
      <c r="B811" s="24"/>
      <c r="C811" s="24"/>
      <c r="D811" s="24"/>
      <c r="E811" s="28"/>
      <c r="F811" s="30" t="str">
        <f aca="false">IF($A811="","",$A811-WEEKDAY($A811,3))</f>
        <v/>
      </c>
      <c r="G811" s="29" t="str">
        <f aca="false">IF($A811="","",IF($F811=AsOf-WEEKDAY(AsOf,3),"Yes",""))</f>
        <v/>
      </c>
      <c r="H811" s="29" t="str">
        <f aca="false">IF($G811="Yes",$A811+ROW()/100000,"")</f>
        <v/>
      </c>
    </row>
    <row r="812" customFormat="false" ht="15" hidden="false" customHeight="false" outlineLevel="0" collapsed="false">
      <c r="A812" s="27"/>
      <c r="B812" s="24"/>
      <c r="C812" s="24"/>
      <c r="D812" s="24"/>
      <c r="E812" s="28"/>
      <c r="F812" s="30" t="str">
        <f aca="false">IF($A812="","",$A812-WEEKDAY($A812,3))</f>
        <v/>
      </c>
      <c r="G812" s="29" t="str">
        <f aca="false">IF($A812="","",IF($F812=AsOf-WEEKDAY(AsOf,3),"Yes",""))</f>
        <v/>
      </c>
      <c r="H812" s="29" t="str">
        <f aca="false">IF($G812="Yes",$A812+ROW()/100000,"")</f>
        <v/>
      </c>
    </row>
    <row r="813" customFormat="false" ht="15" hidden="false" customHeight="false" outlineLevel="0" collapsed="false">
      <c r="A813" s="27"/>
      <c r="B813" s="24"/>
      <c r="C813" s="24"/>
      <c r="D813" s="24"/>
      <c r="E813" s="28"/>
      <c r="F813" s="30" t="str">
        <f aca="false">IF($A813="","",$A813-WEEKDAY($A813,3))</f>
        <v/>
      </c>
      <c r="G813" s="29" t="str">
        <f aca="false">IF($A813="","",IF($F813=AsOf-WEEKDAY(AsOf,3),"Yes",""))</f>
        <v/>
      </c>
      <c r="H813" s="29" t="str">
        <f aca="false">IF($G813="Yes",$A813+ROW()/100000,"")</f>
        <v/>
      </c>
    </row>
    <row r="814" customFormat="false" ht="15" hidden="false" customHeight="false" outlineLevel="0" collapsed="false">
      <c r="A814" s="27"/>
      <c r="B814" s="24"/>
      <c r="C814" s="24"/>
      <c r="D814" s="24"/>
      <c r="E814" s="28"/>
      <c r="F814" s="30" t="str">
        <f aca="false">IF($A814="","",$A814-WEEKDAY($A814,3))</f>
        <v/>
      </c>
      <c r="G814" s="29" t="str">
        <f aca="false">IF($A814="","",IF($F814=AsOf-WEEKDAY(AsOf,3),"Yes",""))</f>
        <v/>
      </c>
      <c r="H814" s="29" t="str">
        <f aca="false">IF($G814="Yes",$A814+ROW()/100000,"")</f>
        <v/>
      </c>
    </row>
    <row r="815" customFormat="false" ht="15" hidden="false" customHeight="false" outlineLevel="0" collapsed="false">
      <c r="A815" s="27"/>
      <c r="B815" s="24"/>
      <c r="C815" s="24"/>
      <c r="D815" s="24"/>
      <c r="E815" s="28"/>
      <c r="F815" s="30" t="str">
        <f aca="false">IF($A815="","",$A815-WEEKDAY($A815,3))</f>
        <v/>
      </c>
      <c r="G815" s="29" t="str">
        <f aca="false">IF($A815="","",IF($F815=AsOf-WEEKDAY(AsOf,3),"Yes",""))</f>
        <v/>
      </c>
      <c r="H815" s="29" t="str">
        <f aca="false">IF($G815="Yes",$A815+ROW()/100000,"")</f>
        <v/>
      </c>
    </row>
    <row r="816" customFormat="false" ht="15" hidden="false" customHeight="false" outlineLevel="0" collapsed="false">
      <c r="A816" s="27"/>
      <c r="B816" s="24"/>
      <c r="C816" s="24"/>
      <c r="D816" s="24"/>
      <c r="E816" s="28"/>
      <c r="F816" s="30" t="str">
        <f aca="false">IF($A816="","",$A816-WEEKDAY($A816,3))</f>
        <v/>
      </c>
      <c r="G816" s="29" t="str">
        <f aca="false">IF($A816="","",IF($F816=AsOf-WEEKDAY(AsOf,3),"Yes",""))</f>
        <v/>
      </c>
      <c r="H816" s="29" t="str">
        <f aca="false">IF($G816="Yes",$A816+ROW()/100000,"")</f>
        <v/>
      </c>
    </row>
    <row r="817" customFormat="false" ht="15" hidden="false" customHeight="false" outlineLevel="0" collapsed="false">
      <c r="A817" s="27"/>
      <c r="B817" s="24"/>
      <c r="C817" s="24"/>
      <c r="D817" s="24"/>
      <c r="E817" s="28"/>
      <c r="F817" s="30" t="str">
        <f aca="false">IF($A817="","",$A817-WEEKDAY($A817,3))</f>
        <v/>
      </c>
      <c r="G817" s="29" t="str">
        <f aca="false">IF($A817="","",IF($F817=AsOf-WEEKDAY(AsOf,3),"Yes",""))</f>
        <v/>
      </c>
      <c r="H817" s="29" t="str">
        <f aca="false">IF($G817="Yes",$A817+ROW()/100000,"")</f>
        <v/>
      </c>
    </row>
    <row r="818" customFormat="false" ht="15" hidden="false" customHeight="false" outlineLevel="0" collapsed="false">
      <c r="A818" s="27"/>
      <c r="B818" s="24"/>
      <c r="C818" s="24"/>
      <c r="D818" s="24"/>
      <c r="E818" s="28"/>
      <c r="F818" s="30" t="str">
        <f aca="false">IF($A818="","",$A818-WEEKDAY($A818,3))</f>
        <v/>
      </c>
      <c r="G818" s="29" t="str">
        <f aca="false">IF($A818="","",IF($F818=AsOf-WEEKDAY(AsOf,3),"Yes",""))</f>
        <v/>
      </c>
      <c r="H818" s="29" t="str">
        <f aca="false">IF($G818="Yes",$A818+ROW()/100000,"")</f>
        <v/>
      </c>
    </row>
    <row r="819" customFormat="false" ht="15" hidden="false" customHeight="false" outlineLevel="0" collapsed="false">
      <c r="A819" s="27"/>
      <c r="B819" s="24"/>
      <c r="C819" s="24"/>
      <c r="D819" s="24"/>
      <c r="E819" s="28"/>
      <c r="F819" s="30" t="str">
        <f aca="false">IF($A819="","",$A819-WEEKDAY($A819,3))</f>
        <v/>
      </c>
      <c r="G819" s="29" t="str">
        <f aca="false">IF($A819="","",IF($F819=AsOf-WEEKDAY(AsOf,3),"Yes",""))</f>
        <v/>
      </c>
      <c r="H819" s="29" t="str">
        <f aca="false">IF($G819="Yes",$A819+ROW()/100000,"")</f>
        <v/>
      </c>
    </row>
    <row r="820" customFormat="false" ht="15" hidden="false" customHeight="false" outlineLevel="0" collapsed="false">
      <c r="A820" s="27"/>
      <c r="B820" s="24"/>
      <c r="C820" s="24"/>
      <c r="D820" s="24"/>
      <c r="E820" s="28"/>
      <c r="F820" s="30" t="str">
        <f aca="false">IF($A820="","",$A820-WEEKDAY($A820,3))</f>
        <v/>
      </c>
      <c r="G820" s="29" t="str">
        <f aca="false">IF($A820="","",IF($F820=AsOf-WEEKDAY(AsOf,3),"Yes",""))</f>
        <v/>
      </c>
      <c r="H820" s="29" t="str">
        <f aca="false">IF($G820="Yes",$A820+ROW()/100000,"")</f>
        <v/>
      </c>
    </row>
    <row r="821" customFormat="false" ht="15" hidden="false" customHeight="false" outlineLevel="0" collapsed="false">
      <c r="A821" s="27"/>
      <c r="B821" s="24"/>
      <c r="C821" s="24"/>
      <c r="D821" s="24"/>
      <c r="E821" s="28"/>
      <c r="F821" s="30" t="str">
        <f aca="false">IF($A821="","",$A821-WEEKDAY($A821,3))</f>
        <v/>
      </c>
      <c r="G821" s="29" t="str">
        <f aca="false">IF($A821="","",IF($F821=AsOf-WEEKDAY(AsOf,3),"Yes",""))</f>
        <v/>
      </c>
      <c r="H821" s="29" t="str">
        <f aca="false">IF($G821="Yes",$A821+ROW()/100000,"")</f>
        <v/>
      </c>
    </row>
    <row r="822" customFormat="false" ht="15" hidden="false" customHeight="false" outlineLevel="0" collapsed="false">
      <c r="A822" s="27"/>
      <c r="B822" s="24"/>
      <c r="C822" s="24"/>
      <c r="D822" s="24"/>
      <c r="E822" s="28"/>
      <c r="F822" s="30" t="str">
        <f aca="false">IF($A822="","",$A822-WEEKDAY($A822,3))</f>
        <v/>
      </c>
      <c r="G822" s="29" t="str">
        <f aca="false">IF($A822="","",IF($F822=AsOf-WEEKDAY(AsOf,3),"Yes",""))</f>
        <v/>
      </c>
      <c r="H822" s="29" t="str">
        <f aca="false">IF($G822="Yes",$A822+ROW()/100000,"")</f>
        <v/>
      </c>
    </row>
    <row r="823" customFormat="false" ht="15" hidden="false" customHeight="false" outlineLevel="0" collapsed="false">
      <c r="A823" s="27"/>
      <c r="B823" s="24"/>
      <c r="C823" s="24"/>
      <c r="D823" s="24"/>
      <c r="E823" s="28"/>
      <c r="F823" s="30" t="str">
        <f aca="false">IF($A823="","",$A823-WEEKDAY($A823,3))</f>
        <v/>
      </c>
      <c r="G823" s="29" t="str">
        <f aca="false">IF($A823="","",IF($F823=AsOf-WEEKDAY(AsOf,3),"Yes",""))</f>
        <v/>
      </c>
      <c r="H823" s="29" t="str">
        <f aca="false">IF($G823="Yes",$A823+ROW()/100000,"")</f>
        <v/>
      </c>
    </row>
    <row r="824" customFormat="false" ht="15" hidden="false" customHeight="false" outlineLevel="0" collapsed="false">
      <c r="A824" s="27"/>
      <c r="B824" s="24"/>
      <c r="C824" s="24"/>
      <c r="D824" s="24"/>
      <c r="E824" s="28"/>
      <c r="F824" s="30" t="str">
        <f aca="false">IF($A824="","",$A824-WEEKDAY($A824,3))</f>
        <v/>
      </c>
      <c r="G824" s="29" t="str">
        <f aca="false">IF($A824="","",IF($F824=AsOf-WEEKDAY(AsOf,3),"Yes",""))</f>
        <v/>
      </c>
      <c r="H824" s="29" t="str">
        <f aca="false">IF($G824="Yes",$A824+ROW()/100000,"")</f>
        <v/>
      </c>
    </row>
    <row r="825" customFormat="false" ht="15" hidden="false" customHeight="false" outlineLevel="0" collapsed="false">
      <c r="A825" s="27"/>
      <c r="B825" s="24"/>
      <c r="C825" s="24"/>
      <c r="D825" s="24"/>
      <c r="E825" s="28"/>
      <c r="F825" s="30" t="str">
        <f aca="false">IF($A825="","",$A825-WEEKDAY($A825,3))</f>
        <v/>
      </c>
      <c r="G825" s="29" t="str">
        <f aca="false">IF($A825="","",IF($F825=AsOf-WEEKDAY(AsOf,3),"Yes",""))</f>
        <v/>
      </c>
      <c r="H825" s="29" t="str">
        <f aca="false">IF($G825="Yes",$A825+ROW()/100000,"")</f>
        <v/>
      </c>
    </row>
    <row r="826" customFormat="false" ht="15" hidden="false" customHeight="false" outlineLevel="0" collapsed="false">
      <c r="A826" s="27"/>
      <c r="B826" s="24"/>
      <c r="C826" s="24"/>
      <c r="D826" s="24"/>
      <c r="E826" s="28"/>
      <c r="F826" s="30" t="str">
        <f aca="false">IF($A826="","",$A826-WEEKDAY($A826,3))</f>
        <v/>
      </c>
      <c r="G826" s="29" t="str">
        <f aca="false">IF($A826="","",IF($F826=AsOf-WEEKDAY(AsOf,3),"Yes",""))</f>
        <v/>
      </c>
      <c r="H826" s="29" t="str">
        <f aca="false">IF($G826="Yes",$A826+ROW()/100000,"")</f>
        <v/>
      </c>
    </row>
    <row r="827" customFormat="false" ht="15" hidden="false" customHeight="false" outlineLevel="0" collapsed="false">
      <c r="A827" s="27"/>
      <c r="B827" s="24"/>
      <c r="C827" s="24"/>
      <c r="D827" s="24"/>
      <c r="E827" s="28"/>
      <c r="F827" s="30" t="str">
        <f aca="false">IF($A827="","",$A827-WEEKDAY($A827,3))</f>
        <v/>
      </c>
      <c r="G827" s="29" t="str">
        <f aca="false">IF($A827="","",IF($F827=AsOf-WEEKDAY(AsOf,3),"Yes",""))</f>
        <v/>
      </c>
      <c r="H827" s="29" t="str">
        <f aca="false">IF($G827="Yes",$A827+ROW()/100000,"")</f>
        <v/>
      </c>
    </row>
    <row r="828" customFormat="false" ht="15" hidden="false" customHeight="false" outlineLevel="0" collapsed="false">
      <c r="A828" s="27"/>
      <c r="B828" s="24"/>
      <c r="C828" s="24"/>
      <c r="D828" s="24"/>
      <c r="E828" s="28"/>
      <c r="F828" s="30" t="str">
        <f aca="false">IF($A828="","",$A828-WEEKDAY($A828,3))</f>
        <v/>
      </c>
      <c r="G828" s="29" t="str">
        <f aca="false">IF($A828="","",IF($F828=AsOf-WEEKDAY(AsOf,3),"Yes",""))</f>
        <v/>
      </c>
      <c r="H828" s="29" t="str">
        <f aca="false">IF($G828="Yes",$A828+ROW()/100000,"")</f>
        <v/>
      </c>
    </row>
    <row r="829" customFormat="false" ht="15" hidden="false" customHeight="false" outlineLevel="0" collapsed="false">
      <c r="A829" s="27"/>
      <c r="B829" s="24"/>
      <c r="C829" s="24"/>
      <c r="D829" s="24"/>
      <c r="E829" s="28"/>
      <c r="F829" s="30" t="str">
        <f aca="false">IF($A829="","",$A829-WEEKDAY($A829,3))</f>
        <v/>
      </c>
      <c r="G829" s="29" t="str">
        <f aca="false">IF($A829="","",IF($F829=AsOf-WEEKDAY(AsOf,3),"Yes",""))</f>
        <v/>
      </c>
      <c r="H829" s="29" t="str">
        <f aca="false">IF($G829="Yes",$A829+ROW()/100000,"")</f>
        <v/>
      </c>
    </row>
    <row r="830" customFormat="false" ht="15" hidden="false" customHeight="false" outlineLevel="0" collapsed="false">
      <c r="A830" s="27"/>
      <c r="B830" s="24"/>
      <c r="C830" s="24"/>
      <c r="D830" s="24"/>
      <c r="E830" s="28"/>
      <c r="F830" s="30" t="str">
        <f aca="false">IF($A830="","",$A830-WEEKDAY($A830,3))</f>
        <v/>
      </c>
      <c r="G830" s="29" t="str">
        <f aca="false">IF($A830="","",IF($F830=AsOf-WEEKDAY(AsOf,3),"Yes",""))</f>
        <v/>
      </c>
      <c r="H830" s="29" t="str">
        <f aca="false">IF($G830="Yes",$A830+ROW()/100000,"")</f>
        <v/>
      </c>
    </row>
    <row r="831" customFormat="false" ht="15" hidden="false" customHeight="false" outlineLevel="0" collapsed="false">
      <c r="A831" s="27"/>
      <c r="B831" s="24"/>
      <c r="C831" s="24"/>
      <c r="D831" s="24"/>
      <c r="E831" s="28"/>
      <c r="F831" s="30" t="str">
        <f aca="false">IF($A831="","",$A831-WEEKDAY($A831,3))</f>
        <v/>
      </c>
      <c r="G831" s="29" t="str">
        <f aca="false">IF($A831="","",IF($F831=AsOf-WEEKDAY(AsOf,3),"Yes",""))</f>
        <v/>
      </c>
      <c r="H831" s="29" t="str">
        <f aca="false">IF($G831="Yes",$A831+ROW()/100000,"")</f>
        <v/>
      </c>
    </row>
    <row r="832" customFormat="false" ht="15" hidden="false" customHeight="false" outlineLevel="0" collapsed="false">
      <c r="A832" s="27"/>
      <c r="B832" s="24"/>
      <c r="C832" s="24"/>
      <c r="D832" s="24"/>
      <c r="E832" s="28"/>
      <c r="F832" s="30" t="str">
        <f aca="false">IF($A832="","",$A832-WEEKDAY($A832,3))</f>
        <v/>
      </c>
      <c r="G832" s="29" t="str">
        <f aca="false">IF($A832="","",IF($F832=AsOf-WEEKDAY(AsOf,3),"Yes",""))</f>
        <v/>
      </c>
      <c r="H832" s="29" t="str">
        <f aca="false">IF($G832="Yes",$A832+ROW()/100000,"")</f>
        <v/>
      </c>
    </row>
    <row r="833" customFormat="false" ht="15" hidden="false" customHeight="false" outlineLevel="0" collapsed="false">
      <c r="A833" s="27"/>
      <c r="B833" s="24"/>
      <c r="C833" s="24"/>
      <c r="D833" s="24"/>
      <c r="E833" s="28"/>
      <c r="F833" s="30" t="str">
        <f aca="false">IF($A833="","",$A833-WEEKDAY($A833,3))</f>
        <v/>
      </c>
      <c r="G833" s="29" t="str">
        <f aca="false">IF($A833="","",IF($F833=AsOf-WEEKDAY(AsOf,3),"Yes",""))</f>
        <v/>
      </c>
      <c r="H833" s="29" t="str">
        <f aca="false">IF($G833="Yes",$A833+ROW()/100000,"")</f>
        <v/>
      </c>
    </row>
    <row r="834" customFormat="false" ht="15" hidden="false" customHeight="false" outlineLevel="0" collapsed="false">
      <c r="A834" s="27"/>
      <c r="B834" s="24"/>
      <c r="C834" s="24"/>
      <c r="D834" s="24"/>
      <c r="E834" s="28"/>
      <c r="F834" s="30" t="str">
        <f aca="false">IF($A834="","",$A834-WEEKDAY($A834,3))</f>
        <v/>
      </c>
      <c r="G834" s="29" t="str">
        <f aca="false">IF($A834="","",IF($F834=AsOf-WEEKDAY(AsOf,3),"Yes",""))</f>
        <v/>
      </c>
      <c r="H834" s="29" t="str">
        <f aca="false">IF($G834="Yes",$A834+ROW()/100000,"")</f>
        <v/>
      </c>
    </row>
    <row r="835" customFormat="false" ht="15" hidden="false" customHeight="false" outlineLevel="0" collapsed="false">
      <c r="A835" s="27"/>
      <c r="B835" s="24"/>
      <c r="C835" s="24"/>
      <c r="D835" s="24"/>
      <c r="E835" s="28"/>
      <c r="F835" s="30" t="str">
        <f aca="false">IF($A835="","",$A835-WEEKDAY($A835,3))</f>
        <v/>
      </c>
      <c r="G835" s="29" t="str">
        <f aca="false">IF($A835="","",IF($F835=AsOf-WEEKDAY(AsOf,3),"Yes",""))</f>
        <v/>
      </c>
      <c r="H835" s="29" t="str">
        <f aca="false">IF($G835="Yes",$A835+ROW()/100000,"")</f>
        <v/>
      </c>
    </row>
    <row r="836" customFormat="false" ht="15" hidden="false" customHeight="false" outlineLevel="0" collapsed="false">
      <c r="A836" s="27"/>
      <c r="B836" s="24"/>
      <c r="C836" s="24"/>
      <c r="D836" s="24"/>
      <c r="E836" s="28"/>
      <c r="F836" s="30" t="str">
        <f aca="false">IF($A836="","",$A836-WEEKDAY($A836,3))</f>
        <v/>
      </c>
      <c r="G836" s="29" t="str">
        <f aca="false">IF($A836="","",IF($F836=AsOf-WEEKDAY(AsOf,3),"Yes",""))</f>
        <v/>
      </c>
      <c r="H836" s="29" t="str">
        <f aca="false">IF($G836="Yes",$A836+ROW()/100000,"")</f>
        <v/>
      </c>
    </row>
    <row r="837" customFormat="false" ht="15" hidden="false" customHeight="false" outlineLevel="0" collapsed="false">
      <c r="A837" s="27"/>
      <c r="B837" s="24"/>
      <c r="C837" s="24"/>
      <c r="D837" s="24"/>
      <c r="E837" s="28"/>
      <c r="F837" s="30" t="str">
        <f aca="false">IF($A837="","",$A837-WEEKDAY($A837,3))</f>
        <v/>
      </c>
      <c r="G837" s="29" t="str">
        <f aca="false">IF($A837="","",IF($F837=AsOf-WEEKDAY(AsOf,3),"Yes",""))</f>
        <v/>
      </c>
      <c r="H837" s="29" t="str">
        <f aca="false">IF($G837="Yes",$A837+ROW()/100000,"")</f>
        <v/>
      </c>
    </row>
    <row r="838" customFormat="false" ht="15" hidden="false" customHeight="false" outlineLevel="0" collapsed="false">
      <c r="A838" s="27"/>
      <c r="B838" s="24"/>
      <c r="C838" s="24"/>
      <c r="D838" s="24"/>
      <c r="E838" s="28"/>
      <c r="F838" s="30" t="str">
        <f aca="false">IF($A838="","",$A838-WEEKDAY($A838,3))</f>
        <v/>
      </c>
      <c r="G838" s="29" t="str">
        <f aca="false">IF($A838="","",IF($F838=AsOf-WEEKDAY(AsOf,3),"Yes",""))</f>
        <v/>
      </c>
      <c r="H838" s="29" t="str">
        <f aca="false">IF($G838="Yes",$A838+ROW()/100000,"")</f>
        <v/>
      </c>
    </row>
    <row r="839" customFormat="false" ht="15" hidden="false" customHeight="false" outlineLevel="0" collapsed="false">
      <c r="A839" s="27"/>
      <c r="B839" s="24"/>
      <c r="C839" s="24"/>
      <c r="D839" s="24"/>
      <c r="E839" s="28"/>
      <c r="F839" s="30" t="str">
        <f aca="false">IF($A839="","",$A839-WEEKDAY($A839,3))</f>
        <v/>
      </c>
      <c r="G839" s="29" t="str">
        <f aca="false">IF($A839="","",IF($F839=AsOf-WEEKDAY(AsOf,3),"Yes",""))</f>
        <v/>
      </c>
      <c r="H839" s="29" t="str">
        <f aca="false">IF($G839="Yes",$A839+ROW()/100000,"")</f>
        <v/>
      </c>
    </row>
    <row r="840" customFormat="false" ht="15" hidden="false" customHeight="false" outlineLevel="0" collapsed="false">
      <c r="A840" s="27"/>
      <c r="B840" s="24"/>
      <c r="C840" s="24"/>
      <c r="D840" s="24"/>
      <c r="E840" s="28"/>
      <c r="F840" s="30" t="str">
        <f aca="false">IF($A840="","",$A840-WEEKDAY($A840,3))</f>
        <v/>
      </c>
      <c r="G840" s="29" t="str">
        <f aca="false">IF($A840="","",IF($F840=AsOf-WEEKDAY(AsOf,3),"Yes",""))</f>
        <v/>
      </c>
      <c r="H840" s="29" t="str">
        <f aca="false">IF($G840="Yes",$A840+ROW()/100000,"")</f>
        <v/>
      </c>
    </row>
    <row r="841" customFormat="false" ht="15" hidden="false" customHeight="false" outlineLevel="0" collapsed="false">
      <c r="A841" s="27"/>
      <c r="B841" s="24"/>
      <c r="C841" s="24"/>
      <c r="D841" s="24"/>
      <c r="E841" s="28"/>
      <c r="F841" s="30" t="str">
        <f aca="false">IF($A841="","",$A841-WEEKDAY($A841,3))</f>
        <v/>
      </c>
      <c r="G841" s="29" t="str">
        <f aca="false">IF($A841="","",IF($F841=AsOf-WEEKDAY(AsOf,3),"Yes",""))</f>
        <v/>
      </c>
      <c r="H841" s="29" t="str">
        <f aca="false">IF($G841="Yes",$A841+ROW()/100000,"")</f>
        <v/>
      </c>
    </row>
    <row r="842" customFormat="false" ht="15" hidden="false" customHeight="false" outlineLevel="0" collapsed="false">
      <c r="A842" s="27"/>
      <c r="B842" s="24"/>
      <c r="C842" s="24"/>
      <c r="D842" s="24"/>
      <c r="E842" s="28"/>
      <c r="F842" s="30" t="str">
        <f aca="false">IF($A842="","",$A842-WEEKDAY($A842,3))</f>
        <v/>
      </c>
      <c r="G842" s="29" t="str">
        <f aca="false">IF($A842="","",IF($F842=AsOf-WEEKDAY(AsOf,3),"Yes",""))</f>
        <v/>
      </c>
      <c r="H842" s="29" t="str">
        <f aca="false">IF($G842="Yes",$A842+ROW()/100000,"")</f>
        <v/>
      </c>
    </row>
    <row r="843" customFormat="false" ht="15" hidden="false" customHeight="false" outlineLevel="0" collapsed="false">
      <c r="A843" s="27"/>
      <c r="B843" s="24"/>
      <c r="C843" s="24"/>
      <c r="D843" s="24"/>
      <c r="E843" s="28"/>
      <c r="F843" s="30" t="str">
        <f aca="false">IF($A843="","",$A843-WEEKDAY($A843,3))</f>
        <v/>
      </c>
      <c r="G843" s="29" t="str">
        <f aca="false">IF($A843="","",IF($F843=AsOf-WEEKDAY(AsOf,3),"Yes",""))</f>
        <v/>
      </c>
      <c r="H843" s="29" t="str">
        <f aca="false">IF($G843="Yes",$A843+ROW()/100000,"")</f>
        <v/>
      </c>
    </row>
    <row r="844" customFormat="false" ht="15" hidden="false" customHeight="false" outlineLevel="0" collapsed="false">
      <c r="A844" s="27"/>
      <c r="B844" s="24"/>
      <c r="C844" s="24"/>
      <c r="D844" s="24"/>
      <c r="E844" s="28"/>
      <c r="F844" s="30" t="str">
        <f aca="false">IF($A844="","",$A844-WEEKDAY($A844,3))</f>
        <v/>
      </c>
      <c r="G844" s="29" t="str">
        <f aca="false">IF($A844="","",IF($F844=AsOf-WEEKDAY(AsOf,3),"Yes",""))</f>
        <v/>
      </c>
      <c r="H844" s="29" t="str">
        <f aca="false">IF($G844="Yes",$A844+ROW()/100000,"")</f>
        <v/>
      </c>
    </row>
    <row r="845" customFormat="false" ht="15" hidden="false" customHeight="false" outlineLevel="0" collapsed="false">
      <c r="A845" s="27"/>
      <c r="B845" s="24"/>
      <c r="C845" s="24"/>
      <c r="D845" s="24"/>
      <c r="E845" s="28"/>
      <c r="F845" s="30" t="str">
        <f aca="false">IF($A845="","",$A845-WEEKDAY($A845,3))</f>
        <v/>
      </c>
      <c r="G845" s="29" t="str">
        <f aca="false">IF($A845="","",IF($F845=AsOf-WEEKDAY(AsOf,3),"Yes",""))</f>
        <v/>
      </c>
      <c r="H845" s="29" t="str">
        <f aca="false">IF($G845="Yes",$A845+ROW()/100000,"")</f>
        <v/>
      </c>
    </row>
    <row r="846" customFormat="false" ht="15" hidden="false" customHeight="false" outlineLevel="0" collapsed="false">
      <c r="A846" s="27"/>
      <c r="B846" s="24"/>
      <c r="C846" s="24"/>
      <c r="D846" s="24"/>
      <c r="E846" s="28"/>
      <c r="F846" s="30" t="str">
        <f aca="false">IF($A846="","",$A846-WEEKDAY($A846,3))</f>
        <v/>
      </c>
      <c r="G846" s="29" t="str">
        <f aca="false">IF($A846="","",IF($F846=AsOf-WEEKDAY(AsOf,3),"Yes",""))</f>
        <v/>
      </c>
      <c r="H846" s="29" t="str">
        <f aca="false">IF($G846="Yes",$A846+ROW()/100000,"")</f>
        <v/>
      </c>
    </row>
    <row r="847" customFormat="false" ht="15" hidden="false" customHeight="false" outlineLevel="0" collapsed="false">
      <c r="A847" s="27"/>
      <c r="B847" s="24"/>
      <c r="C847" s="24"/>
      <c r="D847" s="24"/>
      <c r="E847" s="28"/>
      <c r="F847" s="30" t="str">
        <f aca="false">IF($A847="","",$A847-WEEKDAY($A847,3))</f>
        <v/>
      </c>
      <c r="G847" s="29" t="str">
        <f aca="false">IF($A847="","",IF($F847=AsOf-WEEKDAY(AsOf,3),"Yes",""))</f>
        <v/>
      </c>
      <c r="H847" s="29" t="str">
        <f aca="false">IF($G847="Yes",$A847+ROW()/100000,"")</f>
        <v/>
      </c>
    </row>
    <row r="848" customFormat="false" ht="15" hidden="false" customHeight="false" outlineLevel="0" collapsed="false">
      <c r="A848" s="27"/>
      <c r="B848" s="24"/>
      <c r="C848" s="24"/>
      <c r="D848" s="24"/>
      <c r="E848" s="28"/>
      <c r="F848" s="30" t="str">
        <f aca="false">IF($A848="","",$A848-WEEKDAY($A848,3))</f>
        <v/>
      </c>
      <c r="G848" s="29" t="str">
        <f aca="false">IF($A848="","",IF($F848=AsOf-WEEKDAY(AsOf,3),"Yes",""))</f>
        <v/>
      </c>
      <c r="H848" s="29" t="str">
        <f aca="false">IF($G848="Yes",$A848+ROW()/100000,"")</f>
        <v/>
      </c>
    </row>
    <row r="849" customFormat="false" ht="15" hidden="false" customHeight="false" outlineLevel="0" collapsed="false">
      <c r="A849" s="27"/>
      <c r="B849" s="24"/>
      <c r="C849" s="24"/>
      <c r="D849" s="24"/>
      <c r="E849" s="28"/>
      <c r="F849" s="30" t="str">
        <f aca="false">IF($A849="","",$A849-WEEKDAY($A849,3))</f>
        <v/>
      </c>
      <c r="G849" s="29" t="str">
        <f aca="false">IF($A849="","",IF($F849=AsOf-WEEKDAY(AsOf,3),"Yes",""))</f>
        <v/>
      </c>
      <c r="H849" s="29" t="str">
        <f aca="false">IF($G849="Yes",$A849+ROW()/100000,"")</f>
        <v/>
      </c>
    </row>
    <row r="850" customFormat="false" ht="15" hidden="false" customHeight="false" outlineLevel="0" collapsed="false">
      <c r="A850" s="27"/>
      <c r="B850" s="24"/>
      <c r="C850" s="24"/>
      <c r="D850" s="24"/>
      <c r="E850" s="28"/>
      <c r="F850" s="30" t="str">
        <f aca="false">IF($A850="","",$A850-WEEKDAY($A850,3))</f>
        <v/>
      </c>
      <c r="G850" s="29" t="str">
        <f aca="false">IF($A850="","",IF($F850=AsOf-WEEKDAY(AsOf,3),"Yes",""))</f>
        <v/>
      </c>
      <c r="H850" s="29" t="str">
        <f aca="false">IF($G850="Yes",$A850+ROW()/100000,"")</f>
        <v/>
      </c>
    </row>
    <row r="851" customFormat="false" ht="15" hidden="false" customHeight="false" outlineLevel="0" collapsed="false">
      <c r="A851" s="27"/>
      <c r="B851" s="24"/>
      <c r="C851" s="24"/>
      <c r="D851" s="24"/>
      <c r="E851" s="28"/>
      <c r="F851" s="30" t="str">
        <f aca="false">IF($A851="","",$A851-WEEKDAY($A851,3))</f>
        <v/>
      </c>
      <c r="G851" s="29" t="str">
        <f aca="false">IF($A851="","",IF($F851=AsOf-WEEKDAY(AsOf,3),"Yes",""))</f>
        <v/>
      </c>
      <c r="H851" s="29" t="str">
        <f aca="false">IF($G851="Yes",$A851+ROW()/100000,"")</f>
        <v/>
      </c>
    </row>
    <row r="852" customFormat="false" ht="15" hidden="false" customHeight="false" outlineLevel="0" collapsed="false">
      <c r="A852" s="27"/>
      <c r="B852" s="24"/>
      <c r="C852" s="24"/>
      <c r="D852" s="24"/>
      <c r="E852" s="28"/>
      <c r="F852" s="30" t="str">
        <f aca="false">IF($A852="","",$A852-WEEKDAY($A852,3))</f>
        <v/>
      </c>
      <c r="G852" s="29" t="str">
        <f aca="false">IF($A852="","",IF($F852=AsOf-WEEKDAY(AsOf,3),"Yes",""))</f>
        <v/>
      </c>
      <c r="H852" s="29" t="str">
        <f aca="false">IF($G852="Yes",$A852+ROW()/100000,"")</f>
        <v/>
      </c>
    </row>
    <row r="853" customFormat="false" ht="15" hidden="false" customHeight="false" outlineLevel="0" collapsed="false">
      <c r="A853" s="27"/>
      <c r="B853" s="24"/>
      <c r="C853" s="24"/>
      <c r="D853" s="24"/>
      <c r="E853" s="28"/>
      <c r="F853" s="30" t="str">
        <f aca="false">IF($A853="","",$A853-WEEKDAY($A853,3))</f>
        <v/>
      </c>
      <c r="G853" s="29" t="str">
        <f aca="false">IF($A853="","",IF($F853=AsOf-WEEKDAY(AsOf,3),"Yes",""))</f>
        <v/>
      </c>
      <c r="H853" s="29" t="str">
        <f aca="false">IF($G853="Yes",$A853+ROW()/100000,"")</f>
        <v/>
      </c>
    </row>
    <row r="854" customFormat="false" ht="15" hidden="false" customHeight="false" outlineLevel="0" collapsed="false">
      <c r="A854" s="27"/>
      <c r="B854" s="24"/>
      <c r="C854" s="24"/>
      <c r="D854" s="24"/>
      <c r="E854" s="28"/>
      <c r="F854" s="30" t="str">
        <f aca="false">IF($A854="","",$A854-WEEKDAY($A854,3))</f>
        <v/>
      </c>
      <c r="G854" s="29" t="str">
        <f aca="false">IF($A854="","",IF($F854=AsOf-WEEKDAY(AsOf,3),"Yes",""))</f>
        <v/>
      </c>
      <c r="H854" s="29" t="str">
        <f aca="false">IF($G854="Yes",$A854+ROW()/100000,"")</f>
        <v/>
      </c>
    </row>
    <row r="855" customFormat="false" ht="15" hidden="false" customHeight="false" outlineLevel="0" collapsed="false">
      <c r="A855" s="27"/>
      <c r="B855" s="24"/>
      <c r="C855" s="24"/>
      <c r="D855" s="24"/>
      <c r="E855" s="28"/>
      <c r="F855" s="30" t="str">
        <f aca="false">IF($A855="","",$A855-WEEKDAY($A855,3))</f>
        <v/>
      </c>
      <c r="G855" s="29" t="str">
        <f aca="false">IF($A855="","",IF($F855=AsOf-WEEKDAY(AsOf,3),"Yes",""))</f>
        <v/>
      </c>
      <c r="H855" s="29" t="str">
        <f aca="false">IF($G855="Yes",$A855+ROW()/100000,"")</f>
        <v/>
      </c>
    </row>
    <row r="856" customFormat="false" ht="15" hidden="false" customHeight="false" outlineLevel="0" collapsed="false">
      <c r="A856" s="27"/>
      <c r="B856" s="24"/>
      <c r="C856" s="24"/>
      <c r="D856" s="24"/>
      <c r="E856" s="28"/>
      <c r="F856" s="30" t="str">
        <f aca="false">IF($A856="","",$A856-WEEKDAY($A856,3))</f>
        <v/>
      </c>
      <c r="G856" s="29" t="str">
        <f aca="false">IF($A856="","",IF($F856=AsOf-WEEKDAY(AsOf,3),"Yes",""))</f>
        <v/>
      </c>
      <c r="H856" s="29" t="str">
        <f aca="false">IF($G856="Yes",$A856+ROW()/100000,"")</f>
        <v/>
      </c>
    </row>
    <row r="857" customFormat="false" ht="15" hidden="false" customHeight="false" outlineLevel="0" collapsed="false">
      <c r="A857" s="27"/>
      <c r="B857" s="24"/>
      <c r="C857" s="24"/>
      <c r="D857" s="24"/>
      <c r="E857" s="28"/>
      <c r="F857" s="30" t="str">
        <f aca="false">IF($A857="","",$A857-WEEKDAY($A857,3))</f>
        <v/>
      </c>
      <c r="G857" s="29" t="str">
        <f aca="false">IF($A857="","",IF($F857=AsOf-WEEKDAY(AsOf,3),"Yes",""))</f>
        <v/>
      </c>
      <c r="H857" s="29" t="str">
        <f aca="false">IF($G857="Yes",$A857+ROW()/100000,"")</f>
        <v/>
      </c>
    </row>
    <row r="858" customFormat="false" ht="15" hidden="false" customHeight="false" outlineLevel="0" collapsed="false">
      <c r="A858" s="27"/>
      <c r="B858" s="24"/>
      <c r="C858" s="24"/>
      <c r="D858" s="24"/>
      <c r="E858" s="28"/>
      <c r="F858" s="30" t="str">
        <f aca="false">IF($A858="","",$A858-WEEKDAY($A858,3))</f>
        <v/>
      </c>
      <c r="G858" s="29" t="str">
        <f aca="false">IF($A858="","",IF($F858=AsOf-WEEKDAY(AsOf,3),"Yes",""))</f>
        <v/>
      </c>
      <c r="H858" s="29" t="str">
        <f aca="false">IF($G858="Yes",$A858+ROW()/100000,"")</f>
        <v/>
      </c>
    </row>
    <row r="859" customFormat="false" ht="15" hidden="false" customHeight="false" outlineLevel="0" collapsed="false">
      <c r="A859" s="27"/>
      <c r="B859" s="24"/>
      <c r="C859" s="24"/>
      <c r="D859" s="24"/>
      <c r="E859" s="28"/>
      <c r="F859" s="30" t="str">
        <f aca="false">IF($A859="","",$A859-WEEKDAY($A859,3))</f>
        <v/>
      </c>
      <c r="G859" s="29" t="str">
        <f aca="false">IF($A859="","",IF($F859=AsOf-WEEKDAY(AsOf,3),"Yes",""))</f>
        <v/>
      </c>
      <c r="H859" s="29" t="str">
        <f aca="false">IF($G859="Yes",$A859+ROW()/100000,"")</f>
        <v/>
      </c>
    </row>
    <row r="860" customFormat="false" ht="15" hidden="false" customHeight="false" outlineLevel="0" collapsed="false">
      <c r="A860" s="27"/>
      <c r="B860" s="24"/>
      <c r="C860" s="24"/>
      <c r="D860" s="24"/>
      <c r="E860" s="28"/>
      <c r="F860" s="30" t="str">
        <f aca="false">IF($A860="","",$A860-WEEKDAY($A860,3))</f>
        <v/>
      </c>
      <c r="G860" s="29" t="str">
        <f aca="false">IF($A860="","",IF($F860=AsOf-WEEKDAY(AsOf,3),"Yes",""))</f>
        <v/>
      </c>
      <c r="H860" s="29" t="str">
        <f aca="false">IF($G860="Yes",$A860+ROW()/100000,"")</f>
        <v/>
      </c>
    </row>
    <row r="861" customFormat="false" ht="15" hidden="false" customHeight="false" outlineLevel="0" collapsed="false">
      <c r="A861" s="27"/>
      <c r="B861" s="24"/>
      <c r="C861" s="24"/>
      <c r="D861" s="24"/>
      <c r="E861" s="28"/>
      <c r="F861" s="30" t="str">
        <f aca="false">IF($A861="","",$A861-WEEKDAY($A861,3))</f>
        <v/>
      </c>
      <c r="G861" s="29" t="str">
        <f aca="false">IF($A861="","",IF($F861=AsOf-WEEKDAY(AsOf,3),"Yes",""))</f>
        <v/>
      </c>
      <c r="H861" s="29" t="str">
        <f aca="false">IF($G861="Yes",$A861+ROW()/100000,"")</f>
        <v/>
      </c>
    </row>
    <row r="862" customFormat="false" ht="15" hidden="false" customHeight="false" outlineLevel="0" collapsed="false">
      <c r="A862" s="27"/>
      <c r="B862" s="24"/>
      <c r="C862" s="24"/>
      <c r="D862" s="24"/>
      <c r="E862" s="28"/>
      <c r="F862" s="30" t="str">
        <f aca="false">IF($A862="","",$A862-WEEKDAY($A862,3))</f>
        <v/>
      </c>
      <c r="G862" s="29" t="str">
        <f aca="false">IF($A862="","",IF($F862=AsOf-WEEKDAY(AsOf,3),"Yes",""))</f>
        <v/>
      </c>
      <c r="H862" s="29" t="str">
        <f aca="false">IF($G862="Yes",$A862+ROW()/100000,"")</f>
        <v/>
      </c>
    </row>
    <row r="863" customFormat="false" ht="15" hidden="false" customHeight="false" outlineLevel="0" collapsed="false">
      <c r="A863" s="27"/>
      <c r="B863" s="24"/>
      <c r="C863" s="24"/>
      <c r="D863" s="24"/>
      <c r="E863" s="28"/>
      <c r="F863" s="30" t="str">
        <f aca="false">IF($A863="","",$A863-WEEKDAY($A863,3))</f>
        <v/>
      </c>
      <c r="G863" s="29" t="str">
        <f aca="false">IF($A863="","",IF($F863=AsOf-WEEKDAY(AsOf,3),"Yes",""))</f>
        <v/>
      </c>
      <c r="H863" s="29" t="str">
        <f aca="false">IF($G863="Yes",$A863+ROW()/100000,"")</f>
        <v/>
      </c>
    </row>
    <row r="864" customFormat="false" ht="15" hidden="false" customHeight="false" outlineLevel="0" collapsed="false">
      <c r="A864" s="27"/>
      <c r="B864" s="24"/>
      <c r="C864" s="24"/>
      <c r="D864" s="24"/>
      <c r="E864" s="28"/>
      <c r="F864" s="30" t="str">
        <f aca="false">IF($A864="","",$A864-WEEKDAY($A864,3))</f>
        <v/>
      </c>
      <c r="G864" s="29" t="str">
        <f aca="false">IF($A864="","",IF($F864=AsOf-WEEKDAY(AsOf,3),"Yes",""))</f>
        <v/>
      </c>
      <c r="H864" s="29" t="str">
        <f aca="false">IF($G864="Yes",$A864+ROW()/100000,"")</f>
        <v/>
      </c>
    </row>
    <row r="865" customFormat="false" ht="15" hidden="false" customHeight="false" outlineLevel="0" collapsed="false">
      <c r="A865" s="27"/>
      <c r="B865" s="24"/>
      <c r="C865" s="24"/>
      <c r="D865" s="24"/>
      <c r="E865" s="28"/>
      <c r="F865" s="30" t="str">
        <f aca="false">IF($A865="","",$A865-WEEKDAY($A865,3))</f>
        <v/>
      </c>
      <c r="G865" s="29" t="str">
        <f aca="false">IF($A865="","",IF($F865=AsOf-WEEKDAY(AsOf,3),"Yes",""))</f>
        <v/>
      </c>
      <c r="H865" s="29" t="str">
        <f aca="false">IF($G865="Yes",$A865+ROW()/100000,"")</f>
        <v/>
      </c>
    </row>
    <row r="866" customFormat="false" ht="15" hidden="false" customHeight="false" outlineLevel="0" collapsed="false">
      <c r="A866" s="27"/>
      <c r="B866" s="24"/>
      <c r="C866" s="24"/>
      <c r="D866" s="24"/>
      <c r="E866" s="28"/>
      <c r="F866" s="30" t="str">
        <f aca="false">IF($A866="","",$A866-WEEKDAY($A866,3))</f>
        <v/>
      </c>
      <c r="G866" s="29" t="str">
        <f aca="false">IF($A866="","",IF($F866=AsOf-WEEKDAY(AsOf,3),"Yes",""))</f>
        <v/>
      </c>
      <c r="H866" s="29" t="str">
        <f aca="false">IF($G866="Yes",$A866+ROW()/100000,"")</f>
        <v/>
      </c>
    </row>
    <row r="867" customFormat="false" ht="15" hidden="false" customHeight="false" outlineLevel="0" collapsed="false">
      <c r="A867" s="27"/>
      <c r="B867" s="24"/>
      <c r="C867" s="24"/>
      <c r="D867" s="24"/>
      <c r="E867" s="28"/>
      <c r="F867" s="30" t="str">
        <f aca="false">IF($A867="","",$A867-WEEKDAY($A867,3))</f>
        <v/>
      </c>
      <c r="G867" s="29" t="str">
        <f aca="false">IF($A867="","",IF($F867=AsOf-WEEKDAY(AsOf,3),"Yes",""))</f>
        <v/>
      </c>
      <c r="H867" s="29" t="str">
        <f aca="false">IF($G867="Yes",$A867+ROW()/100000,"")</f>
        <v/>
      </c>
    </row>
    <row r="868" customFormat="false" ht="15" hidden="false" customHeight="false" outlineLevel="0" collapsed="false">
      <c r="A868" s="27"/>
      <c r="B868" s="24"/>
      <c r="C868" s="24"/>
      <c r="D868" s="24"/>
      <c r="E868" s="28"/>
      <c r="F868" s="30" t="str">
        <f aca="false">IF($A868="","",$A868-WEEKDAY($A868,3))</f>
        <v/>
      </c>
      <c r="G868" s="29" t="str">
        <f aca="false">IF($A868="","",IF($F868=AsOf-WEEKDAY(AsOf,3),"Yes",""))</f>
        <v/>
      </c>
      <c r="H868" s="29" t="str">
        <f aca="false">IF($G868="Yes",$A868+ROW()/100000,"")</f>
        <v/>
      </c>
    </row>
    <row r="869" customFormat="false" ht="15" hidden="false" customHeight="false" outlineLevel="0" collapsed="false">
      <c r="A869" s="27"/>
      <c r="B869" s="24"/>
      <c r="C869" s="24"/>
      <c r="D869" s="24"/>
      <c r="E869" s="28"/>
      <c r="F869" s="30" t="str">
        <f aca="false">IF($A869="","",$A869-WEEKDAY($A869,3))</f>
        <v/>
      </c>
      <c r="G869" s="29" t="str">
        <f aca="false">IF($A869="","",IF($F869=AsOf-WEEKDAY(AsOf,3),"Yes",""))</f>
        <v/>
      </c>
      <c r="H869" s="29" t="str">
        <f aca="false">IF($G869="Yes",$A869+ROW()/100000,"")</f>
        <v/>
      </c>
    </row>
    <row r="870" customFormat="false" ht="15" hidden="false" customHeight="false" outlineLevel="0" collapsed="false">
      <c r="A870" s="27"/>
      <c r="B870" s="24"/>
      <c r="C870" s="24"/>
      <c r="D870" s="24"/>
      <c r="E870" s="28"/>
      <c r="F870" s="30" t="str">
        <f aca="false">IF($A870="","",$A870-WEEKDAY($A870,3))</f>
        <v/>
      </c>
      <c r="G870" s="29" t="str">
        <f aca="false">IF($A870="","",IF($F870=AsOf-WEEKDAY(AsOf,3),"Yes",""))</f>
        <v/>
      </c>
      <c r="H870" s="29" t="str">
        <f aca="false">IF($G870="Yes",$A870+ROW()/100000,"")</f>
        <v/>
      </c>
    </row>
    <row r="871" customFormat="false" ht="15" hidden="false" customHeight="false" outlineLevel="0" collapsed="false">
      <c r="A871" s="27"/>
      <c r="B871" s="24"/>
      <c r="C871" s="24"/>
      <c r="D871" s="24"/>
      <c r="E871" s="28"/>
      <c r="F871" s="30" t="str">
        <f aca="false">IF($A871="","",$A871-WEEKDAY($A871,3))</f>
        <v/>
      </c>
      <c r="G871" s="29" t="str">
        <f aca="false">IF($A871="","",IF($F871=AsOf-WEEKDAY(AsOf,3),"Yes",""))</f>
        <v/>
      </c>
      <c r="H871" s="29" t="str">
        <f aca="false">IF($G871="Yes",$A871+ROW()/100000,"")</f>
        <v/>
      </c>
    </row>
    <row r="872" customFormat="false" ht="15" hidden="false" customHeight="false" outlineLevel="0" collapsed="false">
      <c r="A872" s="27"/>
      <c r="B872" s="24"/>
      <c r="C872" s="24"/>
      <c r="D872" s="24"/>
      <c r="E872" s="28"/>
      <c r="F872" s="30" t="str">
        <f aca="false">IF($A872="","",$A872-WEEKDAY($A872,3))</f>
        <v/>
      </c>
      <c r="G872" s="29" t="str">
        <f aca="false">IF($A872="","",IF($F872=AsOf-WEEKDAY(AsOf,3),"Yes",""))</f>
        <v/>
      </c>
      <c r="H872" s="29" t="str">
        <f aca="false">IF($G872="Yes",$A872+ROW()/100000,"")</f>
        <v/>
      </c>
    </row>
    <row r="873" customFormat="false" ht="15" hidden="false" customHeight="false" outlineLevel="0" collapsed="false">
      <c r="A873" s="27"/>
      <c r="B873" s="24"/>
      <c r="C873" s="24"/>
      <c r="D873" s="24"/>
      <c r="E873" s="28"/>
      <c r="F873" s="30" t="str">
        <f aca="false">IF($A873="","",$A873-WEEKDAY($A873,3))</f>
        <v/>
      </c>
      <c r="G873" s="29" t="str">
        <f aca="false">IF($A873="","",IF($F873=AsOf-WEEKDAY(AsOf,3),"Yes",""))</f>
        <v/>
      </c>
      <c r="H873" s="29" t="str">
        <f aca="false">IF($G873="Yes",$A873+ROW()/100000,"")</f>
        <v/>
      </c>
    </row>
    <row r="874" customFormat="false" ht="15" hidden="false" customHeight="false" outlineLevel="0" collapsed="false">
      <c r="A874" s="27"/>
      <c r="B874" s="24"/>
      <c r="C874" s="24"/>
      <c r="D874" s="24"/>
      <c r="E874" s="28"/>
      <c r="F874" s="30" t="str">
        <f aca="false">IF($A874="","",$A874-WEEKDAY($A874,3))</f>
        <v/>
      </c>
      <c r="G874" s="29" t="str">
        <f aca="false">IF($A874="","",IF($F874=AsOf-WEEKDAY(AsOf,3),"Yes",""))</f>
        <v/>
      </c>
      <c r="H874" s="29" t="str">
        <f aca="false">IF($G874="Yes",$A874+ROW()/100000,"")</f>
        <v/>
      </c>
    </row>
    <row r="875" customFormat="false" ht="15" hidden="false" customHeight="false" outlineLevel="0" collapsed="false">
      <c r="A875" s="27"/>
      <c r="B875" s="24"/>
      <c r="C875" s="24"/>
      <c r="D875" s="24"/>
      <c r="E875" s="28"/>
      <c r="F875" s="30" t="str">
        <f aca="false">IF($A875="","",$A875-WEEKDAY($A875,3))</f>
        <v/>
      </c>
      <c r="G875" s="29" t="str">
        <f aca="false">IF($A875="","",IF($F875=AsOf-WEEKDAY(AsOf,3),"Yes",""))</f>
        <v/>
      </c>
      <c r="H875" s="29" t="str">
        <f aca="false">IF($G875="Yes",$A875+ROW()/100000,"")</f>
        <v/>
      </c>
    </row>
    <row r="876" customFormat="false" ht="15" hidden="false" customHeight="false" outlineLevel="0" collapsed="false">
      <c r="A876" s="27"/>
      <c r="B876" s="24"/>
      <c r="C876" s="24"/>
      <c r="D876" s="24"/>
      <c r="E876" s="28"/>
      <c r="F876" s="30" t="str">
        <f aca="false">IF($A876="","",$A876-WEEKDAY($A876,3))</f>
        <v/>
      </c>
      <c r="G876" s="29" t="str">
        <f aca="false">IF($A876="","",IF($F876=AsOf-WEEKDAY(AsOf,3),"Yes",""))</f>
        <v/>
      </c>
      <c r="H876" s="29" t="str">
        <f aca="false">IF($G876="Yes",$A876+ROW()/100000,"")</f>
        <v/>
      </c>
    </row>
    <row r="877" customFormat="false" ht="15" hidden="false" customHeight="false" outlineLevel="0" collapsed="false">
      <c r="A877" s="27"/>
      <c r="B877" s="24"/>
      <c r="C877" s="24"/>
      <c r="D877" s="24"/>
      <c r="E877" s="28"/>
      <c r="F877" s="30" t="str">
        <f aca="false">IF($A877="","",$A877-WEEKDAY($A877,3))</f>
        <v/>
      </c>
      <c r="G877" s="29" t="str">
        <f aca="false">IF($A877="","",IF($F877=AsOf-WEEKDAY(AsOf,3),"Yes",""))</f>
        <v/>
      </c>
      <c r="H877" s="29" t="str">
        <f aca="false">IF($G877="Yes",$A877+ROW()/100000,"")</f>
        <v/>
      </c>
    </row>
    <row r="878" customFormat="false" ht="15" hidden="false" customHeight="false" outlineLevel="0" collapsed="false">
      <c r="A878" s="27"/>
      <c r="B878" s="24"/>
      <c r="C878" s="24"/>
      <c r="D878" s="24"/>
      <c r="E878" s="28"/>
      <c r="F878" s="30" t="str">
        <f aca="false">IF($A878="","",$A878-WEEKDAY($A878,3))</f>
        <v/>
      </c>
      <c r="G878" s="29" t="str">
        <f aca="false">IF($A878="","",IF($F878=AsOf-WEEKDAY(AsOf,3),"Yes",""))</f>
        <v/>
      </c>
      <c r="H878" s="29" t="str">
        <f aca="false">IF($G878="Yes",$A878+ROW()/100000,"")</f>
        <v/>
      </c>
    </row>
    <row r="879" customFormat="false" ht="15" hidden="false" customHeight="false" outlineLevel="0" collapsed="false">
      <c r="A879" s="27"/>
      <c r="B879" s="24"/>
      <c r="C879" s="24"/>
      <c r="D879" s="24"/>
      <c r="E879" s="28"/>
      <c r="F879" s="30" t="str">
        <f aca="false">IF($A879="","",$A879-WEEKDAY($A879,3))</f>
        <v/>
      </c>
      <c r="G879" s="29" t="str">
        <f aca="false">IF($A879="","",IF($F879=AsOf-WEEKDAY(AsOf,3),"Yes",""))</f>
        <v/>
      </c>
      <c r="H879" s="29" t="str">
        <f aca="false">IF($G879="Yes",$A879+ROW()/100000,"")</f>
        <v/>
      </c>
    </row>
    <row r="880" customFormat="false" ht="15" hidden="false" customHeight="false" outlineLevel="0" collapsed="false">
      <c r="A880" s="27"/>
      <c r="B880" s="24"/>
      <c r="C880" s="24"/>
      <c r="D880" s="24"/>
      <c r="E880" s="28"/>
      <c r="F880" s="30" t="str">
        <f aca="false">IF($A880="","",$A880-WEEKDAY($A880,3))</f>
        <v/>
      </c>
      <c r="G880" s="29" t="str">
        <f aca="false">IF($A880="","",IF($F880=AsOf-WEEKDAY(AsOf,3),"Yes",""))</f>
        <v/>
      </c>
      <c r="H880" s="29" t="str">
        <f aca="false">IF($G880="Yes",$A880+ROW()/100000,"")</f>
        <v/>
      </c>
    </row>
    <row r="881" customFormat="false" ht="15" hidden="false" customHeight="false" outlineLevel="0" collapsed="false">
      <c r="A881" s="27"/>
      <c r="B881" s="24"/>
      <c r="C881" s="24"/>
      <c r="D881" s="24"/>
      <c r="E881" s="28"/>
      <c r="F881" s="30" t="str">
        <f aca="false">IF($A881="","",$A881-WEEKDAY($A881,3))</f>
        <v/>
      </c>
      <c r="G881" s="29" t="str">
        <f aca="false">IF($A881="","",IF($F881=AsOf-WEEKDAY(AsOf,3),"Yes",""))</f>
        <v/>
      </c>
      <c r="H881" s="29" t="str">
        <f aca="false">IF($G881="Yes",$A881+ROW()/100000,"")</f>
        <v/>
      </c>
    </row>
    <row r="882" customFormat="false" ht="15" hidden="false" customHeight="false" outlineLevel="0" collapsed="false">
      <c r="A882" s="27"/>
      <c r="B882" s="24"/>
      <c r="C882" s="24"/>
      <c r="D882" s="24"/>
      <c r="E882" s="28"/>
      <c r="F882" s="30" t="str">
        <f aca="false">IF($A882="","",$A882-WEEKDAY($A882,3))</f>
        <v/>
      </c>
      <c r="G882" s="29" t="str">
        <f aca="false">IF($A882="","",IF($F882=AsOf-WEEKDAY(AsOf,3),"Yes",""))</f>
        <v/>
      </c>
      <c r="H882" s="29" t="str">
        <f aca="false">IF($G882="Yes",$A882+ROW()/100000,"")</f>
        <v/>
      </c>
    </row>
    <row r="883" customFormat="false" ht="15" hidden="false" customHeight="false" outlineLevel="0" collapsed="false">
      <c r="A883" s="27"/>
      <c r="B883" s="24"/>
      <c r="C883" s="24"/>
      <c r="D883" s="24"/>
      <c r="E883" s="28"/>
      <c r="F883" s="30" t="str">
        <f aca="false">IF($A883="","",$A883-WEEKDAY($A883,3))</f>
        <v/>
      </c>
      <c r="G883" s="29" t="str">
        <f aca="false">IF($A883="","",IF($F883=AsOf-WEEKDAY(AsOf,3),"Yes",""))</f>
        <v/>
      </c>
      <c r="H883" s="29" t="str">
        <f aca="false">IF($G883="Yes",$A883+ROW()/100000,"")</f>
        <v/>
      </c>
    </row>
    <row r="884" customFormat="false" ht="15" hidden="false" customHeight="false" outlineLevel="0" collapsed="false">
      <c r="A884" s="27"/>
      <c r="B884" s="24"/>
      <c r="C884" s="24"/>
      <c r="D884" s="24"/>
      <c r="E884" s="28"/>
      <c r="F884" s="30" t="str">
        <f aca="false">IF($A884="","",$A884-WEEKDAY($A884,3))</f>
        <v/>
      </c>
      <c r="G884" s="29" t="str">
        <f aca="false">IF($A884="","",IF($F884=AsOf-WEEKDAY(AsOf,3),"Yes",""))</f>
        <v/>
      </c>
      <c r="H884" s="29" t="str">
        <f aca="false">IF($G884="Yes",$A884+ROW()/100000,"")</f>
        <v/>
      </c>
    </row>
    <row r="885" customFormat="false" ht="15" hidden="false" customHeight="false" outlineLevel="0" collapsed="false">
      <c r="A885" s="27"/>
      <c r="B885" s="24"/>
      <c r="C885" s="24"/>
      <c r="D885" s="24"/>
      <c r="E885" s="28"/>
      <c r="F885" s="30" t="str">
        <f aca="false">IF($A885="","",$A885-WEEKDAY($A885,3))</f>
        <v/>
      </c>
      <c r="G885" s="29" t="str">
        <f aca="false">IF($A885="","",IF($F885=AsOf-WEEKDAY(AsOf,3),"Yes",""))</f>
        <v/>
      </c>
      <c r="H885" s="29" t="str">
        <f aca="false">IF($G885="Yes",$A885+ROW()/100000,"")</f>
        <v/>
      </c>
    </row>
    <row r="886" customFormat="false" ht="15" hidden="false" customHeight="false" outlineLevel="0" collapsed="false">
      <c r="A886" s="27"/>
      <c r="B886" s="24"/>
      <c r="C886" s="24"/>
      <c r="D886" s="24"/>
      <c r="E886" s="28"/>
      <c r="F886" s="30" t="str">
        <f aca="false">IF($A886="","",$A886-WEEKDAY($A886,3))</f>
        <v/>
      </c>
      <c r="G886" s="29" t="str">
        <f aca="false">IF($A886="","",IF($F886=AsOf-WEEKDAY(AsOf,3),"Yes",""))</f>
        <v/>
      </c>
      <c r="H886" s="29" t="str">
        <f aca="false">IF($G886="Yes",$A886+ROW()/100000,"")</f>
        <v/>
      </c>
    </row>
    <row r="887" customFormat="false" ht="15" hidden="false" customHeight="false" outlineLevel="0" collapsed="false">
      <c r="A887" s="27"/>
      <c r="B887" s="24"/>
      <c r="C887" s="24"/>
      <c r="D887" s="24"/>
      <c r="E887" s="28"/>
      <c r="F887" s="30" t="str">
        <f aca="false">IF($A887="","",$A887-WEEKDAY($A887,3))</f>
        <v/>
      </c>
      <c r="G887" s="29" t="str">
        <f aca="false">IF($A887="","",IF($F887=AsOf-WEEKDAY(AsOf,3),"Yes",""))</f>
        <v/>
      </c>
      <c r="H887" s="29" t="str">
        <f aca="false">IF($G887="Yes",$A887+ROW()/100000,"")</f>
        <v/>
      </c>
    </row>
    <row r="888" customFormat="false" ht="15" hidden="false" customHeight="false" outlineLevel="0" collapsed="false">
      <c r="A888" s="27"/>
      <c r="B888" s="24"/>
      <c r="C888" s="24"/>
      <c r="D888" s="24"/>
      <c r="E888" s="28"/>
      <c r="F888" s="30" t="str">
        <f aca="false">IF($A888="","",$A888-WEEKDAY($A888,3))</f>
        <v/>
      </c>
      <c r="G888" s="29" t="str">
        <f aca="false">IF($A888="","",IF($F888=AsOf-WEEKDAY(AsOf,3),"Yes",""))</f>
        <v/>
      </c>
      <c r="H888" s="29" t="str">
        <f aca="false">IF($G888="Yes",$A888+ROW()/100000,"")</f>
        <v/>
      </c>
    </row>
    <row r="889" customFormat="false" ht="15" hidden="false" customHeight="false" outlineLevel="0" collapsed="false">
      <c r="A889" s="27"/>
      <c r="B889" s="24"/>
      <c r="C889" s="24"/>
      <c r="D889" s="24"/>
      <c r="E889" s="28"/>
      <c r="F889" s="30" t="str">
        <f aca="false">IF($A889="","",$A889-WEEKDAY($A889,3))</f>
        <v/>
      </c>
      <c r="G889" s="29" t="str">
        <f aca="false">IF($A889="","",IF($F889=AsOf-WEEKDAY(AsOf,3),"Yes",""))</f>
        <v/>
      </c>
      <c r="H889" s="29" t="str">
        <f aca="false">IF($G889="Yes",$A889+ROW()/100000,"")</f>
        <v/>
      </c>
    </row>
    <row r="890" customFormat="false" ht="15" hidden="false" customHeight="false" outlineLevel="0" collapsed="false">
      <c r="A890" s="27"/>
      <c r="B890" s="24"/>
      <c r="C890" s="24"/>
      <c r="D890" s="24"/>
      <c r="E890" s="28"/>
      <c r="F890" s="30" t="str">
        <f aca="false">IF($A890="","",$A890-WEEKDAY($A890,3))</f>
        <v/>
      </c>
      <c r="G890" s="29" t="str">
        <f aca="false">IF($A890="","",IF($F890=AsOf-WEEKDAY(AsOf,3),"Yes",""))</f>
        <v/>
      </c>
      <c r="H890" s="29" t="str">
        <f aca="false">IF($G890="Yes",$A890+ROW()/100000,"")</f>
        <v/>
      </c>
    </row>
    <row r="891" customFormat="false" ht="15" hidden="false" customHeight="false" outlineLevel="0" collapsed="false">
      <c r="A891" s="27"/>
      <c r="B891" s="24"/>
      <c r="C891" s="24"/>
      <c r="D891" s="24"/>
      <c r="E891" s="28"/>
      <c r="F891" s="30" t="str">
        <f aca="false">IF($A891="","",$A891-WEEKDAY($A891,3))</f>
        <v/>
      </c>
      <c r="G891" s="29" t="str">
        <f aca="false">IF($A891="","",IF($F891=AsOf-WEEKDAY(AsOf,3),"Yes",""))</f>
        <v/>
      </c>
      <c r="H891" s="29" t="str">
        <f aca="false">IF($G891="Yes",$A891+ROW()/100000,"")</f>
        <v/>
      </c>
    </row>
    <row r="892" customFormat="false" ht="15" hidden="false" customHeight="false" outlineLevel="0" collapsed="false">
      <c r="A892" s="27"/>
      <c r="B892" s="24"/>
      <c r="C892" s="24"/>
      <c r="D892" s="24"/>
      <c r="E892" s="28"/>
      <c r="F892" s="30" t="str">
        <f aca="false">IF($A892="","",$A892-WEEKDAY($A892,3))</f>
        <v/>
      </c>
      <c r="G892" s="29" t="str">
        <f aca="false">IF($A892="","",IF($F892=AsOf-WEEKDAY(AsOf,3),"Yes",""))</f>
        <v/>
      </c>
      <c r="H892" s="29" t="str">
        <f aca="false">IF($G892="Yes",$A892+ROW()/100000,"")</f>
        <v/>
      </c>
    </row>
    <row r="893" customFormat="false" ht="15" hidden="false" customHeight="false" outlineLevel="0" collapsed="false">
      <c r="A893" s="27"/>
      <c r="B893" s="24"/>
      <c r="C893" s="24"/>
      <c r="D893" s="24"/>
      <c r="E893" s="28"/>
      <c r="F893" s="30" t="str">
        <f aca="false">IF($A893="","",$A893-WEEKDAY($A893,3))</f>
        <v/>
      </c>
      <c r="G893" s="29" t="str">
        <f aca="false">IF($A893="","",IF($F893=AsOf-WEEKDAY(AsOf,3),"Yes",""))</f>
        <v/>
      </c>
      <c r="H893" s="29" t="str">
        <f aca="false">IF($G893="Yes",$A893+ROW()/100000,"")</f>
        <v/>
      </c>
    </row>
    <row r="894" customFormat="false" ht="15" hidden="false" customHeight="false" outlineLevel="0" collapsed="false">
      <c r="A894" s="27"/>
      <c r="B894" s="24"/>
      <c r="C894" s="24"/>
      <c r="D894" s="24"/>
      <c r="E894" s="28"/>
      <c r="F894" s="30" t="str">
        <f aca="false">IF($A894="","",$A894-WEEKDAY($A894,3))</f>
        <v/>
      </c>
      <c r="G894" s="29" t="str">
        <f aca="false">IF($A894="","",IF($F894=AsOf-WEEKDAY(AsOf,3),"Yes",""))</f>
        <v/>
      </c>
      <c r="H894" s="29" t="str">
        <f aca="false">IF($G894="Yes",$A894+ROW()/100000,"")</f>
        <v/>
      </c>
    </row>
    <row r="895" customFormat="false" ht="15" hidden="false" customHeight="false" outlineLevel="0" collapsed="false">
      <c r="A895" s="27"/>
      <c r="B895" s="24"/>
      <c r="C895" s="24"/>
      <c r="D895" s="24"/>
      <c r="E895" s="28"/>
      <c r="F895" s="30" t="str">
        <f aca="false">IF($A895="","",$A895-WEEKDAY($A895,3))</f>
        <v/>
      </c>
      <c r="G895" s="29" t="str">
        <f aca="false">IF($A895="","",IF($F895=AsOf-WEEKDAY(AsOf,3),"Yes",""))</f>
        <v/>
      </c>
      <c r="H895" s="29" t="str">
        <f aca="false">IF($G895="Yes",$A895+ROW()/100000,"")</f>
        <v/>
      </c>
    </row>
    <row r="896" customFormat="false" ht="15" hidden="false" customHeight="false" outlineLevel="0" collapsed="false">
      <c r="A896" s="27"/>
      <c r="B896" s="24"/>
      <c r="C896" s="24"/>
      <c r="D896" s="24"/>
      <c r="E896" s="28"/>
      <c r="F896" s="30" t="str">
        <f aca="false">IF($A896="","",$A896-WEEKDAY($A896,3))</f>
        <v/>
      </c>
      <c r="G896" s="29" t="str">
        <f aca="false">IF($A896="","",IF($F896=AsOf-WEEKDAY(AsOf,3),"Yes",""))</f>
        <v/>
      </c>
      <c r="H896" s="29" t="str">
        <f aca="false">IF($G896="Yes",$A896+ROW()/100000,"")</f>
        <v/>
      </c>
    </row>
    <row r="897" customFormat="false" ht="15" hidden="false" customHeight="false" outlineLevel="0" collapsed="false">
      <c r="A897" s="27"/>
      <c r="B897" s="24"/>
      <c r="C897" s="24"/>
      <c r="D897" s="24"/>
      <c r="E897" s="28"/>
      <c r="F897" s="30" t="str">
        <f aca="false">IF($A897="","",$A897-WEEKDAY($A897,3))</f>
        <v/>
      </c>
      <c r="G897" s="29" t="str">
        <f aca="false">IF($A897="","",IF($F897=AsOf-WEEKDAY(AsOf,3),"Yes",""))</f>
        <v/>
      </c>
      <c r="H897" s="29" t="str">
        <f aca="false">IF($G897="Yes",$A897+ROW()/100000,"")</f>
        <v/>
      </c>
    </row>
    <row r="898" customFormat="false" ht="15" hidden="false" customHeight="false" outlineLevel="0" collapsed="false">
      <c r="A898" s="27"/>
      <c r="B898" s="24"/>
      <c r="C898" s="24"/>
      <c r="D898" s="24"/>
      <c r="E898" s="28"/>
      <c r="F898" s="30" t="str">
        <f aca="false">IF($A898="","",$A898-WEEKDAY($A898,3))</f>
        <v/>
      </c>
      <c r="G898" s="29" t="str">
        <f aca="false">IF($A898="","",IF($F898=AsOf-WEEKDAY(AsOf,3),"Yes",""))</f>
        <v/>
      </c>
      <c r="H898" s="29" t="str">
        <f aca="false">IF($G898="Yes",$A898+ROW()/100000,"")</f>
        <v/>
      </c>
    </row>
    <row r="899" customFormat="false" ht="15" hidden="false" customHeight="false" outlineLevel="0" collapsed="false">
      <c r="A899" s="27"/>
      <c r="B899" s="24"/>
      <c r="C899" s="24"/>
      <c r="D899" s="24"/>
      <c r="E899" s="28"/>
      <c r="F899" s="30" t="str">
        <f aca="false">IF($A899="","",$A899-WEEKDAY($A899,3))</f>
        <v/>
      </c>
      <c r="G899" s="29" t="str">
        <f aca="false">IF($A899="","",IF($F899=AsOf-WEEKDAY(AsOf,3),"Yes",""))</f>
        <v/>
      </c>
      <c r="H899" s="29" t="str">
        <f aca="false">IF($G899="Yes",$A899+ROW()/100000,"")</f>
        <v/>
      </c>
    </row>
    <row r="900" customFormat="false" ht="15" hidden="false" customHeight="false" outlineLevel="0" collapsed="false">
      <c r="A900" s="27"/>
      <c r="B900" s="24"/>
      <c r="C900" s="24"/>
      <c r="D900" s="24"/>
      <c r="E900" s="28"/>
      <c r="F900" s="30" t="str">
        <f aca="false">IF($A900="","",$A900-WEEKDAY($A900,3))</f>
        <v/>
      </c>
      <c r="G900" s="29" t="str">
        <f aca="false">IF($A900="","",IF($F900=AsOf-WEEKDAY(AsOf,3),"Yes",""))</f>
        <v/>
      </c>
      <c r="H900" s="29" t="str">
        <f aca="false">IF($G900="Yes",$A900+ROW()/100000,"")</f>
        <v/>
      </c>
    </row>
    <row r="901" customFormat="false" ht="15" hidden="false" customHeight="false" outlineLevel="0" collapsed="false">
      <c r="A901" s="27"/>
      <c r="B901" s="24"/>
      <c r="C901" s="24"/>
      <c r="D901" s="24"/>
      <c r="E901" s="28"/>
      <c r="F901" s="30" t="str">
        <f aca="false">IF($A901="","",$A901-WEEKDAY($A901,3))</f>
        <v/>
      </c>
      <c r="G901" s="29" t="str">
        <f aca="false">IF($A901="","",IF($F901=AsOf-WEEKDAY(AsOf,3),"Yes",""))</f>
        <v/>
      </c>
      <c r="H901" s="29" t="str">
        <f aca="false">IF($G901="Yes",$A901+ROW()/100000,"")</f>
        <v/>
      </c>
    </row>
    <row r="902" customFormat="false" ht="15" hidden="false" customHeight="false" outlineLevel="0" collapsed="false">
      <c r="A902" s="27"/>
      <c r="B902" s="24"/>
      <c r="C902" s="24"/>
      <c r="D902" s="24"/>
      <c r="E902" s="28"/>
      <c r="F902" s="30" t="str">
        <f aca="false">IF($A902="","",$A902-WEEKDAY($A902,3))</f>
        <v/>
      </c>
      <c r="G902" s="29" t="str">
        <f aca="false">IF($A902="","",IF($F902=AsOf-WEEKDAY(AsOf,3),"Yes",""))</f>
        <v/>
      </c>
      <c r="H902" s="29" t="str">
        <f aca="false">IF($G902="Yes",$A902+ROW()/100000,"")</f>
        <v/>
      </c>
    </row>
    <row r="903" customFormat="false" ht="15" hidden="false" customHeight="false" outlineLevel="0" collapsed="false">
      <c r="A903" s="27"/>
      <c r="B903" s="24"/>
      <c r="C903" s="24"/>
      <c r="D903" s="24"/>
      <c r="E903" s="28"/>
      <c r="F903" s="30" t="str">
        <f aca="false">IF($A903="","",$A903-WEEKDAY($A903,3))</f>
        <v/>
      </c>
      <c r="G903" s="29" t="str">
        <f aca="false">IF($A903="","",IF($F903=AsOf-WEEKDAY(AsOf,3),"Yes",""))</f>
        <v/>
      </c>
      <c r="H903" s="29" t="str">
        <f aca="false">IF($G903="Yes",$A903+ROW()/100000,"")</f>
        <v/>
      </c>
    </row>
    <row r="904" customFormat="false" ht="15" hidden="false" customHeight="false" outlineLevel="0" collapsed="false">
      <c r="A904" s="27"/>
      <c r="B904" s="24"/>
      <c r="C904" s="24"/>
      <c r="D904" s="24"/>
      <c r="E904" s="28"/>
      <c r="F904" s="30" t="str">
        <f aca="false">IF($A904="","",$A904-WEEKDAY($A904,3))</f>
        <v/>
      </c>
      <c r="G904" s="29" t="str">
        <f aca="false">IF($A904="","",IF($F904=AsOf-WEEKDAY(AsOf,3),"Yes",""))</f>
        <v/>
      </c>
      <c r="H904" s="29" t="str">
        <f aca="false">IF($G904="Yes",$A904+ROW()/100000,"")</f>
        <v/>
      </c>
    </row>
    <row r="905" customFormat="false" ht="15" hidden="false" customHeight="false" outlineLevel="0" collapsed="false">
      <c r="A905" s="27"/>
      <c r="B905" s="24"/>
      <c r="C905" s="24"/>
      <c r="D905" s="24"/>
      <c r="E905" s="28"/>
      <c r="F905" s="30" t="str">
        <f aca="false">IF($A905="","",$A905-WEEKDAY($A905,3))</f>
        <v/>
      </c>
      <c r="G905" s="29" t="str">
        <f aca="false">IF($A905="","",IF($F905=AsOf-WEEKDAY(AsOf,3),"Yes",""))</f>
        <v/>
      </c>
      <c r="H905" s="29" t="str">
        <f aca="false">IF($G905="Yes",$A905+ROW()/100000,"")</f>
        <v/>
      </c>
    </row>
    <row r="906" customFormat="false" ht="15" hidden="false" customHeight="false" outlineLevel="0" collapsed="false">
      <c r="A906" s="27"/>
      <c r="B906" s="24"/>
      <c r="C906" s="24"/>
      <c r="D906" s="24"/>
      <c r="E906" s="28"/>
      <c r="F906" s="30" t="str">
        <f aca="false">IF($A906="","",$A906-WEEKDAY($A906,3))</f>
        <v/>
      </c>
      <c r="G906" s="29" t="str">
        <f aca="false">IF($A906="","",IF($F906=AsOf-WEEKDAY(AsOf,3),"Yes",""))</f>
        <v/>
      </c>
      <c r="H906" s="29" t="str">
        <f aca="false">IF($G906="Yes",$A906+ROW()/100000,"")</f>
        <v/>
      </c>
    </row>
    <row r="907" customFormat="false" ht="15" hidden="false" customHeight="false" outlineLevel="0" collapsed="false">
      <c r="A907" s="27"/>
      <c r="B907" s="24"/>
      <c r="C907" s="24"/>
      <c r="D907" s="24"/>
      <c r="E907" s="28"/>
      <c r="F907" s="30" t="str">
        <f aca="false">IF($A907="","",$A907-WEEKDAY($A907,3))</f>
        <v/>
      </c>
      <c r="G907" s="29" t="str">
        <f aca="false">IF($A907="","",IF($F907=AsOf-WEEKDAY(AsOf,3),"Yes",""))</f>
        <v/>
      </c>
      <c r="H907" s="29" t="str">
        <f aca="false">IF($G907="Yes",$A907+ROW()/100000,"")</f>
        <v/>
      </c>
    </row>
    <row r="908" customFormat="false" ht="15" hidden="false" customHeight="false" outlineLevel="0" collapsed="false">
      <c r="A908" s="27"/>
      <c r="B908" s="24"/>
      <c r="C908" s="24"/>
      <c r="D908" s="24"/>
      <c r="E908" s="28"/>
      <c r="F908" s="30" t="str">
        <f aca="false">IF($A908="","",$A908-WEEKDAY($A908,3))</f>
        <v/>
      </c>
      <c r="G908" s="29" t="str">
        <f aca="false">IF($A908="","",IF($F908=AsOf-WEEKDAY(AsOf,3),"Yes",""))</f>
        <v/>
      </c>
      <c r="H908" s="29" t="str">
        <f aca="false">IF($G908="Yes",$A908+ROW()/100000,"")</f>
        <v/>
      </c>
    </row>
    <row r="909" customFormat="false" ht="15" hidden="false" customHeight="false" outlineLevel="0" collapsed="false">
      <c r="A909" s="27"/>
      <c r="B909" s="24"/>
      <c r="C909" s="24"/>
      <c r="D909" s="24"/>
      <c r="E909" s="28"/>
      <c r="F909" s="30" t="str">
        <f aca="false">IF($A909="","",$A909-WEEKDAY($A909,3))</f>
        <v/>
      </c>
      <c r="G909" s="29" t="str">
        <f aca="false">IF($A909="","",IF($F909=AsOf-WEEKDAY(AsOf,3),"Yes",""))</f>
        <v/>
      </c>
      <c r="H909" s="29" t="str">
        <f aca="false">IF($G909="Yes",$A909+ROW()/100000,"")</f>
        <v/>
      </c>
    </row>
    <row r="910" customFormat="false" ht="15" hidden="false" customHeight="false" outlineLevel="0" collapsed="false">
      <c r="A910" s="27"/>
      <c r="B910" s="24"/>
      <c r="C910" s="24"/>
      <c r="D910" s="24"/>
      <c r="E910" s="28"/>
      <c r="F910" s="30" t="str">
        <f aca="false">IF($A910="","",$A910-WEEKDAY($A910,3))</f>
        <v/>
      </c>
      <c r="G910" s="29" t="str">
        <f aca="false">IF($A910="","",IF($F910=AsOf-WEEKDAY(AsOf,3),"Yes",""))</f>
        <v/>
      </c>
      <c r="H910" s="29" t="str">
        <f aca="false">IF($G910="Yes",$A910+ROW()/100000,"")</f>
        <v/>
      </c>
    </row>
    <row r="911" customFormat="false" ht="15" hidden="false" customHeight="false" outlineLevel="0" collapsed="false">
      <c r="A911" s="27"/>
      <c r="B911" s="24"/>
      <c r="C911" s="24"/>
      <c r="D911" s="24"/>
      <c r="E911" s="28"/>
      <c r="F911" s="30" t="str">
        <f aca="false">IF($A911="","",$A911-WEEKDAY($A911,3))</f>
        <v/>
      </c>
      <c r="G911" s="29" t="str">
        <f aca="false">IF($A911="","",IF($F911=AsOf-WEEKDAY(AsOf,3),"Yes",""))</f>
        <v/>
      </c>
      <c r="H911" s="29" t="str">
        <f aca="false">IF($G911="Yes",$A911+ROW()/100000,"")</f>
        <v/>
      </c>
    </row>
    <row r="912" customFormat="false" ht="15" hidden="false" customHeight="false" outlineLevel="0" collapsed="false">
      <c r="A912" s="27"/>
      <c r="B912" s="24"/>
      <c r="C912" s="24"/>
      <c r="D912" s="24"/>
      <c r="E912" s="28"/>
      <c r="F912" s="30" t="str">
        <f aca="false">IF($A912="","",$A912-WEEKDAY($A912,3))</f>
        <v/>
      </c>
      <c r="G912" s="29" t="str">
        <f aca="false">IF($A912="","",IF($F912=AsOf-WEEKDAY(AsOf,3),"Yes",""))</f>
        <v/>
      </c>
      <c r="H912" s="29" t="str">
        <f aca="false">IF($G912="Yes",$A912+ROW()/100000,"")</f>
        <v/>
      </c>
    </row>
    <row r="913" customFormat="false" ht="15" hidden="false" customHeight="false" outlineLevel="0" collapsed="false">
      <c r="A913" s="27"/>
      <c r="B913" s="24"/>
      <c r="C913" s="24"/>
      <c r="D913" s="24"/>
      <c r="E913" s="28"/>
      <c r="F913" s="30" t="str">
        <f aca="false">IF($A913="","",$A913-WEEKDAY($A913,3))</f>
        <v/>
      </c>
      <c r="G913" s="29" t="str">
        <f aca="false">IF($A913="","",IF($F913=AsOf-WEEKDAY(AsOf,3),"Yes",""))</f>
        <v/>
      </c>
      <c r="H913" s="29" t="str">
        <f aca="false">IF($G913="Yes",$A913+ROW()/100000,"")</f>
        <v/>
      </c>
    </row>
    <row r="914" customFormat="false" ht="15" hidden="false" customHeight="false" outlineLevel="0" collapsed="false">
      <c r="A914" s="27"/>
      <c r="B914" s="24"/>
      <c r="C914" s="24"/>
      <c r="D914" s="24"/>
      <c r="E914" s="28"/>
      <c r="F914" s="30" t="str">
        <f aca="false">IF($A914="","",$A914-WEEKDAY($A914,3))</f>
        <v/>
      </c>
      <c r="G914" s="29" t="str">
        <f aca="false">IF($A914="","",IF($F914=AsOf-WEEKDAY(AsOf,3),"Yes",""))</f>
        <v/>
      </c>
      <c r="H914" s="29" t="str">
        <f aca="false">IF($G914="Yes",$A914+ROW()/100000,"")</f>
        <v/>
      </c>
    </row>
    <row r="915" customFormat="false" ht="15" hidden="false" customHeight="false" outlineLevel="0" collapsed="false">
      <c r="A915" s="27"/>
      <c r="B915" s="24"/>
      <c r="C915" s="24"/>
      <c r="D915" s="24"/>
      <c r="E915" s="28"/>
      <c r="F915" s="30" t="str">
        <f aca="false">IF($A915="","",$A915-WEEKDAY($A915,3))</f>
        <v/>
      </c>
      <c r="G915" s="29" t="str">
        <f aca="false">IF($A915="","",IF($F915=AsOf-WEEKDAY(AsOf,3),"Yes",""))</f>
        <v/>
      </c>
      <c r="H915" s="29" t="str">
        <f aca="false">IF($G915="Yes",$A915+ROW()/100000,"")</f>
        <v/>
      </c>
    </row>
    <row r="916" customFormat="false" ht="15" hidden="false" customHeight="false" outlineLevel="0" collapsed="false">
      <c r="A916" s="27"/>
      <c r="B916" s="24"/>
      <c r="C916" s="24"/>
      <c r="D916" s="24"/>
      <c r="E916" s="28"/>
      <c r="F916" s="30" t="str">
        <f aca="false">IF($A916="","",$A916-WEEKDAY($A916,3))</f>
        <v/>
      </c>
      <c r="G916" s="29" t="str">
        <f aca="false">IF($A916="","",IF($F916=AsOf-WEEKDAY(AsOf,3),"Yes",""))</f>
        <v/>
      </c>
      <c r="H916" s="29" t="str">
        <f aca="false">IF($G916="Yes",$A916+ROW()/100000,"")</f>
        <v/>
      </c>
    </row>
    <row r="917" customFormat="false" ht="15" hidden="false" customHeight="false" outlineLevel="0" collapsed="false">
      <c r="A917" s="27"/>
      <c r="B917" s="24"/>
      <c r="C917" s="24"/>
      <c r="D917" s="24"/>
      <c r="E917" s="28"/>
      <c r="F917" s="30" t="str">
        <f aca="false">IF($A917="","",$A917-WEEKDAY($A917,3))</f>
        <v/>
      </c>
      <c r="G917" s="29" t="str">
        <f aca="false">IF($A917="","",IF($F917=AsOf-WEEKDAY(AsOf,3),"Yes",""))</f>
        <v/>
      </c>
      <c r="H917" s="29" t="str">
        <f aca="false">IF($G917="Yes",$A917+ROW()/100000,"")</f>
        <v/>
      </c>
    </row>
    <row r="918" customFormat="false" ht="15" hidden="false" customHeight="false" outlineLevel="0" collapsed="false">
      <c r="A918" s="27"/>
      <c r="B918" s="24"/>
      <c r="C918" s="24"/>
      <c r="D918" s="24"/>
      <c r="E918" s="28"/>
      <c r="F918" s="30" t="str">
        <f aca="false">IF($A918="","",$A918-WEEKDAY($A918,3))</f>
        <v/>
      </c>
      <c r="G918" s="29" t="str">
        <f aca="false">IF($A918="","",IF($F918=AsOf-WEEKDAY(AsOf,3),"Yes",""))</f>
        <v/>
      </c>
      <c r="H918" s="29" t="str">
        <f aca="false">IF($G918="Yes",$A918+ROW()/100000,"")</f>
        <v/>
      </c>
    </row>
    <row r="919" customFormat="false" ht="15" hidden="false" customHeight="false" outlineLevel="0" collapsed="false">
      <c r="A919" s="27"/>
      <c r="B919" s="24"/>
      <c r="C919" s="24"/>
      <c r="D919" s="24"/>
      <c r="E919" s="28"/>
      <c r="F919" s="30" t="str">
        <f aca="false">IF($A919="","",$A919-WEEKDAY($A919,3))</f>
        <v/>
      </c>
      <c r="G919" s="29" t="str">
        <f aca="false">IF($A919="","",IF($F919=AsOf-WEEKDAY(AsOf,3),"Yes",""))</f>
        <v/>
      </c>
      <c r="H919" s="29" t="str">
        <f aca="false">IF($G919="Yes",$A919+ROW()/100000,"")</f>
        <v/>
      </c>
    </row>
    <row r="920" customFormat="false" ht="15" hidden="false" customHeight="false" outlineLevel="0" collapsed="false">
      <c r="A920" s="27"/>
      <c r="B920" s="24"/>
      <c r="C920" s="24"/>
      <c r="D920" s="24"/>
      <c r="E920" s="28"/>
      <c r="F920" s="30" t="str">
        <f aca="false">IF($A920="","",$A920-WEEKDAY($A920,3))</f>
        <v/>
      </c>
      <c r="G920" s="29" t="str">
        <f aca="false">IF($A920="","",IF($F920=AsOf-WEEKDAY(AsOf,3),"Yes",""))</f>
        <v/>
      </c>
      <c r="H920" s="29" t="str">
        <f aca="false">IF($G920="Yes",$A920+ROW()/100000,"")</f>
        <v/>
      </c>
    </row>
    <row r="921" customFormat="false" ht="15" hidden="false" customHeight="false" outlineLevel="0" collapsed="false">
      <c r="A921" s="27"/>
      <c r="B921" s="24"/>
      <c r="C921" s="24"/>
      <c r="D921" s="24"/>
      <c r="E921" s="28"/>
      <c r="F921" s="30" t="str">
        <f aca="false">IF($A921="","",$A921-WEEKDAY($A921,3))</f>
        <v/>
      </c>
      <c r="G921" s="29" t="str">
        <f aca="false">IF($A921="","",IF($F921=AsOf-WEEKDAY(AsOf,3),"Yes",""))</f>
        <v/>
      </c>
      <c r="H921" s="29" t="str">
        <f aca="false">IF($G921="Yes",$A921+ROW()/100000,"")</f>
        <v/>
      </c>
    </row>
    <row r="922" customFormat="false" ht="15" hidden="false" customHeight="false" outlineLevel="0" collapsed="false">
      <c r="A922" s="27"/>
      <c r="B922" s="24"/>
      <c r="C922" s="24"/>
      <c r="D922" s="24"/>
      <c r="E922" s="28"/>
      <c r="F922" s="30" t="str">
        <f aca="false">IF($A922="","",$A922-WEEKDAY($A922,3))</f>
        <v/>
      </c>
      <c r="G922" s="29" t="str">
        <f aca="false">IF($A922="","",IF($F922=AsOf-WEEKDAY(AsOf,3),"Yes",""))</f>
        <v/>
      </c>
      <c r="H922" s="29" t="str">
        <f aca="false">IF($G922="Yes",$A922+ROW()/100000,"")</f>
        <v/>
      </c>
    </row>
    <row r="923" customFormat="false" ht="15" hidden="false" customHeight="false" outlineLevel="0" collapsed="false">
      <c r="A923" s="27"/>
      <c r="B923" s="24"/>
      <c r="C923" s="24"/>
      <c r="D923" s="24"/>
      <c r="E923" s="28"/>
      <c r="F923" s="30" t="str">
        <f aca="false">IF($A923="","",$A923-WEEKDAY($A923,3))</f>
        <v/>
      </c>
      <c r="G923" s="29" t="str">
        <f aca="false">IF($A923="","",IF($F923=AsOf-WEEKDAY(AsOf,3),"Yes",""))</f>
        <v/>
      </c>
      <c r="H923" s="29" t="str">
        <f aca="false">IF($G923="Yes",$A923+ROW()/100000,"")</f>
        <v/>
      </c>
    </row>
    <row r="924" customFormat="false" ht="15" hidden="false" customHeight="false" outlineLevel="0" collapsed="false">
      <c r="A924" s="27"/>
      <c r="B924" s="24"/>
      <c r="C924" s="24"/>
      <c r="D924" s="24"/>
      <c r="E924" s="28"/>
      <c r="F924" s="30" t="str">
        <f aca="false">IF($A924="","",$A924-WEEKDAY($A924,3))</f>
        <v/>
      </c>
      <c r="G924" s="29" t="str">
        <f aca="false">IF($A924="","",IF($F924=AsOf-WEEKDAY(AsOf,3),"Yes",""))</f>
        <v/>
      </c>
      <c r="H924" s="29" t="str">
        <f aca="false">IF($G924="Yes",$A924+ROW()/100000,"")</f>
        <v/>
      </c>
    </row>
    <row r="925" customFormat="false" ht="15" hidden="false" customHeight="false" outlineLevel="0" collapsed="false">
      <c r="A925" s="27"/>
      <c r="B925" s="24"/>
      <c r="C925" s="24"/>
      <c r="D925" s="24"/>
      <c r="E925" s="28"/>
      <c r="F925" s="30" t="str">
        <f aca="false">IF($A925="","",$A925-WEEKDAY($A925,3))</f>
        <v/>
      </c>
      <c r="G925" s="29" t="str">
        <f aca="false">IF($A925="","",IF($F925=AsOf-WEEKDAY(AsOf,3),"Yes",""))</f>
        <v/>
      </c>
      <c r="H925" s="29" t="str">
        <f aca="false">IF($G925="Yes",$A925+ROW()/100000,"")</f>
        <v/>
      </c>
    </row>
    <row r="926" customFormat="false" ht="15" hidden="false" customHeight="false" outlineLevel="0" collapsed="false">
      <c r="A926" s="27"/>
      <c r="B926" s="24"/>
      <c r="C926" s="24"/>
      <c r="D926" s="24"/>
      <c r="E926" s="28"/>
      <c r="F926" s="30" t="str">
        <f aca="false">IF($A926="","",$A926-WEEKDAY($A926,3))</f>
        <v/>
      </c>
      <c r="G926" s="29" t="str">
        <f aca="false">IF($A926="","",IF($F926=AsOf-WEEKDAY(AsOf,3),"Yes",""))</f>
        <v/>
      </c>
      <c r="H926" s="29" t="str">
        <f aca="false">IF($G926="Yes",$A926+ROW()/100000,"")</f>
        <v/>
      </c>
    </row>
    <row r="927" customFormat="false" ht="15" hidden="false" customHeight="false" outlineLevel="0" collapsed="false">
      <c r="A927" s="27"/>
      <c r="B927" s="24"/>
      <c r="C927" s="24"/>
      <c r="D927" s="24"/>
      <c r="E927" s="28"/>
      <c r="F927" s="30" t="str">
        <f aca="false">IF($A927="","",$A927-WEEKDAY($A927,3))</f>
        <v/>
      </c>
      <c r="G927" s="29" t="str">
        <f aca="false">IF($A927="","",IF($F927=AsOf-WEEKDAY(AsOf,3),"Yes",""))</f>
        <v/>
      </c>
      <c r="H927" s="29" t="str">
        <f aca="false">IF($G927="Yes",$A927+ROW()/100000,"")</f>
        <v/>
      </c>
    </row>
    <row r="928" customFormat="false" ht="15" hidden="false" customHeight="false" outlineLevel="0" collapsed="false">
      <c r="A928" s="27"/>
      <c r="B928" s="24"/>
      <c r="C928" s="24"/>
      <c r="D928" s="24"/>
      <c r="E928" s="28"/>
      <c r="F928" s="30" t="str">
        <f aca="false">IF($A928="","",$A928-WEEKDAY($A928,3))</f>
        <v/>
      </c>
      <c r="G928" s="29" t="str">
        <f aca="false">IF($A928="","",IF($F928=AsOf-WEEKDAY(AsOf,3),"Yes",""))</f>
        <v/>
      </c>
      <c r="H928" s="29" t="str">
        <f aca="false">IF($G928="Yes",$A928+ROW()/100000,"")</f>
        <v/>
      </c>
    </row>
    <row r="929" customFormat="false" ht="15" hidden="false" customHeight="false" outlineLevel="0" collapsed="false">
      <c r="A929" s="27"/>
      <c r="B929" s="24"/>
      <c r="C929" s="24"/>
      <c r="D929" s="24"/>
      <c r="E929" s="28"/>
      <c r="F929" s="30" t="str">
        <f aca="false">IF($A929="","",$A929-WEEKDAY($A929,3))</f>
        <v/>
      </c>
      <c r="G929" s="29" t="str">
        <f aca="false">IF($A929="","",IF($F929=AsOf-WEEKDAY(AsOf,3),"Yes",""))</f>
        <v/>
      </c>
      <c r="H929" s="29" t="str">
        <f aca="false">IF($G929="Yes",$A929+ROW()/100000,"")</f>
        <v/>
      </c>
    </row>
    <row r="930" customFormat="false" ht="15" hidden="false" customHeight="false" outlineLevel="0" collapsed="false">
      <c r="A930" s="27"/>
      <c r="B930" s="24"/>
      <c r="C930" s="24"/>
      <c r="D930" s="24"/>
      <c r="E930" s="28"/>
      <c r="F930" s="30" t="str">
        <f aca="false">IF($A930="","",$A930-WEEKDAY($A930,3))</f>
        <v/>
      </c>
      <c r="G930" s="29" t="str">
        <f aca="false">IF($A930="","",IF($F930=AsOf-WEEKDAY(AsOf,3),"Yes",""))</f>
        <v/>
      </c>
      <c r="H930" s="29" t="str">
        <f aca="false">IF($G930="Yes",$A930+ROW()/100000,"")</f>
        <v/>
      </c>
    </row>
    <row r="931" customFormat="false" ht="15" hidden="false" customHeight="false" outlineLevel="0" collapsed="false">
      <c r="A931" s="27"/>
      <c r="B931" s="24"/>
      <c r="C931" s="24"/>
      <c r="D931" s="24"/>
      <c r="E931" s="28"/>
      <c r="F931" s="30" t="str">
        <f aca="false">IF($A931="","",$A931-WEEKDAY($A931,3))</f>
        <v/>
      </c>
      <c r="G931" s="29" t="str">
        <f aca="false">IF($A931="","",IF($F931=AsOf-WEEKDAY(AsOf,3),"Yes",""))</f>
        <v/>
      </c>
      <c r="H931" s="29" t="str">
        <f aca="false">IF($G931="Yes",$A931+ROW()/100000,"")</f>
        <v/>
      </c>
    </row>
    <row r="932" customFormat="false" ht="15" hidden="false" customHeight="false" outlineLevel="0" collapsed="false">
      <c r="A932" s="27"/>
      <c r="B932" s="24"/>
      <c r="C932" s="24"/>
      <c r="D932" s="24"/>
      <c r="E932" s="28"/>
      <c r="F932" s="30" t="str">
        <f aca="false">IF($A932="","",$A932-WEEKDAY($A932,3))</f>
        <v/>
      </c>
      <c r="G932" s="29" t="str">
        <f aca="false">IF($A932="","",IF($F932=AsOf-WEEKDAY(AsOf,3),"Yes",""))</f>
        <v/>
      </c>
      <c r="H932" s="29" t="str">
        <f aca="false">IF($G932="Yes",$A932+ROW()/100000,"")</f>
        <v/>
      </c>
    </row>
    <row r="933" customFormat="false" ht="15" hidden="false" customHeight="false" outlineLevel="0" collapsed="false">
      <c r="A933" s="27"/>
      <c r="B933" s="24"/>
      <c r="C933" s="24"/>
      <c r="D933" s="24"/>
      <c r="E933" s="28"/>
      <c r="F933" s="30" t="str">
        <f aca="false">IF($A933="","",$A933-WEEKDAY($A933,3))</f>
        <v/>
      </c>
      <c r="G933" s="29" t="str">
        <f aca="false">IF($A933="","",IF($F933=AsOf-WEEKDAY(AsOf,3),"Yes",""))</f>
        <v/>
      </c>
      <c r="H933" s="29" t="str">
        <f aca="false">IF($G933="Yes",$A933+ROW()/100000,"")</f>
        <v/>
      </c>
    </row>
    <row r="934" customFormat="false" ht="15" hidden="false" customHeight="false" outlineLevel="0" collapsed="false">
      <c r="A934" s="27"/>
      <c r="B934" s="24"/>
      <c r="C934" s="24"/>
      <c r="D934" s="24"/>
      <c r="E934" s="28"/>
      <c r="F934" s="30" t="str">
        <f aca="false">IF($A934="","",$A934-WEEKDAY($A934,3))</f>
        <v/>
      </c>
      <c r="G934" s="29" t="str">
        <f aca="false">IF($A934="","",IF($F934=AsOf-WEEKDAY(AsOf,3),"Yes",""))</f>
        <v/>
      </c>
      <c r="H934" s="29" t="str">
        <f aca="false">IF($G934="Yes",$A934+ROW()/100000,"")</f>
        <v/>
      </c>
    </row>
    <row r="935" customFormat="false" ht="15" hidden="false" customHeight="false" outlineLevel="0" collapsed="false">
      <c r="A935" s="27"/>
      <c r="B935" s="24"/>
      <c r="C935" s="24"/>
      <c r="D935" s="24"/>
      <c r="E935" s="28"/>
      <c r="F935" s="30" t="str">
        <f aca="false">IF($A935="","",$A935-WEEKDAY($A935,3))</f>
        <v/>
      </c>
      <c r="G935" s="29" t="str">
        <f aca="false">IF($A935="","",IF($F935=AsOf-WEEKDAY(AsOf,3),"Yes",""))</f>
        <v/>
      </c>
      <c r="H935" s="29" t="str">
        <f aca="false">IF($G935="Yes",$A935+ROW()/100000,"")</f>
        <v/>
      </c>
    </row>
    <row r="936" customFormat="false" ht="15" hidden="false" customHeight="false" outlineLevel="0" collapsed="false">
      <c r="A936" s="27"/>
      <c r="B936" s="24"/>
      <c r="C936" s="24"/>
      <c r="D936" s="24"/>
      <c r="E936" s="28"/>
      <c r="F936" s="30" t="str">
        <f aca="false">IF($A936="","",$A936-WEEKDAY($A936,3))</f>
        <v/>
      </c>
      <c r="G936" s="29" t="str">
        <f aca="false">IF($A936="","",IF($F936=AsOf-WEEKDAY(AsOf,3),"Yes",""))</f>
        <v/>
      </c>
      <c r="H936" s="29" t="str">
        <f aca="false">IF($G936="Yes",$A936+ROW()/100000,"")</f>
        <v/>
      </c>
    </row>
    <row r="937" customFormat="false" ht="15" hidden="false" customHeight="false" outlineLevel="0" collapsed="false">
      <c r="A937" s="27"/>
      <c r="B937" s="24"/>
      <c r="C937" s="24"/>
      <c r="D937" s="24"/>
      <c r="E937" s="28"/>
      <c r="F937" s="30" t="str">
        <f aca="false">IF($A937="","",$A937-WEEKDAY($A937,3))</f>
        <v/>
      </c>
      <c r="G937" s="29" t="str">
        <f aca="false">IF($A937="","",IF($F937=AsOf-WEEKDAY(AsOf,3),"Yes",""))</f>
        <v/>
      </c>
      <c r="H937" s="29" t="str">
        <f aca="false">IF($G937="Yes",$A937+ROW()/100000,"")</f>
        <v/>
      </c>
    </row>
    <row r="938" customFormat="false" ht="15" hidden="false" customHeight="false" outlineLevel="0" collapsed="false">
      <c r="A938" s="27"/>
      <c r="B938" s="24"/>
      <c r="C938" s="24"/>
      <c r="D938" s="24"/>
      <c r="E938" s="28"/>
      <c r="F938" s="30" t="str">
        <f aca="false">IF($A938="","",$A938-WEEKDAY($A938,3))</f>
        <v/>
      </c>
      <c r="G938" s="29" t="str">
        <f aca="false">IF($A938="","",IF($F938=AsOf-WEEKDAY(AsOf,3),"Yes",""))</f>
        <v/>
      </c>
      <c r="H938" s="29" t="str">
        <f aca="false">IF($G938="Yes",$A938+ROW()/100000,"")</f>
        <v/>
      </c>
    </row>
    <row r="939" customFormat="false" ht="15" hidden="false" customHeight="false" outlineLevel="0" collapsed="false">
      <c r="A939" s="27"/>
      <c r="B939" s="24"/>
      <c r="C939" s="24"/>
      <c r="D939" s="24"/>
      <c r="E939" s="28"/>
      <c r="F939" s="30" t="str">
        <f aca="false">IF($A939="","",$A939-WEEKDAY($A939,3))</f>
        <v/>
      </c>
      <c r="G939" s="29" t="str">
        <f aca="false">IF($A939="","",IF($F939=AsOf-WEEKDAY(AsOf,3),"Yes",""))</f>
        <v/>
      </c>
      <c r="H939" s="29" t="str">
        <f aca="false">IF($G939="Yes",$A939+ROW()/100000,"")</f>
        <v/>
      </c>
    </row>
    <row r="940" customFormat="false" ht="15" hidden="false" customHeight="false" outlineLevel="0" collapsed="false">
      <c r="A940" s="27"/>
      <c r="B940" s="24"/>
      <c r="C940" s="24"/>
      <c r="D940" s="24"/>
      <c r="E940" s="28"/>
      <c r="F940" s="30" t="str">
        <f aca="false">IF($A940="","",$A940-WEEKDAY($A940,3))</f>
        <v/>
      </c>
      <c r="G940" s="29" t="str">
        <f aca="false">IF($A940="","",IF($F940=AsOf-WEEKDAY(AsOf,3),"Yes",""))</f>
        <v/>
      </c>
      <c r="H940" s="29" t="str">
        <f aca="false">IF($G940="Yes",$A940+ROW()/100000,"")</f>
        <v/>
      </c>
    </row>
    <row r="941" customFormat="false" ht="15" hidden="false" customHeight="false" outlineLevel="0" collapsed="false">
      <c r="A941" s="27"/>
      <c r="B941" s="24"/>
      <c r="C941" s="24"/>
      <c r="D941" s="24"/>
      <c r="E941" s="28"/>
      <c r="F941" s="30" t="str">
        <f aca="false">IF($A941="","",$A941-WEEKDAY($A941,3))</f>
        <v/>
      </c>
      <c r="G941" s="29" t="str">
        <f aca="false">IF($A941="","",IF($F941=AsOf-WEEKDAY(AsOf,3),"Yes",""))</f>
        <v/>
      </c>
      <c r="H941" s="29" t="str">
        <f aca="false">IF($G941="Yes",$A941+ROW()/100000,"")</f>
        <v/>
      </c>
    </row>
    <row r="942" customFormat="false" ht="15" hidden="false" customHeight="false" outlineLevel="0" collapsed="false">
      <c r="A942" s="27"/>
      <c r="B942" s="24"/>
      <c r="C942" s="24"/>
      <c r="D942" s="24"/>
      <c r="E942" s="28"/>
      <c r="F942" s="30" t="str">
        <f aca="false">IF($A942="","",$A942-WEEKDAY($A942,3))</f>
        <v/>
      </c>
      <c r="G942" s="29" t="str">
        <f aca="false">IF($A942="","",IF($F942=AsOf-WEEKDAY(AsOf,3),"Yes",""))</f>
        <v/>
      </c>
      <c r="H942" s="29" t="str">
        <f aca="false">IF($G942="Yes",$A942+ROW()/100000,"")</f>
        <v/>
      </c>
    </row>
    <row r="943" customFormat="false" ht="15" hidden="false" customHeight="false" outlineLevel="0" collapsed="false">
      <c r="A943" s="27"/>
      <c r="B943" s="24"/>
      <c r="C943" s="24"/>
      <c r="D943" s="24"/>
      <c r="E943" s="28"/>
      <c r="F943" s="30" t="str">
        <f aca="false">IF($A943="","",$A943-WEEKDAY($A943,3))</f>
        <v/>
      </c>
      <c r="G943" s="29" t="str">
        <f aca="false">IF($A943="","",IF($F943=AsOf-WEEKDAY(AsOf,3),"Yes",""))</f>
        <v/>
      </c>
      <c r="H943" s="29" t="str">
        <f aca="false">IF($G943="Yes",$A943+ROW()/100000,"")</f>
        <v/>
      </c>
    </row>
    <row r="944" customFormat="false" ht="15" hidden="false" customHeight="false" outlineLevel="0" collapsed="false">
      <c r="A944" s="27"/>
      <c r="B944" s="24"/>
      <c r="C944" s="24"/>
      <c r="D944" s="24"/>
      <c r="E944" s="28"/>
      <c r="F944" s="30" t="str">
        <f aca="false">IF($A944="","",$A944-WEEKDAY($A944,3))</f>
        <v/>
      </c>
      <c r="G944" s="29" t="str">
        <f aca="false">IF($A944="","",IF($F944=AsOf-WEEKDAY(AsOf,3),"Yes",""))</f>
        <v/>
      </c>
      <c r="H944" s="29" t="str">
        <f aca="false">IF($G944="Yes",$A944+ROW()/100000,"")</f>
        <v/>
      </c>
    </row>
    <row r="945" customFormat="false" ht="15" hidden="false" customHeight="false" outlineLevel="0" collapsed="false">
      <c r="A945" s="27"/>
      <c r="B945" s="24"/>
      <c r="C945" s="24"/>
      <c r="D945" s="24"/>
      <c r="E945" s="28"/>
      <c r="F945" s="30" t="str">
        <f aca="false">IF($A945="","",$A945-WEEKDAY($A945,3))</f>
        <v/>
      </c>
      <c r="G945" s="29" t="str">
        <f aca="false">IF($A945="","",IF($F945=AsOf-WEEKDAY(AsOf,3),"Yes",""))</f>
        <v/>
      </c>
      <c r="H945" s="29" t="str">
        <f aca="false">IF($G945="Yes",$A945+ROW()/100000,"")</f>
        <v/>
      </c>
    </row>
    <row r="946" customFormat="false" ht="15" hidden="false" customHeight="false" outlineLevel="0" collapsed="false">
      <c r="A946" s="27"/>
      <c r="B946" s="24"/>
      <c r="C946" s="24"/>
      <c r="D946" s="24"/>
      <c r="E946" s="28"/>
      <c r="F946" s="30" t="str">
        <f aca="false">IF($A946="","",$A946-WEEKDAY($A946,3))</f>
        <v/>
      </c>
      <c r="G946" s="29" t="str">
        <f aca="false">IF($A946="","",IF($F946=AsOf-WEEKDAY(AsOf,3),"Yes",""))</f>
        <v/>
      </c>
      <c r="H946" s="29" t="str">
        <f aca="false">IF($G946="Yes",$A946+ROW()/100000,"")</f>
        <v/>
      </c>
    </row>
    <row r="947" customFormat="false" ht="15" hidden="false" customHeight="false" outlineLevel="0" collapsed="false">
      <c r="A947" s="27"/>
      <c r="B947" s="24"/>
      <c r="C947" s="24"/>
      <c r="D947" s="24"/>
      <c r="E947" s="28"/>
      <c r="F947" s="30" t="str">
        <f aca="false">IF($A947="","",$A947-WEEKDAY($A947,3))</f>
        <v/>
      </c>
      <c r="G947" s="29" t="str">
        <f aca="false">IF($A947="","",IF($F947=AsOf-WEEKDAY(AsOf,3),"Yes",""))</f>
        <v/>
      </c>
      <c r="H947" s="29" t="str">
        <f aca="false">IF($G947="Yes",$A947+ROW()/100000,"")</f>
        <v/>
      </c>
    </row>
    <row r="948" customFormat="false" ht="15" hidden="false" customHeight="false" outlineLevel="0" collapsed="false">
      <c r="A948" s="27"/>
      <c r="B948" s="24"/>
      <c r="C948" s="24"/>
      <c r="D948" s="24"/>
      <c r="E948" s="28"/>
      <c r="F948" s="30" t="str">
        <f aca="false">IF($A948="","",$A948-WEEKDAY($A948,3))</f>
        <v/>
      </c>
      <c r="G948" s="29" t="str">
        <f aca="false">IF($A948="","",IF($F948=AsOf-WEEKDAY(AsOf,3),"Yes",""))</f>
        <v/>
      </c>
      <c r="H948" s="29" t="str">
        <f aca="false">IF($G948="Yes",$A948+ROW()/100000,"")</f>
        <v/>
      </c>
    </row>
    <row r="949" customFormat="false" ht="15" hidden="false" customHeight="false" outlineLevel="0" collapsed="false">
      <c r="A949" s="27"/>
      <c r="B949" s="24"/>
      <c r="C949" s="24"/>
      <c r="D949" s="24"/>
      <c r="E949" s="28"/>
      <c r="F949" s="30" t="str">
        <f aca="false">IF($A949="","",$A949-WEEKDAY($A949,3))</f>
        <v/>
      </c>
      <c r="G949" s="29" t="str">
        <f aca="false">IF($A949="","",IF($F949=AsOf-WEEKDAY(AsOf,3),"Yes",""))</f>
        <v/>
      </c>
      <c r="H949" s="29" t="str">
        <f aca="false">IF($G949="Yes",$A949+ROW()/100000,"")</f>
        <v/>
      </c>
    </row>
    <row r="950" customFormat="false" ht="15" hidden="false" customHeight="false" outlineLevel="0" collapsed="false">
      <c r="A950" s="27"/>
      <c r="B950" s="24"/>
      <c r="C950" s="24"/>
      <c r="D950" s="24"/>
      <c r="E950" s="28"/>
      <c r="F950" s="30" t="str">
        <f aca="false">IF($A950="","",$A950-WEEKDAY($A950,3))</f>
        <v/>
      </c>
      <c r="G950" s="29" t="str">
        <f aca="false">IF($A950="","",IF($F950=AsOf-WEEKDAY(AsOf,3),"Yes",""))</f>
        <v/>
      </c>
      <c r="H950" s="29" t="str">
        <f aca="false">IF($G950="Yes",$A950+ROW()/100000,"")</f>
        <v/>
      </c>
    </row>
    <row r="951" customFormat="false" ht="15" hidden="false" customHeight="false" outlineLevel="0" collapsed="false">
      <c r="A951" s="27"/>
      <c r="B951" s="24"/>
      <c r="C951" s="24"/>
      <c r="D951" s="24"/>
      <c r="E951" s="28"/>
      <c r="F951" s="30" t="str">
        <f aca="false">IF($A951="","",$A951-WEEKDAY($A951,3))</f>
        <v/>
      </c>
      <c r="G951" s="29" t="str">
        <f aca="false">IF($A951="","",IF($F951=AsOf-WEEKDAY(AsOf,3),"Yes",""))</f>
        <v/>
      </c>
      <c r="H951" s="29" t="str">
        <f aca="false">IF($G951="Yes",$A951+ROW()/100000,"")</f>
        <v/>
      </c>
    </row>
    <row r="952" customFormat="false" ht="15" hidden="false" customHeight="false" outlineLevel="0" collapsed="false">
      <c r="A952" s="27"/>
      <c r="B952" s="24"/>
      <c r="C952" s="24"/>
      <c r="D952" s="24"/>
      <c r="E952" s="28"/>
      <c r="F952" s="30" t="str">
        <f aca="false">IF($A952="","",$A952-WEEKDAY($A952,3))</f>
        <v/>
      </c>
      <c r="G952" s="29" t="str">
        <f aca="false">IF($A952="","",IF($F952=AsOf-WEEKDAY(AsOf,3),"Yes",""))</f>
        <v/>
      </c>
      <c r="H952" s="29" t="str">
        <f aca="false">IF($G952="Yes",$A952+ROW()/100000,"")</f>
        <v/>
      </c>
    </row>
    <row r="953" customFormat="false" ht="15" hidden="false" customHeight="false" outlineLevel="0" collapsed="false">
      <c r="A953" s="27"/>
      <c r="B953" s="24"/>
      <c r="C953" s="24"/>
      <c r="D953" s="24"/>
      <c r="E953" s="28"/>
      <c r="F953" s="30" t="str">
        <f aca="false">IF($A953="","",$A953-WEEKDAY($A953,3))</f>
        <v/>
      </c>
      <c r="G953" s="29" t="str">
        <f aca="false">IF($A953="","",IF($F953=AsOf-WEEKDAY(AsOf,3),"Yes",""))</f>
        <v/>
      </c>
      <c r="H953" s="29" t="str">
        <f aca="false">IF($G953="Yes",$A953+ROW()/100000,"")</f>
        <v/>
      </c>
    </row>
    <row r="954" customFormat="false" ht="15" hidden="false" customHeight="false" outlineLevel="0" collapsed="false">
      <c r="A954" s="27"/>
      <c r="B954" s="24"/>
      <c r="C954" s="24"/>
      <c r="D954" s="24"/>
      <c r="E954" s="28"/>
      <c r="F954" s="30" t="str">
        <f aca="false">IF($A954="","",$A954-WEEKDAY($A954,3))</f>
        <v/>
      </c>
      <c r="G954" s="29" t="str">
        <f aca="false">IF($A954="","",IF($F954=AsOf-WEEKDAY(AsOf,3),"Yes",""))</f>
        <v/>
      </c>
      <c r="H954" s="29" t="str">
        <f aca="false">IF($G954="Yes",$A954+ROW()/100000,"")</f>
        <v/>
      </c>
    </row>
    <row r="955" customFormat="false" ht="15" hidden="false" customHeight="false" outlineLevel="0" collapsed="false">
      <c r="A955" s="27"/>
      <c r="B955" s="24"/>
      <c r="C955" s="24"/>
      <c r="D955" s="24"/>
      <c r="E955" s="28"/>
      <c r="F955" s="30" t="str">
        <f aca="false">IF($A955="","",$A955-WEEKDAY($A955,3))</f>
        <v/>
      </c>
      <c r="G955" s="29" t="str">
        <f aca="false">IF($A955="","",IF($F955=AsOf-WEEKDAY(AsOf,3),"Yes",""))</f>
        <v/>
      </c>
      <c r="H955" s="29" t="str">
        <f aca="false">IF($G955="Yes",$A955+ROW()/100000,"")</f>
        <v/>
      </c>
    </row>
    <row r="956" customFormat="false" ht="15" hidden="false" customHeight="false" outlineLevel="0" collapsed="false">
      <c r="A956" s="27"/>
      <c r="B956" s="24"/>
      <c r="C956" s="24"/>
      <c r="D956" s="24"/>
      <c r="E956" s="28"/>
      <c r="F956" s="30" t="str">
        <f aca="false">IF($A956="","",$A956-WEEKDAY($A956,3))</f>
        <v/>
      </c>
      <c r="G956" s="29" t="str">
        <f aca="false">IF($A956="","",IF($F956=AsOf-WEEKDAY(AsOf,3),"Yes",""))</f>
        <v/>
      </c>
      <c r="H956" s="29" t="str">
        <f aca="false">IF($G956="Yes",$A956+ROW()/100000,"")</f>
        <v/>
      </c>
    </row>
    <row r="957" customFormat="false" ht="15" hidden="false" customHeight="false" outlineLevel="0" collapsed="false">
      <c r="A957" s="27"/>
      <c r="B957" s="24"/>
      <c r="C957" s="24"/>
      <c r="D957" s="24"/>
      <c r="E957" s="28"/>
      <c r="F957" s="30" t="str">
        <f aca="false">IF($A957="","",$A957-WEEKDAY($A957,3))</f>
        <v/>
      </c>
      <c r="G957" s="29" t="str">
        <f aca="false">IF($A957="","",IF($F957=AsOf-WEEKDAY(AsOf,3),"Yes",""))</f>
        <v/>
      </c>
      <c r="H957" s="29" t="str">
        <f aca="false">IF($G957="Yes",$A957+ROW()/100000,"")</f>
        <v/>
      </c>
    </row>
    <row r="958" customFormat="false" ht="15" hidden="false" customHeight="false" outlineLevel="0" collapsed="false">
      <c r="A958" s="27"/>
      <c r="B958" s="24"/>
      <c r="C958" s="24"/>
      <c r="D958" s="24"/>
      <c r="E958" s="28"/>
      <c r="F958" s="30" t="str">
        <f aca="false">IF($A958="","",$A958-WEEKDAY($A958,3))</f>
        <v/>
      </c>
      <c r="G958" s="29" t="str">
        <f aca="false">IF($A958="","",IF($F958=AsOf-WEEKDAY(AsOf,3),"Yes",""))</f>
        <v/>
      </c>
      <c r="H958" s="29" t="str">
        <f aca="false">IF($G958="Yes",$A958+ROW()/100000,"")</f>
        <v/>
      </c>
    </row>
    <row r="959" customFormat="false" ht="15" hidden="false" customHeight="false" outlineLevel="0" collapsed="false">
      <c r="A959" s="27"/>
      <c r="B959" s="24"/>
      <c r="C959" s="24"/>
      <c r="D959" s="24"/>
      <c r="E959" s="28"/>
      <c r="F959" s="30" t="str">
        <f aca="false">IF($A959="","",$A959-WEEKDAY($A959,3))</f>
        <v/>
      </c>
      <c r="G959" s="29" t="str">
        <f aca="false">IF($A959="","",IF($F959=AsOf-WEEKDAY(AsOf,3),"Yes",""))</f>
        <v/>
      </c>
      <c r="H959" s="29" t="str">
        <f aca="false">IF($G959="Yes",$A959+ROW()/100000,"")</f>
        <v/>
      </c>
    </row>
    <row r="960" customFormat="false" ht="15" hidden="false" customHeight="false" outlineLevel="0" collapsed="false">
      <c r="A960" s="27"/>
      <c r="B960" s="24"/>
      <c r="C960" s="24"/>
      <c r="D960" s="24"/>
      <c r="E960" s="28"/>
      <c r="F960" s="30" t="str">
        <f aca="false">IF($A960="","",$A960-WEEKDAY($A960,3))</f>
        <v/>
      </c>
      <c r="G960" s="29" t="str">
        <f aca="false">IF($A960="","",IF($F960=AsOf-WEEKDAY(AsOf,3),"Yes",""))</f>
        <v/>
      </c>
      <c r="H960" s="29" t="str">
        <f aca="false">IF($G960="Yes",$A960+ROW()/100000,"")</f>
        <v/>
      </c>
    </row>
    <row r="961" customFormat="false" ht="15" hidden="false" customHeight="false" outlineLevel="0" collapsed="false">
      <c r="A961" s="27"/>
      <c r="B961" s="24"/>
      <c r="C961" s="24"/>
      <c r="D961" s="24"/>
      <c r="E961" s="28"/>
      <c r="F961" s="30" t="str">
        <f aca="false">IF($A961="","",$A961-WEEKDAY($A961,3))</f>
        <v/>
      </c>
      <c r="G961" s="29" t="str">
        <f aca="false">IF($A961="","",IF($F961=AsOf-WEEKDAY(AsOf,3),"Yes",""))</f>
        <v/>
      </c>
      <c r="H961" s="29" t="str">
        <f aca="false">IF($G961="Yes",$A961+ROW()/100000,"")</f>
        <v/>
      </c>
    </row>
    <row r="962" customFormat="false" ht="15" hidden="false" customHeight="false" outlineLevel="0" collapsed="false">
      <c r="A962" s="27"/>
      <c r="B962" s="24"/>
      <c r="C962" s="24"/>
      <c r="D962" s="24"/>
      <c r="E962" s="28"/>
      <c r="F962" s="30" t="str">
        <f aca="false">IF($A962="","",$A962-WEEKDAY($A962,3))</f>
        <v/>
      </c>
      <c r="G962" s="29" t="str">
        <f aca="false">IF($A962="","",IF($F962=AsOf-WEEKDAY(AsOf,3),"Yes",""))</f>
        <v/>
      </c>
      <c r="H962" s="29" t="str">
        <f aca="false">IF($G962="Yes",$A962+ROW()/100000,"")</f>
        <v/>
      </c>
    </row>
    <row r="963" customFormat="false" ht="15" hidden="false" customHeight="false" outlineLevel="0" collapsed="false">
      <c r="A963" s="27"/>
      <c r="B963" s="24"/>
      <c r="C963" s="24"/>
      <c r="D963" s="24"/>
      <c r="E963" s="28"/>
      <c r="F963" s="30" t="str">
        <f aca="false">IF($A963="","",$A963-WEEKDAY($A963,3))</f>
        <v/>
      </c>
      <c r="G963" s="29" t="str">
        <f aca="false">IF($A963="","",IF($F963=AsOf-WEEKDAY(AsOf,3),"Yes",""))</f>
        <v/>
      </c>
      <c r="H963" s="29" t="str">
        <f aca="false">IF($G963="Yes",$A963+ROW()/100000,"")</f>
        <v/>
      </c>
    </row>
    <row r="964" customFormat="false" ht="15" hidden="false" customHeight="false" outlineLevel="0" collapsed="false">
      <c r="A964" s="27"/>
      <c r="B964" s="24"/>
      <c r="C964" s="24"/>
      <c r="D964" s="24"/>
      <c r="E964" s="28"/>
      <c r="F964" s="30" t="str">
        <f aca="false">IF($A964="","",$A964-WEEKDAY($A964,3))</f>
        <v/>
      </c>
      <c r="G964" s="29" t="str">
        <f aca="false">IF($A964="","",IF($F964=AsOf-WEEKDAY(AsOf,3),"Yes",""))</f>
        <v/>
      </c>
      <c r="H964" s="29" t="str">
        <f aca="false">IF($G964="Yes",$A964+ROW()/100000,"")</f>
        <v/>
      </c>
    </row>
    <row r="965" customFormat="false" ht="15" hidden="false" customHeight="false" outlineLevel="0" collapsed="false">
      <c r="A965" s="27"/>
      <c r="B965" s="24"/>
      <c r="C965" s="24"/>
      <c r="D965" s="24"/>
      <c r="E965" s="28"/>
      <c r="F965" s="30" t="str">
        <f aca="false">IF($A965="","",$A965-WEEKDAY($A965,3))</f>
        <v/>
      </c>
      <c r="G965" s="29" t="str">
        <f aca="false">IF($A965="","",IF($F965=AsOf-WEEKDAY(AsOf,3),"Yes",""))</f>
        <v/>
      </c>
      <c r="H965" s="29" t="str">
        <f aca="false">IF($G965="Yes",$A965+ROW()/100000,"")</f>
        <v/>
      </c>
    </row>
    <row r="966" customFormat="false" ht="15" hidden="false" customHeight="false" outlineLevel="0" collapsed="false">
      <c r="A966" s="27"/>
      <c r="B966" s="24"/>
      <c r="C966" s="24"/>
      <c r="D966" s="24"/>
      <c r="E966" s="28"/>
      <c r="F966" s="30" t="str">
        <f aca="false">IF($A966="","",$A966-WEEKDAY($A966,3))</f>
        <v/>
      </c>
      <c r="G966" s="29" t="str">
        <f aca="false">IF($A966="","",IF($F966=AsOf-WEEKDAY(AsOf,3),"Yes",""))</f>
        <v/>
      </c>
      <c r="H966" s="29" t="str">
        <f aca="false">IF($G966="Yes",$A966+ROW()/100000,"")</f>
        <v/>
      </c>
    </row>
    <row r="967" customFormat="false" ht="15" hidden="false" customHeight="false" outlineLevel="0" collapsed="false">
      <c r="A967" s="27"/>
      <c r="B967" s="24"/>
      <c r="C967" s="24"/>
      <c r="D967" s="24"/>
      <c r="E967" s="28"/>
      <c r="F967" s="30" t="str">
        <f aca="false">IF($A967="","",$A967-WEEKDAY($A967,3))</f>
        <v/>
      </c>
      <c r="G967" s="29" t="str">
        <f aca="false">IF($A967="","",IF($F967=AsOf-WEEKDAY(AsOf,3),"Yes",""))</f>
        <v/>
      </c>
      <c r="H967" s="29" t="str">
        <f aca="false">IF($G967="Yes",$A967+ROW()/100000,"")</f>
        <v/>
      </c>
    </row>
    <row r="968" customFormat="false" ht="15" hidden="false" customHeight="false" outlineLevel="0" collapsed="false">
      <c r="A968" s="27"/>
      <c r="B968" s="24"/>
      <c r="C968" s="24"/>
      <c r="D968" s="24"/>
      <c r="E968" s="28"/>
      <c r="F968" s="30" t="str">
        <f aca="false">IF($A968="","",$A968-WEEKDAY($A968,3))</f>
        <v/>
      </c>
      <c r="G968" s="29" t="str">
        <f aca="false">IF($A968="","",IF($F968=AsOf-WEEKDAY(AsOf,3),"Yes",""))</f>
        <v/>
      </c>
      <c r="H968" s="29" t="str">
        <f aca="false">IF($G968="Yes",$A968+ROW()/100000,"")</f>
        <v/>
      </c>
    </row>
    <row r="969" customFormat="false" ht="15" hidden="false" customHeight="false" outlineLevel="0" collapsed="false">
      <c r="A969" s="27"/>
      <c r="B969" s="24"/>
      <c r="C969" s="24"/>
      <c r="D969" s="24"/>
      <c r="E969" s="28"/>
      <c r="F969" s="30" t="str">
        <f aca="false">IF($A969="","",$A969-WEEKDAY($A969,3))</f>
        <v/>
      </c>
      <c r="G969" s="29" t="str">
        <f aca="false">IF($A969="","",IF($F969=AsOf-WEEKDAY(AsOf,3),"Yes",""))</f>
        <v/>
      </c>
      <c r="H969" s="29" t="str">
        <f aca="false">IF($G969="Yes",$A969+ROW()/100000,"")</f>
        <v/>
      </c>
    </row>
    <row r="970" customFormat="false" ht="15" hidden="false" customHeight="false" outlineLevel="0" collapsed="false">
      <c r="A970" s="27"/>
      <c r="B970" s="24"/>
      <c r="C970" s="24"/>
      <c r="D970" s="24"/>
      <c r="E970" s="28"/>
      <c r="F970" s="30" t="str">
        <f aca="false">IF($A970="","",$A970-WEEKDAY($A970,3))</f>
        <v/>
      </c>
      <c r="G970" s="29" t="str">
        <f aca="false">IF($A970="","",IF($F970=AsOf-WEEKDAY(AsOf,3),"Yes",""))</f>
        <v/>
      </c>
      <c r="H970" s="29" t="str">
        <f aca="false">IF($G970="Yes",$A970+ROW()/100000,"")</f>
        <v/>
      </c>
    </row>
    <row r="971" customFormat="false" ht="15" hidden="false" customHeight="false" outlineLevel="0" collapsed="false">
      <c r="A971" s="27"/>
      <c r="B971" s="24"/>
      <c r="C971" s="24"/>
      <c r="D971" s="24"/>
      <c r="E971" s="28"/>
      <c r="F971" s="30" t="str">
        <f aca="false">IF($A971="","",$A971-WEEKDAY($A971,3))</f>
        <v/>
      </c>
      <c r="G971" s="29" t="str">
        <f aca="false">IF($A971="","",IF($F971=AsOf-WEEKDAY(AsOf,3),"Yes",""))</f>
        <v/>
      </c>
      <c r="H971" s="29" t="str">
        <f aca="false">IF($G971="Yes",$A971+ROW()/100000,"")</f>
        <v/>
      </c>
    </row>
    <row r="972" customFormat="false" ht="15" hidden="false" customHeight="false" outlineLevel="0" collapsed="false">
      <c r="A972" s="27"/>
      <c r="B972" s="24"/>
      <c r="C972" s="24"/>
      <c r="D972" s="24"/>
      <c r="E972" s="28"/>
      <c r="F972" s="30" t="str">
        <f aca="false">IF($A972="","",$A972-WEEKDAY($A972,3))</f>
        <v/>
      </c>
      <c r="G972" s="29" t="str">
        <f aca="false">IF($A972="","",IF($F972=AsOf-WEEKDAY(AsOf,3),"Yes",""))</f>
        <v/>
      </c>
      <c r="H972" s="29" t="str">
        <f aca="false">IF($G972="Yes",$A972+ROW()/100000,"")</f>
        <v/>
      </c>
    </row>
    <row r="973" customFormat="false" ht="15" hidden="false" customHeight="false" outlineLevel="0" collapsed="false">
      <c r="A973" s="27"/>
      <c r="B973" s="24"/>
      <c r="C973" s="24"/>
      <c r="D973" s="24"/>
      <c r="E973" s="28"/>
      <c r="F973" s="30" t="str">
        <f aca="false">IF($A973="","",$A973-WEEKDAY($A973,3))</f>
        <v/>
      </c>
      <c r="G973" s="29" t="str">
        <f aca="false">IF($A973="","",IF($F973=AsOf-WEEKDAY(AsOf,3),"Yes",""))</f>
        <v/>
      </c>
      <c r="H973" s="29" t="str">
        <f aca="false">IF($G973="Yes",$A973+ROW()/100000,"")</f>
        <v/>
      </c>
    </row>
    <row r="974" customFormat="false" ht="15" hidden="false" customHeight="false" outlineLevel="0" collapsed="false">
      <c r="A974" s="27"/>
      <c r="B974" s="24"/>
      <c r="C974" s="24"/>
      <c r="D974" s="24"/>
      <c r="E974" s="28"/>
      <c r="F974" s="30" t="str">
        <f aca="false">IF($A974="","",$A974-WEEKDAY($A974,3))</f>
        <v/>
      </c>
      <c r="G974" s="29" t="str">
        <f aca="false">IF($A974="","",IF($F974=AsOf-WEEKDAY(AsOf,3),"Yes",""))</f>
        <v/>
      </c>
      <c r="H974" s="29" t="str">
        <f aca="false">IF($G974="Yes",$A974+ROW()/100000,"")</f>
        <v/>
      </c>
    </row>
    <row r="975" customFormat="false" ht="15" hidden="false" customHeight="false" outlineLevel="0" collapsed="false">
      <c r="A975" s="27"/>
      <c r="B975" s="24"/>
      <c r="C975" s="24"/>
      <c r="D975" s="24"/>
      <c r="E975" s="28"/>
      <c r="F975" s="30" t="str">
        <f aca="false">IF($A975="","",$A975-WEEKDAY($A975,3))</f>
        <v/>
      </c>
      <c r="G975" s="29" t="str">
        <f aca="false">IF($A975="","",IF($F975=AsOf-WEEKDAY(AsOf,3),"Yes",""))</f>
        <v/>
      </c>
      <c r="H975" s="29" t="str">
        <f aca="false">IF($G975="Yes",$A975+ROW()/100000,"")</f>
        <v/>
      </c>
    </row>
    <row r="976" customFormat="false" ht="15" hidden="false" customHeight="false" outlineLevel="0" collapsed="false">
      <c r="A976" s="27"/>
      <c r="B976" s="24"/>
      <c r="C976" s="24"/>
      <c r="D976" s="24"/>
      <c r="E976" s="28"/>
      <c r="F976" s="30" t="str">
        <f aca="false">IF($A976="","",$A976-WEEKDAY($A976,3))</f>
        <v/>
      </c>
      <c r="G976" s="29" t="str">
        <f aca="false">IF($A976="","",IF($F976=AsOf-WEEKDAY(AsOf,3),"Yes",""))</f>
        <v/>
      </c>
      <c r="H976" s="29" t="str">
        <f aca="false">IF($G976="Yes",$A976+ROW()/100000,"")</f>
        <v/>
      </c>
    </row>
    <row r="977" customFormat="false" ht="15" hidden="false" customHeight="false" outlineLevel="0" collapsed="false">
      <c r="A977" s="27"/>
      <c r="B977" s="24"/>
      <c r="C977" s="24"/>
      <c r="D977" s="24"/>
      <c r="E977" s="28"/>
      <c r="F977" s="30" t="str">
        <f aca="false">IF($A977="","",$A977-WEEKDAY($A977,3))</f>
        <v/>
      </c>
      <c r="G977" s="29" t="str">
        <f aca="false">IF($A977="","",IF($F977=AsOf-WEEKDAY(AsOf,3),"Yes",""))</f>
        <v/>
      </c>
      <c r="H977" s="29" t="str">
        <f aca="false">IF($G977="Yes",$A977+ROW()/100000,"")</f>
        <v/>
      </c>
    </row>
    <row r="978" customFormat="false" ht="15" hidden="false" customHeight="false" outlineLevel="0" collapsed="false">
      <c r="A978" s="27"/>
      <c r="B978" s="24"/>
      <c r="C978" s="24"/>
      <c r="D978" s="24"/>
      <c r="E978" s="28"/>
      <c r="F978" s="30" t="str">
        <f aca="false">IF($A978="","",$A978-WEEKDAY($A978,3))</f>
        <v/>
      </c>
      <c r="G978" s="29" t="str">
        <f aca="false">IF($A978="","",IF($F978=AsOf-WEEKDAY(AsOf,3),"Yes",""))</f>
        <v/>
      </c>
      <c r="H978" s="29" t="str">
        <f aca="false">IF($G978="Yes",$A978+ROW()/100000,"")</f>
        <v/>
      </c>
    </row>
    <row r="979" customFormat="false" ht="15" hidden="false" customHeight="false" outlineLevel="0" collapsed="false">
      <c r="A979" s="27"/>
      <c r="B979" s="24"/>
      <c r="C979" s="24"/>
      <c r="D979" s="24"/>
      <c r="E979" s="28"/>
      <c r="F979" s="30" t="str">
        <f aca="false">IF($A979="","",$A979-WEEKDAY($A979,3))</f>
        <v/>
      </c>
      <c r="G979" s="29" t="str">
        <f aca="false">IF($A979="","",IF($F979=AsOf-WEEKDAY(AsOf,3),"Yes",""))</f>
        <v/>
      </c>
      <c r="H979" s="29" t="str">
        <f aca="false">IF($G979="Yes",$A979+ROW()/100000,"")</f>
        <v/>
      </c>
    </row>
    <row r="980" customFormat="false" ht="15" hidden="false" customHeight="false" outlineLevel="0" collapsed="false">
      <c r="A980" s="27"/>
      <c r="B980" s="24"/>
      <c r="C980" s="24"/>
      <c r="D980" s="24"/>
      <c r="E980" s="28"/>
      <c r="F980" s="30" t="str">
        <f aca="false">IF($A980="","",$A980-WEEKDAY($A980,3))</f>
        <v/>
      </c>
      <c r="G980" s="29" t="str">
        <f aca="false">IF($A980="","",IF($F980=AsOf-WEEKDAY(AsOf,3),"Yes",""))</f>
        <v/>
      </c>
      <c r="H980" s="29" t="str">
        <f aca="false">IF($G980="Yes",$A980+ROW()/100000,"")</f>
        <v/>
      </c>
    </row>
    <row r="981" customFormat="false" ht="15" hidden="false" customHeight="false" outlineLevel="0" collapsed="false">
      <c r="A981" s="27"/>
      <c r="B981" s="24"/>
      <c r="C981" s="24"/>
      <c r="D981" s="24"/>
      <c r="E981" s="28"/>
      <c r="F981" s="30" t="str">
        <f aca="false">IF($A981="","",$A981-WEEKDAY($A981,3))</f>
        <v/>
      </c>
      <c r="G981" s="29" t="str">
        <f aca="false">IF($A981="","",IF($F981=AsOf-WEEKDAY(AsOf,3),"Yes",""))</f>
        <v/>
      </c>
      <c r="H981" s="29" t="str">
        <f aca="false">IF($G981="Yes",$A981+ROW()/100000,"")</f>
        <v/>
      </c>
    </row>
    <row r="982" customFormat="false" ht="15" hidden="false" customHeight="false" outlineLevel="0" collapsed="false">
      <c r="A982" s="27"/>
      <c r="B982" s="24"/>
      <c r="C982" s="24"/>
      <c r="D982" s="24"/>
      <c r="E982" s="28"/>
      <c r="F982" s="30" t="str">
        <f aca="false">IF($A982="","",$A982-WEEKDAY($A982,3))</f>
        <v/>
      </c>
      <c r="G982" s="29" t="str">
        <f aca="false">IF($A982="","",IF($F982=AsOf-WEEKDAY(AsOf,3),"Yes",""))</f>
        <v/>
      </c>
      <c r="H982" s="29" t="str">
        <f aca="false">IF($G982="Yes",$A982+ROW()/100000,"")</f>
        <v/>
      </c>
    </row>
    <row r="983" customFormat="false" ht="15" hidden="false" customHeight="false" outlineLevel="0" collapsed="false">
      <c r="A983" s="27"/>
      <c r="B983" s="24"/>
      <c r="C983" s="24"/>
      <c r="D983" s="24"/>
      <c r="E983" s="28"/>
      <c r="F983" s="30" t="str">
        <f aca="false">IF($A983="","",$A983-WEEKDAY($A983,3))</f>
        <v/>
      </c>
      <c r="G983" s="29" t="str">
        <f aca="false">IF($A983="","",IF($F983=AsOf-WEEKDAY(AsOf,3),"Yes",""))</f>
        <v/>
      </c>
      <c r="H983" s="29" t="str">
        <f aca="false">IF($G983="Yes",$A983+ROW()/100000,"")</f>
        <v/>
      </c>
    </row>
    <row r="984" customFormat="false" ht="15" hidden="false" customHeight="false" outlineLevel="0" collapsed="false">
      <c r="A984" s="27"/>
      <c r="B984" s="24"/>
      <c r="C984" s="24"/>
      <c r="D984" s="24"/>
      <c r="E984" s="28"/>
      <c r="F984" s="30" t="str">
        <f aca="false">IF($A984="","",$A984-WEEKDAY($A984,3))</f>
        <v/>
      </c>
      <c r="G984" s="29" t="str">
        <f aca="false">IF($A984="","",IF($F984=AsOf-WEEKDAY(AsOf,3),"Yes",""))</f>
        <v/>
      </c>
      <c r="H984" s="29" t="str">
        <f aca="false">IF($G984="Yes",$A984+ROW()/100000,"")</f>
        <v/>
      </c>
    </row>
    <row r="985" customFormat="false" ht="15" hidden="false" customHeight="false" outlineLevel="0" collapsed="false">
      <c r="A985" s="27"/>
      <c r="B985" s="24"/>
      <c r="C985" s="24"/>
      <c r="D985" s="24"/>
      <c r="E985" s="28"/>
      <c r="F985" s="30" t="str">
        <f aca="false">IF($A985="","",$A985-WEEKDAY($A985,3))</f>
        <v/>
      </c>
      <c r="G985" s="29" t="str">
        <f aca="false">IF($A985="","",IF($F985=AsOf-WEEKDAY(AsOf,3),"Yes",""))</f>
        <v/>
      </c>
      <c r="H985" s="29" t="str">
        <f aca="false">IF($G985="Yes",$A985+ROW()/100000,"")</f>
        <v/>
      </c>
    </row>
    <row r="986" customFormat="false" ht="15" hidden="false" customHeight="false" outlineLevel="0" collapsed="false">
      <c r="A986" s="27"/>
      <c r="B986" s="24"/>
      <c r="C986" s="24"/>
      <c r="D986" s="24"/>
      <c r="E986" s="28"/>
      <c r="F986" s="30" t="str">
        <f aca="false">IF($A986="","",$A986-WEEKDAY($A986,3))</f>
        <v/>
      </c>
      <c r="G986" s="29" t="str">
        <f aca="false">IF($A986="","",IF($F986=AsOf-WEEKDAY(AsOf,3),"Yes",""))</f>
        <v/>
      </c>
      <c r="H986" s="29" t="str">
        <f aca="false">IF($G986="Yes",$A986+ROW()/100000,"")</f>
        <v/>
      </c>
    </row>
    <row r="987" customFormat="false" ht="15" hidden="false" customHeight="false" outlineLevel="0" collapsed="false">
      <c r="A987" s="27"/>
      <c r="B987" s="24"/>
      <c r="C987" s="24"/>
      <c r="D987" s="24"/>
      <c r="E987" s="28"/>
      <c r="F987" s="30" t="str">
        <f aca="false">IF($A987="","",$A987-WEEKDAY($A987,3))</f>
        <v/>
      </c>
      <c r="G987" s="29" t="str">
        <f aca="false">IF($A987="","",IF($F987=AsOf-WEEKDAY(AsOf,3),"Yes",""))</f>
        <v/>
      </c>
      <c r="H987" s="29" t="str">
        <f aca="false">IF($G987="Yes",$A987+ROW()/100000,"")</f>
        <v/>
      </c>
    </row>
    <row r="988" customFormat="false" ht="15" hidden="false" customHeight="false" outlineLevel="0" collapsed="false">
      <c r="A988" s="27"/>
      <c r="B988" s="24"/>
      <c r="C988" s="24"/>
      <c r="D988" s="24"/>
      <c r="E988" s="28"/>
      <c r="F988" s="30" t="str">
        <f aca="false">IF($A988="","",$A988-WEEKDAY($A988,3))</f>
        <v/>
      </c>
      <c r="G988" s="29" t="str">
        <f aca="false">IF($A988="","",IF($F988=AsOf-WEEKDAY(AsOf,3),"Yes",""))</f>
        <v/>
      </c>
      <c r="H988" s="29" t="str">
        <f aca="false">IF($G988="Yes",$A988+ROW()/100000,"")</f>
        <v/>
      </c>
    </row>
    <row r="989" customFormat="false" ht="15" hidden="false" customHeight="false" outlineLevel="0" collapsed="false">
      <c r="A989" s="27"/>
      <c r="B989" s="24"/>
      <c r="C989" s="24"/>
      <c r="D989" s="24"/>
      <c r="E989" s="28"/>
      <c r="F989" s="30" t="str">
        <f aca="false">IF($A989="","",$A989-WEEKDAY($A989,3))</f>
        <v/>
      </c>
      <c r="G989" s="29" t="str">
        <f aca="false">IF($A989="","",IF($F989=AsOf-WEEKDAY(AsOf,3),"Yes",""))</f>
        <v/>
      </c>
      <c r="H989" s="29" t="str">
        <f aca="false">IF($G989="Yes",$A989+ROW()/100000,"")</f>
        <v/>
      </c>
    </row>
    <row r="990" customFormat="false" ht="15" hidden="false" customHeight="false" outlineLevel="0" collapsed="false">
      <c r="A990" s="27"/>
      <c r="B990" s="24"/>
      <c r="C990" s="24"/>
      <c r="D990" s="24"/>
      <c r="E990" s="28"/>
      <c r="F990" s="30" t="str">
        <f aca="false">IF($A990="","",$A990-WEEKDAY($A990,3))</f>
        <v/>
      </c>
      <c r="G990" s="29" t="str">
        <f aca="false">IF($A990="","",IF($F990=AsOf-WEEKDAY(AsOf,3),"Yes",""))</f>
        <v/>
      </c>
      <c r="H990" s="29" t="str">
        <f aca="false">IF($G990="Yes",$A990+ROW()/100000,"")</f>
        <v/>
      </c>
    </row>
    <row r="991" customFormat="false" ht="15" hidden="false" customHeight="false" outlineLevel="0" collapsed="false">
      <c r="A991" s="27"/>
      <c r="B991" s="24"/>
      <c r="C991" s="24"/>
      <c r="D991" s="24"/>
      <c r="E991" s="28"/>
      <c r="F991" s="30" t="str">
        <f aca="false">IF($A991="","",$A991-WEEKDAY($A991,3))</f>
        <v/>
      </c>
      <c r="G991" s="29" t="str">
        <f aca="false">IF($A991="","",IF($F991=AsOf-WEEKDAY(AsOf,3),"Yes",""))</f>
        <v/>
      </c>
      <c r="H991" s="29" t="str">
        <f aca="false">IF($G991="Yes",$A991+ROW()/100000,"")</f>
        <v/>
      </c>
    </row>
    <row r="992" customFormat="false" ht="15" hidden="false" customHeight="false" outlineLevel="0" collapsed="false">
      <c r="A992" s="27"/>
      <c r="B992" s="24"/>
      <c r="C992" s="24"/>
      <c r="D992" s="24"/>
      <c r="E992" s="28"/>
      <c r="F992" s="30" t="str">
        <f aca="false">IF($A992="","",$A992-WEEKDAY($A992,3))</f>
        <v/>
      </c>
      <c r="G992" s="29" t="str">
        <f aca="false">IF($A992="","",IF($F992=AsOf-WEEKDAY(AsOf,3),"Yes",""))</f>
        <v/>
      </c>
      <c r="H992" s="29" t="str">
        <f aca="false">IF($G992="Yes",$A992+ROW()/100000,"")</f>
        <v/>
      </c>
    </row>
    <row r="993" customFormat="false" ht="15" hidden="false" customHeight="false" outlineLevel="0" collapsed="false">
      <c r="A993" s="27"/>
      <c r="B993" s="24"/>
      <c r="C993" s="24"/>
      <c r="D993" s="24"/>
      <c r="E993" s="28"/>
      <c r="F993" s="30" t="str">
        <f aca="false">IF($A993="","",$A993-WEEKDAY($A993,3))</f>
        <v/>
      </c>
      <c r="G993" s="29" t="str">
        <f aca="false">IF($A993="","",IF($F993=AsOf-WEEKDAY(AsOf,3),"Yes",""))</f>
        <v/>
      </c>
      <c r="H993" s="29" t="str">
        <f aca="false">IF($G993="Yes",$A993+ROW()/100000,"")</f>
        <v/>
      </c>
    </row>
    <row r="994" customFormat="false" ht="15" hidden="false" customHeight="false" outlineLevel="0" collapsed="false">
      <c r="A994" s="27"/>
      <c r="B994" s="24"/>
      <c r="C994" s="24"/>
      <c r="D994" s="24"/>
      <c r="E994" s="28"/>
      <c r="F994" s="30" t="str">
        <f aca="false">IF($A994="","",$A994-WEEKDAY($A994,3))</f>
        <v/>
      </c>
      <c r="G994" s="29" t="str">
        <f aca="false">IF($A994="","",IF($F994=AsOf-WEEKDAY(AsOf,3),"Yes",""))</f>
        <v/>
      </c>
      <c r="H994" s="29" t="str">
        <f aca="false">IF($G994="Yes",$A994+ROW()/100000,"")</f>
        <v/>
      </c>
    </row>
    <row r="995" customFormat="false" ht="15" hidden="false" customHeight="false" outlineLevel="0" collapsed="false">
      <c r="A995" s="27"/>
      <c r="B995" s="24"/>
      <c r="C995" s="24"/>
      <c r="D995" s="24"/>
      <c r="E995" s="28"/>
      <c r="F995" s="30" t="str">
        <f aca="false">IF($A995="","",$A995-WEEKDAY($A995,3))</f>
        <v/>
      </c>
      <c r="G995" s="29" t="str">
        <f aca="false">IF($A995="","",IF($F995=AsOf-WEEKDAY(AsOf,3),"Yes",""))</f>
        <v/>
      </c>
      <c r="H995" s="29" t="str">
        <f aca="false">IF($G995="Yes",$A995+ROW()/100000,"")</f>
        <v/>
      </c>
    </row>
    <row r="996" customFormat="false" ht="15" hidden="false" customHeight="false" outlineLevel="0" collapsed="false">
      <c r="A996" s="27"/>
      <c r="B996" s="24"/>
      <c r="C996" s="24"/>
      <c r="D996" s="24"/>
      <c r="E996" s="28"/>
      <c r="F996" s="30" t="str">
        <f aca="false">IF($A996="","",$A996-WEEKDAY($A996,3))</f>
        <v/>
      </c>
      <c r="G996" s="29" t="str">
        <f aca="false">IF($A996="","",IF($F996=AsOf-WEEKDAY(AsOf,3),"Yes",""))</f>
        <v/>
      </c>
      <c r="H996" s="29" t="str">
        <f aca="false">IF($G996="Yes",$A996+ROW()/100000,"")</f>
        <v/>
      </c>
    </row>
    <row r="997" customFormat="false" ht="15" hidden="false" customHeight="false" outlineLevel="0" collapsed="false">
      <c r="A997" s="27"/>
      <c r="B997" s="24"/>
      <c r="C997" s="24"/>
      <c r="D997" s="24"/>
      <c r="E997" s="28"/>
      <c r="F997" s="30" t="str">
        <f aca="false">IF($A997="","",$A997-WEEKDAY($A997,3))</f>
        <v/>
      </c>
      <c r="G997" s="29" t="str">
        <f aca="false">IF($A997="","",IF($F997=AsOf-WEEKDAY(AsOf,3),"Yes",""))</f>
        <v/>
      </c>
      <c r="H997" s="29" t="str">
        <f aca="false">IF($G997="Yes",$A997+ROW()/100000,"")</f>
        <v/>
      </c>
    </row>
    <row r="998" customFormat="false" ht="15" hidden="false" customHeight="false" outlineLevel="0" collapsed="false">
      <c r="A998" s="27"/>
      <c r="B998" s="24"/>
      <c r="C998" s="24"/>
      <c r="D998" s="24"/>
      <c r="E998" s="28"/>
      <c r="F998" s="30" t="str">
        <f aca="false">IF($A998="","",$A998-WEEKDAY($A998,3))</f>
        <v/>
      </c>
      <c r="G998" s="29" t="str">
        <f aca="false">IF($A998="","",IF($F998=AsOf-WEEKDAY(AsOf,3),"Yes",""))</f>
        <v/>
      </c>
      <c r="H998" s="29" t="str">
        <f aca="false">IF($G998="Yes",$A998+ROW()/100000,"")</f>
        <v/>
      </c>
    </row>
    <row r="999" customFormat="false" ht="15" hidden="false" customHeight="false" outlineLevel="0" collapsed="false">
      <c r="A999" s="27"/>
      <c r="B999" s="24"/>
      <c r="C999" s="24"/>
      <c r="D999" s="24"/>
      <c r="E999" s="28"/>
      <c r="F999" s="30" t="str">
        <f aca="false">IF($A999="","",$A999-WEEKDAY($A999,3))</f>
        <v/>
      </c>
      <c r="G999" s="29" t="str">
        <f aca="false">IF($A999="","",IF($F999=AsOf-WEEKDAY(AsOf,3),"Yes",""))</f>
        <v/>
      </c>
      <c r="H999" s="29" t="str">
        <f aca="false">IF($G999="Yes",$A999+ROW()/100000,"")</f>
        <v/>
      </c>
    </row>
    <row r="1000" customFormat="false" ht="15" hidden="false" customHeight="false" outlineLevel="0" collapsed="false">
      <c r="A1000" s="27"/>
      <c r="B1000" s="24"/>
      <c r="C1000" s="24"/>
      <c r="D1000" s="24"/>
      <c r="E1000" s="28"/>
      <c r="F1000" s="30" t="str">
        <f aca="false">IF($A1000="","",$A1000-WEEKDAY($A1000,3))</f>
        <v/>
      </c>
      <c r="G1000" s="29" t="str">
        <f aca="false">IF($A1000="","",IF($F1000=AsOf-WEEKDAY(AsOf,3),"Yes",""))</f>
        <v/>
      </c>
      <c r="H1000" s="29" t="str">
        <f aca="false">IF($G1000="Yes",$A1000+ROW()/100000,"")</f>
        <v/>
      </c>
    </row>
    <row r="1001" customFormat="false" ht="15" hidden="false" customHeight="false" outlineLevel="0" collapsed="false">
      <c r="A1001" s="27"/>
      <c r="B1001" s="24"/>
      <c r="C1001" s="24"/>
      <c r="D1001" s="24"/>
      <c r="E1001" s="28"/>
      <c r="F1001" s="30" t="str">
        <f aca="false">IF($A1001="","",$A1001-WEEKDAY($A1001,3))</f>
        <v/>
      </c>
      <c r="G1001" s="29" t="str">
        <f aca="false">IF($A1001="","",IF($F1001=AsOf-WEEKDAY(AsOf,3),"Yes",""))</f>
        <v/>
      </c>
      <c r="H1001" s="29" t="str">
        <f aca="false">IF($G1001="Yes",$A1001+ROW()/100000,"")</f>
        <v/>
      </c>
    </row>
  </sheetData>
  <autoFilter ref="A1:H1001"/>
  <dataValidations count="1">
    <dataValidation allowBlank="true" error="Pick one of: Session, Email, Teams, Calendar" errorStyle="stop" errorTitle="Not on the list" operator="between" showDropDown="false" showErrorMessage="true" showInputMessage="false" sqref="E2:E1001" type="list">
      <formula1>"Session,Email,Teams,Calendar"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25" t="s">
        <v>9</v>
      </c>
      <c r="B1" s="25" t="s">
        <v>42</v>
      </c>
      <c r="C1" s="25" t="s">
        <v>66</v>
      </c>
      <c r="D1" s="25" t="s">
        <v>67</v>
      </c>
      <c r="E1" s="25" t="s">
        <v>68</v>
      </c>
      <c r="F1" s="25" t="s">
        <v>64</v>
      </c>
      <c r="G1" s="25" t="s">
        <v>69</v>
      </c>
      <c r="H1" s="25" t="s">
        <v>50</v>
      </c>
      <c r="I1" s="26" t="s">
        <v>70</v>
      </c>
    </row>
    <row r="2" customFormat="false" ht="15" hidden="false" customHeight="false" outlineLevel="0" collapsed="false">
      <c r="A2" s="24"/>
      <c r="B2" s="27"/>
      <c r="C2" s="24"/>
      <c r="D2" s="28"/>
      <c r="E2" s="24"/>
      <c r="F2" s="24"/>
      <c r="G2" s="24"/>
      <c r="H2" s="24"/>
      <c r="I2" s="29" t="str">
        <f aca="false">IF($A2="","",COUNTIFS($H$2:$H$1001,$A2,$D$2:$D$1001,"Reuse"))</f>
        <v/>
      </c>
    </row>
    <row r="3" customFormat="false" ht="15" hidden="false" customHeight="false" outlineLevel="0" collapsed="false">
      <c r="A3" s="24"/>
      <c r="B3" s="27"/>
      <c r="C3" s="24"/>
      <c r="D3" s="28"/>
      <c r="E3" s="24"/>
      <c r="F3" s="24"/>
      <c r="G3" s="24"/>
      <c r="H3" s="24"/>
      <c r="I3" s="29" t="str">
        <f aca="false">IF($A3="","",COUNTIFS($H$2:$H$1001,$A3,$D$2:$D$1001,"Reuse"))</f>
        <v/>
      </c>
    </row>
    <row r="4" customFormat="false" ht="15" hidden="false" customHeight="false" outlineLevel="0" collapsed="false">
      <c r="A4" s="24"/>
      <c r="B4" s="27"/>
      <c r="C4" s="24"/>
      <c r="D4" s="28"/>
      <c r="E4" s="24"/>
      <c r="F4" s="24"/>
      <c r="G4" s="24"/>
      <c r="H4" s="24"/>
      <c r="I4" s="29" t="str">
        <f aca="false">IF($A4="","",COUNTIFS($H$2:$H$1001,$A4,$D$2:$D$1001,"Reuse"))</f>
        <v/>
      </c>
    </row>
    <row r="5" customFormat="false" ht="15" hidden="false" customHeight="false" outlineLevel="0" collapsed="false">
      <c r="A5" s="24"/>
      <c r="B5" s="27"/>
      <c r="C5" s="24"/>
      <c r="D5" s="28"/>
      <c r="E5" s="24"/>
      <c r="F5" s="24"/>
      <c r="G5" s="24"/>
      <c r="H5" s="24"/>
      <c r="I5" s="29" t="str">
        <f aca="false">IF($A5="","",COUNTIFS($H$2:$H$1001,$A5,$D$2:$D$1001,"Reuse"))</f>
        <v/>
      </c>
    </row>
    <row r="6" customFormat="false" ht="15" hidden="false" customHeight="false" outlineLevel="0" collapsed="false">
      <c r="A6" s="24"/>
      <c r="B6" s="27"/>
      <c r="C6" s="24"/>
      <c r="D6" s="28"/>
      <c r="E6" s="24"/>
      <c r="F6" s="24"/>
      <c r="G6" s="24"/>
      <c r="H6" s="24"/>
      <c r="I6" s="29" t="str">
        <f aca="false">IF($A6="","",COUNTIFS($H$2:$H$1001,$A6,$D$2:$D$1001,"Reuse"))</f>
        <v/>
      </c>
    </row>
    <row r="7" customFormat="false" ht="15" hidden="false" customHeight="false" outlineLevel="0" collapsed="false">
      <c r="A7" s="24"/>
      <c r="B7" s="27"/>
      <c r="C7" s="24"/>
      <c r="D7" s="28"/>
      <c r="E7" s="24"/>
      <c r="F7" s="24"/>
      <c r="G7" s="24"/>
      <c r="H7" s="24"/>
      <c r="I7" s="29" t="str">
        <f aca="false">IF($A7="","",COUNTIFS($H$2:$H$1001,$A7,$D$2:$D$1001,"Reuse"))</f>
        <v/>
      </c>
    </row>
    <row r="8" customFormat="false" ht="15" hidden="false" customHeight="false" outlineLevel="0" collapsed="false">
      <c r="A8" s="24"/>
      <c r="B8" s="27"/>
      <c r="C8" s="24"/>
      <c r="D8" s="28"/>
      <c r="E8" s="24"/>
      <c r="F8" s="24"/>
      <c r="G8" s="24"/>
      <c r="H8" s="24"/>
      <c r="I8" s="29" t="str">
        <f aca="false">IF($A8="","",COUNTIFS($H$2:$H$1001,$A8,$D$2:$D$1001,"Reuse"))</f>
        <v/>
      </c>
    </row>
    <row r="9" customFormat="false" ht="15" hidden="false" customHeight="false" outlineLevel="0" collapsed="false">
      <c r="A9" s="24"/>
      <c r="B9" s="27"/>
      <c r="C9" s="24"/>
      <c r="D9" s="28"/>
      <c r="E9" s="24"/>
      <c r="F9" s="24"/>
      <c r="G9" s="24"/>
      <c r="H9" s="24"/>
      <c r="I9" s="29" t="str">
        <f aca="false">IF($A9="","",COUNTIFS($H$2:$H$1001,$A9,$D$2:$D$1001,"Reuse"))</f>
        <v/>
      </c>
    </row>
    <row r="10" customFormat="false" ht="15" hidden="false" customHeight="false" outlineLevel="0" collapsed="false">
      <c r="A10" s="24"/>
      <c r="B10" s="27"/>
      <c r="C10" s="24"/>
      <c r="D10" s="28"/>
      <c r="E10" s="24"/>
      <c r="F10" s="24"/>
      <c r="G10" s="24"/>
      <c r="H10" s="24"/>
      <c r="I10" s="29" t="str">
        <f aca="false">IF($A10="","",COUNTIFS($H$2:$H$1001,$A10,$D$2:$D$1001,"Reuse"))</f>
        <v/>
      </c>
    </row>
    <row r="11" customFormat="false" ht="15" hidden="false" customHeight="false" outlineLevel="0" collapsed="false">
      <c r="A11" s="24"/>
      <c r="B11" s="27"/>
      <c r="C11" s="24"/>
      <c r="D11" s="28"/>
      <c r="E11" s="24"/>
      <c r="F11" s="24"/>
      <c r="G11" s="24"/>
      <c r="H11" s="24"/>
      <c r="I11" s="29" t="str">
        <f aca="false">IF($A11="","",COUNTIFS($H$2:$H$1001,$A11,$D$2:$D$1001,"Reuse"))</f>
        <v/>
      </c>
    </row>
    <row r="12" customFormat="false" ht="15" hidden="false" customHeight="false" outlineLevel="0" collapsed="false">
      <c r="A12" s="24"/>
      <c r="B12" s="27"/>
      <c r="C12" s="24"/>
      <c r="D12" s="28"/>
      <c r="E12" s="24"/>
      <c r="F12" s="24"/>
      <c r="G12" s="24"/>
      <c r="H12" s="24"/>
      <c r="I12" s="29" t="str">
        <f aca="false">IF($A12="","",COUNTIFS($H$2:$H$1001,$A12,$D$2:$D$1001,"Reuse"))</f>
        <v/>
      </c>
    </row>
    <row r="13" customFormat="false" ht="15" hidden="false" customHeight="false" outlineLevel="0" collapsed="false">
      <c r="A13" s="24"/>
      <c r="B13" s="27"/>
      <c r="C13" s="24"/>
      <c r="D13" s="28"/>
      <c r="E13" s="24"/>
      <c r="F13" s="24"/>
      <c r="G13" s="24"/>
      <c r="H13" s="24"/>
      <c r="I13" s="29" t="str">
        <f aca="false">IF($A13="","",COUNTIFS($H$2:$H$1001,$A13,$D$2:$D$1001,"Reuse"))</f>
        <v/>
      </c>
    </row>
    <row r="14" customFormat="false" ht="15" hidden="false" customHeight="false" outlineLevel="0" collapsed="false">
      <c r="A14" s="24"/>
      <c r="B14" s="27"/>
      <c r="C14" s="24"/>
      <c r="D14" s="28"/>
      <c r="E14" s="24"/>
      <c r="F14" s="24"/>
      <c r="G14" s="24"/>
      <c r="H14" s="24"/>
      <c r="I14" s="29" t="str">
        <f aca="false">IF($A14="","",COUNTIFS($H$2:$H$1001,$A14,$D$2:$D$1001,"Reuse"))</f>
        <v/>
      </c>
    </row>
    <row r="15" customFormat="false" ht="15" hidden="false" customHeight="false" outlineLevel="0" collapsed="false">
      <c r="A15" s="24"/>
      <c r="B15" s="27"/>
      <c r="C15" s="24"/>
      <c r="D15" s="28"/>
      <c r="E15" s="24"/>
      <c r="F15" s="24"/>
      <c r="G15" s="24"/>
      <c r="H15" s="24"/>
      <c r="I15" s="29" t="str">
        <f aca="false">IF($A15="","",COUNTIFS($H$2:$H$1001,$A15,$D$2:$D$1001,"Reuse"))</f>
        <v/>
      </c>
    </row>
    <row r="16" customFormat="false" ht="15" hidden="false" customHeight="false" outlineLevel="0" collapsed="false">
      <c r="A16" s="24"/>
      <c r="B16" s="27"/>
      <c r="C16" s="24"/>
      <c r="D16" s="28"/>
      <c r="E16" s="24"/>
      <c r="F16" s="24"/>
      <c r="G16" s="24"/>
      <c r="H16" s="24"/>
      <c r="I16" s="29" t="str">
        <f aca="false">IF($A16="","",COUNTIFS($H$2:$H$1001,$A16,$D$2:$D$1001,"Reuse"))</f>
        <v/>
      </c>
    </row>
    <row r="17" customFormat="false" ht="15" hidden="false" customHeight="false" outlineLevel="0" collapsed="false">
      <c r="A17" s="24"/>
      <c r="B17" s="27"/>
      <c r="C17" s="24"/>
      <c r="D17" s="28"/>
      <c r="E17" s="24"/>
      <c r="F17" s="24"/>
      <c r="G17" s="24"/>
      <c r="H17" s="24"/>
      <c r="I17" s="29" t="str">
        <f aca="false">IF($A17="","",COUNTIFS($H$2:$H$1001,$A17,$D$2:$D$1001,"Reuse"))</f>
        <v/>
      </c>
    </row>
    <row r="18" customFormat="false" ht="15" hidden="false" customHeight="false" outlineLevel="0" collapsed="false">
      <c r="A18" s="24"/>
      <c r="B18" s="27"/>
      <c r="C18" s="24"/>
      <c r="D18" s="28"/>
      <c r="E18" s="24"/>
      <c r="F18" s="24"/>
      <c r="G18" s="24"/>
      <c r="H18" s="24"/>
      <c r="I18" s="29" t="str">
        <f aca="false">IF($A18="","",COUNTIFS($H$2:$H$1001,$A18,$D$2:$D$1001,"Reuse"))</f>
        <v/>
      </c>
    </row>
    <row r="19" customFormat="false" ht="15" hidden="false" customHeight="false" outlineLevel="0" collapsed="false">
      <c r="A19" s="24"/>
      <c r="B19" s="27"/>
      <c r="C19" s="24"/>
      <c r="D19" s="28"/>
      <c r="E19" s="24"/>
      <c r="F19" s="24"/>
      <c r="G19" s="24"/>
      <c r="H19" s="24"/>
      <c r="I19" s="29" t="str">
        <f aca="false">IF($A19="","",COUNTIFS($H$2:$H$1001,$A19,$D$2:$D$1001,"Reuse"))</f>
        <v/>
      </c>
    </row>
    <row r="20" customFormat="false" ht="15" hidden="false" customHeight="false" outlineLevel="0" collapsed="false">
      <c r="A20" s="24"/>
      <c r="B20" s="27"/>
      <c r="C20" s="24"/>
      <c r="D20" s="28"/>
      <c r="E20" s="24"/>
      <c r="F20" s="24"/>
      <c r="G20" s="24"/>
      <c r="H20" s="24"/>
      <c r="I20" s="29" t="str">
        <f aca="false">IF($A20="","",COUNTIFS($H$2:$H$1001,$A20,$D$2:$D$1001,"Reuse"))</f>
        <v/>
      </c>
    </row>
    <row r="21" customFormat="false" ht="15" hidden="false" customHeight="false" outlineLevel="0" collapsed="false">
      <c r="A21" s="24"/>
      <c r="B21" s="27"/>
      <c r="C21" s="24"/>
      <c r="D21" s="28"/>
      <c r="E21" s="24"/>
      <c r="F21" s="24"/>
      <c r="G21" s="24"/>
      <c r="H21" s="24"/>
      <c r="I21" s="29" t="str">
        <f aca="false">IF($A21="","",COUNTIFS($H$2:$H$1001,$A21,$D$2:$D$1001,"Reuse"))</f>
        <v/>
      </c>
    </row>
    <row r="22" customFormat="false" ht="15" hidden="false" customHeight="false" outlineLevel="0" collapsed="false">
      <c r="A22" s="24"/>
      <c r="B22" s="27"/>
      <c r="C22" s="24"/>
      <c r="D22" s="28"/>
      <c r="E22" s="24"/>
      <c r="F22" s="24"/>
      <c r="G22" s="24"/>
      <c r="H22" s="24"/>
      <c r="I22" s="29" t="str">
        <f aca="false">IF($A22="","",COUNTIFS($H$2:$H$1001,$A22,$D$2:$D$1001,"Reuse"))</f>
        <v/>
      </c>
    </row>
    <row r="23" customFormat="false" ht="15" hidden="false" customHeight="false" outlineLevel="0" collapsed="false">
      <c r="A23" s="24"/>
      <c r="B23" s="27"/>
      <c r="C23" s="24"/>
      <c r="D23" s="28"/>
      <c r="E23" s="24"/>
      <c r="F23" s="24"/>
      <c r="G23" s="24"/>
      <c r="H23" s="24"/>
      <c r="I23" s="29" t="str">
        <f aca="false">IF($A23="","",COUNTIFS($H$2:$H$1001,$A23,$D$2:$D$1001,"Reuse"))</f>
        <v/>
      </c>
    </row>
    <row r="24" customFormat="false" ht="15" hidden="false" customHeight="false" outlineLevel="0" collapsed="false">
      <c r="A24" s="24"/>
      <c r="B24" s="27"/>
      <c r="C24" s="24"/>
      <c r="D24" s="28"/>
      <c r="E24" s="24"/>
      <c r="F24" s="24"/>
      <c r="G24" s="24"/>
      <c r="H24" s="24"/>
      <c r="I24" s="29" t="str">
        <f aca="false">IF($A24="","",COUNTIFS($H$2:$H$1001,$A24,$D$2:$D$1001,"Reuse"))</f>
        <v/>
      </c>
    </row>
    <row r="25" customFormat="false" ht="15" hidden="false" customHeight="false" outlineLevel="0" collapsed="false">
      <c r="A25" s="24"/>
      <c r="B25" s="27"/>
      <c r="C25" s="24"/>
      <c r="D25" s="28"/>
      <c r="E25" s="24"/>
      <c r="F25" s="24"/>
      <c r="G25" s="24"/>
      <c r="H25" s="24"/>
      <c r="I25" s="29" t="str">
        <f aca="false">IF($A25="","",COUNTIFS($H$2:$H$1001,$A25,$D$2:$D$1001,"Reuse"))</f>
        <v/>
      </c>
    </row>
    <row r="26" customFormat="false" ht="15" hidden="false" customHeight="false" outlineLevel="0" collapsed="false">
      <c r="A26" s="24"/>
      <c r="B26" s="27"/>
      <c r="C26" s="24"/>
      <c r="D26" s="28"/>
      <c r="E26" s="24"/>
      <c r="F26" s="24"/>
      <c r="G26" s="24"/>
      <c r="H26" s="24"/>
      <c r="I26" s="29" t="str">
        <f aca="false">IF($A26="","",COUNTIFS($H$2:$H$1001,$A26,$D$2:$D$1001,"Reuse"))</f>
        <v/>
      </c>
    </row>
    <row r="27" customFormat="false" ht="15" hidden="false" customHeight="false" outlineLevel="0" collapsed="false">
      <c r="A27" s="24"/>
      <c r="B27" s="27"/>
      <c r="C27" s="24"/>
      <c r="D27" s="28"/>
      <c r="E27" s="24"/>
      <c r="F27" s="24"/>
      <c r="G27" s="24"/>
      <c r="H27" s="24"/>
      <c r="I27" s="29" t="str">
        <f aca="false">IF($A27="","",COUNTIFS($H$2:$H$1001,$A27,$D$2:$D$1001,"Reuse"))</f>
        <v/>
      </c>
    </row>
    <row r="28" customFormat="false" ht="15" hidden="false" customHeight="false" outlineLevel="0" collapsed="false">
      <c r="A28" s="24"/>
      <c r="B28" s="27"/>
      <c r="C28" s="24"/>
      <c r="D28" s="28"/>
      <c r="E28" s="24"/>
      <c r="F28" s="24"/>
      <c r="G28" s="24"/>
      <c r="H28" s="24"/>
      <c r="I28" s="29" t="str">
        <f aca="false">IF($A28="","",COUNTIFS($H$2:$H$1001,$A28,$D$2:$D$1001,"Reuse"))</f>
        <v/>
      </c>
    </row>
    <row r="29" customFormat="false" ht="15" hidden="false" customHeight="false" outlineLevel="0" collapsed="false">
      <c r="A29" s="24"/>
      <c r="B29" s="27"/>
      <c r="C29" s="24"/>
      <c r="D29" s="28"/>
      <c r="E29" s="24"/>
      <c r="F29" s="24"/>
      <c r="G29" s="24"/>
      <c r="H29" s="24"/>
      <c r="I29" s="29" t="str">
        <f aca="false">IF($A29="","",COUNTIFS($H$2:$H$1001,$A29,$D$2:$D$1001,"Reuse"))</f>
        <v/>
      </c>
    </row>
    <row r="30" customFormat="false" ht="15" hidden="false" customHeight="false" outlineLevel="0" collapsed="false">
      <c r="A30" s="24"/>
      <c r="B30" s="27"/>
      <c r="C30" s="24"/>
      <c r="D30" s="28"/>
      <c r="E30" s="24"/>
      <c r="F30" s="24"/>
      <c r="G30" s="24"/>
      <c r="H30" s="24"/>
      <c r="I30" s="29" t="str">
        <f aca="false">IF($A30="","",COUNTIFS($H$2:$H$1001,$A30,$D$2:$D$1001,"Reuse"))</f>
        <v/>
      </c>
    </row>
    <row r="31" customFormat="false" ht="15" hidden="false" customHeight="false" outlineLevel="0" collapsed="false">
      <c r="A31" s="24"/>
      <c r="B31" s="27"/>
      <c r="C31" s="24"/>
      <c r="D31" s="28"/>
      <c r="E31" s="24"/>
      <c r="F31" s="24"/>
      <c r="G31" s="24"/>
      <c r="H31" s="24"/>
      <c r="I31" s="29" t="str">
        <f aca="false">IF($A31="","",COUNTIFS($H$2:$H$1001,$A31,$D$2:$D$1001,"Reuse"))</f>
        <v/>
      </c>
    </row>
    <row r="32" customFormat="false" ht="15" hidden="false" customHeight="false" outlineLevel="0" collapsed="false">
      <c r="A32" s="24"/>
      <c r="B32" s="27"/>
      <c r="C32" s="24"/>
      <c r="D32" s="28"/>
      <c r="E32" s="24"/>
      <c r="F32" s="24"/>
      <c r="G32" s="24"/>
      <c r="H32" s="24"/>
      <c r="I32" s="29" t="str">
        <f aca="false">IF($A32="","",COUNTIFS($H$2:$H$1001,$A32,$D$2:$D$1001,"Reuse"))</f>
        <v/>
      </c>
    </row>
    <row r="33" customFormat="false" ht="15" hidden="false" customHeight="false" outlineLevel="0" collapsed="false">
      <c r="A33" s="24"/>
      <c r="B33" s="27"/>
      <c r="C33" s="24"/>
      <c r="D33" s="28"/>
      <c r="E33" s="24"/>
      <c r="F33" s="24"/>
      <c r="G33" s="24"/>
      <c r="H33" s="24"/>
      <c r="I33" s="29" t="str">
        <f aca="false">IF($A33="","",COUNTIFS($H$2:$H$1001,$A33,$D$2:$D$1001,"Reuse"))</f>
        <v/>
      </c>
    </row>
    <row r="34" customFormat="false" ht="15" hidden="false" customHeight="false" outlineLevel="0" collapsed="false">
      <c r="A34" s="24"/>
      <c r="B34" s="27"/>
      <c r="C34" s="24"/>
      <c r="D34" s="28"/>
      <c r="E34" s="24"/>
      <c r="F34" s="24"/>
      <c r="G34" s="24"/>
      <c r="H34" s="24"/>
      <c r="I34" s="29" t="str">
        <f aca="false">IF($A34="","",COUNTIFS($H$2:$H$1001,$A34,$D$2:$D$1001,"Reuse"))</f>
        <v/>
      </c>
    </row>
    <row r="35" customFormat="false" ht="15" hidden="false" customHeight="false" outlineLevel="0" collapsed="false">
      <c r="A35" s="24"/>
      <c r="B35" s="27"/>
      <c r="C35" s="24"/>
      <c r="D35" s="28"/>
      <c r="E35" s="24"/>
      <c r="F35" s="24"/>
      <c r="G35" s="24"/>
      <c r="H35" s="24"/>
      <c r="I35" s="29" t="str">
        <f aca="false">IF($A35="","",COUNTIFS($H$2:$H$1001,$A35,$D$2:$D$1001,"Reuse"))</f>
        <v/>
      </c>
    </row>
    <row r="36" customFormat="false" ht="15" hidden="false" customHeight="false" outlineLevel="0" collapsed="false">
      <c r="A36" s="24"/>
      <c r="B36" s="27"/>
      <c r="C36" s="24"/>
      <c r="D36" s="28"/>
      <c r="E36" s="24"/>
      <c r="F36" s="24"/>
      <c r="G36" s="24"/>
      <c r="H36" s="24"/>
      <c r="I36" s="29" t="str">
        <f aca="false">IF($A36="","",COUNTIFS($H$2:$H$1001,$A36,$D$2:$D$1001,"Reuse"))</f>
        <v/>
      </c>
    </row>
    <row r="37" customFormat="false" ht="15" hidden="false" customHeight="false" outlineLevel="0" collapsed="false">
      <c r="A37" s="24"/>
      <c r="B37" s="27"/>
      <c r="C37" s="24"/>
      <c r="D37" s="28"/>
      <c r="E37" s="24"/>
      <c r="F37" s="24"/>
      <c r="G37" s="24"/>
      <c r="H37" s="24"/>
      <c r="I37" s="29" t="str">
        <f aca="false">IF($A37="","",COUNTIFS($H$2:$H$1001,$A37,$D$2:$D$1001,"Reuse"))</f>
        <v/>
      </c>
    </row>
    <row r="38" customFormat="false" ht="15" hidden="false" customHeight="false" outlineLevel="0" collapsed="false">
      <c r="A38" s="24"/>
      <c r="B38" s="27"/>
      <c r="C38" s="24"/>
      <c r="D38" s="28"/>
      <c r="E38" s="24"/>
      <c r="F38" s="24"/>
      <c r="G38" s="24"/>
      <c r="H38" s="24"/>
      <c r="I38" s="29" t="str">
        <f aca="false">IF($A38="","",COUNTIFS($H$2:$H$1001,$A38,$D$2:$D$1001,"Reuse"))</f>
        <v/>
      </c>
    </row>
    <row r="39" customFormat="false" ht="15" hidden="false" customHeight="false" outlineLevel="0" collapsed="false">
      <c r="A39" s="24"/>
      <c r="B39" s="27"/>
      <c r="C39" s="24"/>
      <c r="D39" s="28"/>
      <c r="E39" s="24"/>
      <c r="F39" s="24"/>
      <c r="G39" s="24"/>
      <c r="H39" s="24"/>
      <c r="I39" s="29" t="str">
        <f aca="false">IF($A39="","",COUNTIFS($H$2:$H$1001,$A39,$D$2:$D$1001,"Reuse"))</f>
        <v/>
      </c>
    </row>
    <row r="40" customFormat="false" ht="15" hidden="false" customHeight="false" outlineLevel="0" collapsed="false">
      <c r="A40" s="24"/>
      <c r="B40" s="27"/>
      <c r="C40" s="24"/>
      <c r="D40" s="28"/>
      <c r="E40" s="24"/>
      <c r="F40" s="24"/>
      <c r="G40" s="24"/>
      <c r="H40" s="24"/>
      <c r="I40" s="29" t="str">
        <f aca="false">IF($A40="","",COUNTIFS($H$2:$H$1001,$A40,$D$2:$D$1001,"Reuse"))</f>
        <v/>
      </c>
    </row>
    <row r="41" customFormat="false" ht="15" hidden="false" customHeight="false" outlineLevel="0" collapsed="false">
      <c r="A41" s="24"/>
      <c r="B41" s="27"/>
      <c r="C41" s="24"/>
      <c r="D41" s="28"/>
      <c r="E41" s="24"/>
      <c r="F41" s="24"/>
      <c r="G41" s="24"/>
      <c r="H41" s="24"/>
      <c r="I41" s="29" t="str">
        <f aca="false">IF($A41="","",COUNTIFS($H$2:$H$1001,$A41,$D$2:$D$1001,"Reuse"))</f>
        <v/>
      </c>
    </row>
    <row r="42" customFormat="false" ht="15" hidden="false" customHeight="false" outlineLevel="0" collapsed="false">
      <c r="A42" s="24"/>
      <c r="B42" s="27"/>
      <c r="C42" s="24"/>
      <c r="D42" s="28"/>
      <c r="E42" s="24"/>
      <c r="F42" s="24"/>
      <c r="G42" s="24"/>
      <c r="H42" s="24"/>
      <c r="I42" s="29" t="str">
        <f aca="false">IF($A42="","",COUNTIFS($H$2:$H$1001,$A42,$D$2:$D$1001,"Reuse"))</f>
        <v/>
      </c>
    </row>
    <row r="43" customFormat="false" ht="15" hidden="false" customHeight="false" outlineLevel="0" collapsed="false">
      <c r="A43" s="24"/>
      <c r="B43" s="27"/>
      <c r="C43" s="24"/>
      <c r="D43" s="28"/>
      <c r="E43" s="24"/>
      <c r="F43" s="24"/>
      <c r="G43" s="24"/>
      <c r="H43" s="24"/>
      <c r="I43" s="29" t="str">
        <f aca="false">IF($A43="","",COUNTIFS($H$2:$H$1001,$A43,$D$2:$D$1001,"Reuse"))</f>
        <v/>
      </c>
    </row>
    <row r="44" customFormat="false" ht="15" hidden="false" customHeight="false" outlineLevel="0" collapsed="false">
      <c r="A44" s="24"/>
      <c r="B44" s="27"/>
      <c r="C44" s="24"/>
      <c r="D44" s="28"/>
      <c r="E44" s="24"/>
      <c r="F44" s="24"/>
      <c r="G44" s="24"/>
      <c r="H44" s="24"/>
      <c r="I44" s="29" t="str">
        <f aca="false">IF($A44="","",COUNTIFS($H$2:$H$1001,$A44,$D$2:$D$1001,"Reuse"))</f>
        <v/>
      </c>
    </row>
    <row r="45" customFormat="false" ht="15" hidden="false" customHeight="false" outlineLevel="0" collapsed="false">
      <c r="A45" s="24"/>
      <c r="B45" s="27"/>
      <c r="C45" s="24"/>
      <c r="D45" s="28"/>
      <c r="E45" s="24"/>
      <c r="F45" s="24"/>
      <c r="G45" s="24"/>
      <c r="H45" s="24"/>
      <c r="I45" s="29" t="str">
        <f aca="false">IF($A45="","",COUNTIFS($H$2:$H$1001,$A45,$D$2:$D$1001,"Reuse"))</f>
        <v/>
      </c>
    </row>
    <row r="46" customFormat="false" ht="15" hidden="false" customHeight="false" outlineLevel="0" collapsed="false">
      <c r="A46" s="24"/>
      <c r="B46" s="27"/>
      <c r="C46" s="24"/>
      <c r="D46" s="28"/>
      <c r="E46" s="24"/>
      <c r="F46" s="24"/>
      <c r="G46" s="24"/>
      <c r="H46" s="24"/>
      <c r="I46" s="29" t="str">
        <f aca="false">IF($A46="","",COUNTIFS($H$2:$H$1001,$A46,$D$2:$D$1001,"Reuse"))</f>
        <v/>
      </c>
    </row>
    <row r="47" customFormat="false" ht="15" hidden="false" customHeight="false" outlineLevel="0" collapsed="false">
      <c r="A47" s="24"/>
      <c r="B47" s="27"/>
      <c r="C47" s="24"/>
      <c r="D47" s="28"/>
      <c r="E47" s="24"/>
      <c r="F47" s="24"/>
      <c r="G47" s="24"/>
      <c r="H47" s="24"/>
      <c r="I47" s="29" t="str">
        <f aca="false">IF($A47="","",COUNTIFS($H$2:$H$1001,$A47,$D$2:$D$1001,"Reuse"))</f>
        <v/>
      </c>
    </row>
    <row r="48" customFormat="false" ht="15" hidden="false" customHeight="false" outlineLevel="0" collapsed="false">
      <c r="A48" s="24"/>
      <c r="B48" s="27"/>
      <c r="C48" s="24"/>
      <c r="D48" s="28"/>
      <c r="E48" s="24"/>
      <c r="F48" s="24"/>
      <c r="G48" s="24"/>
      <c r="H48" s="24"/>
      <c r="I48" s="29" t="str">
        <f aca="false">IF($A48="","",COUNTIFS($H$2:$H$1001,$A48,$D$2:$D$1001,"Reuse"))</f>
        <v/>
      </c>
    </row>
    <row r="49" customFormat="false" ht="15" hidden="false" customHeight="false" outlineLevel="0" collapsed="false">
      <c r="A49" s="24"/>
      <c r="B49" s="27"/>
      <c r="C49" s="24"/>
      <c r="D49" s="28"/>
      <c r="E49" s="24"/>
      <c r="F49" s="24"/>
      <c r="G49" s="24"/>
      <c r="H49" s="24"/>
      <c r="I49" s="29" t="str">
        <f aca="false">IF($A49="","",COUNTIFS($H$2:$H$1001,$A49,$D$2:$D$1001,"Reuse"))</f>
        <v/>
      </c>
    </row>
    <row r="50" customFormat="false" ht="15" hidden="false" customHeight="false" outlineLevel="0" collapsed="false">
      <c r="A50" s="24"/>
      <c r="B50" s="27"/>
      <c r="C50" s="24"/>
      <c r="D50" s="28"/>
      <c r="E50" s="24"/>
      <c r="F50" s="24"/>
      <c r="G50" s="24"/>
      <c r="H50" s="24"/>
      <c r="I50" s="29" t="str">
        <f aca="false">IF($A50="","",COUNTIFS($H$2:$H$1001,$A50,$D$2:$D$1001,"Reuse"))</f>
        <v/>
      </c>
    </row>
    <row r="51" customFormat="false" ht="15" hidden="false" customHeight="false" outlineLevel="0" collapsed="false">
      <c r="A51" s="24"/>
      <c r="B51" s="27"/>
      <c r="C51" s="24"/>
      <c r="D51" s="28"/>
      <c r="E51" s="24"/>
      <c r="F51" s="24"/>
      <c r="G51" s="24"/>
      <c r="H51" s="24"/>
      <c r="I51" s="29" t="str">
        <f aca="false">IF($A51="","",COUNTIFS($H$2:$H$1001,$A51,$D$2:$D$1001,"Reuse"))</f>
        <v/>
      </c>
    </row>
    <row r="52" customFormat="false" ht="15" hidden="false" customHeight="false" outlineLevel="0" collapsed="false">
      <c r="A52" s="24"/>
      <c r="B52" s="27"/>
      <c r="C52" s="24"/>
      <c r="D52" s="28"/>
      <c r="E52" s="24"/>
      <c r="F52" s="24"/>
      <c r="G52" s="24"/>
      <c r="H52" s="24"/>
      <c r="I52" s="29" t="str">
        <f aca="false">IF($A52="","",COUNTIFS($H$2:$H$1001,$A52,$D$2:$D$1001,"Reuse"))</f>
        <v/>
      </c>
    </row>
    <row r="53" customFormat="false" ht="15" hidden="false" customHeight="false" outlineLevel="0" collapsed="false">
      <c r="A53" s="24"/>
      <c r="B53" s="27"/>
      <c r="C53" s="24"/>
      <c r="D53" s="28"/>
      <c r="E53" s="24"/>
      <c r="F53" s="24"/>
      <c r="G53" s="24"/>
      <c r="H53" s="24"/>
      <c r="I53" s="29" t="str">
        <f aca="false">IF($A53="","",COUNTIFS($H$2:$H$1001,$A53,$D$2:$D$1001,"Reuse"))</f>
        <v/>
      </c>
    </row>
    <row r="54" customFormat="false" ht="15" hidden="false" customHeight="false" outlineLevel="0" collapsed="false">
      <c r="A54" s="24"/>
      <c r="B54" s="27"/>
      <c r="C54" s="24"/>
      <c r="D54" s="28"/>
      <c r="E54" s="24"/>
      <c r="F54" s="24"/>
      <c r="G54" s="24"/>
      <c r="H54" s="24"/>
      <c r="I54" s="29" t="str">
        <f aca="false">IF($A54="","",COUNTIFS($H$2:$H$1001,$A54,$D$2:$D$1001,"Reuse"))</f>
        <v/>
      </c>
    </row>
    <row r="55" customFormat="false" ht="15" hidden="false" customHeight="false" outlineLevel="0" collapsed="false">
      <c r="A55" s="24"/>
      <c r="B55" s="27"/>
      <c r="C55" s="24"/>
      <c r="D55" s="28"/>
      <c r="E55" s="24"/>
      <c r="F55" s="24"/>
      <c r="G55" s="24"/>
      <c r="H55" s="24"/>
      <c r="I55" s="29" t="str">
        <f aca="false">IF($A55="","",COUNTIFS($H$2:$H$1001,$A55,$D$2:$D$1001,"Reuse"))</f>
        <v/>
      </c>
    </row>
    <row r="56" customFormat="false" ht="15" hidden="false" customHeight="false" outlineLevel="0" collapsed="false">
      <c r="A56" s="24"/>
      <c r="B56" s="27"/>
      <c r="C56" s="24"/>
      <c r="D56" s="28"/>
      <c r="E56" s="24"/>
      <c r="F56" s="24"/>
      <c r="G56" s="24"/>
      <c r="H56" s="24"/>
      <c r="I56" s="29" t="str">
        <f aca="false">IF($A56="","",COUNTIFS($H$2:$H$1001,$A56,$D$2:$D$1001,"Reuse"))</f>
        <v/>
      </c>
    </row>
    <row r="57" customFormat="false" ht="15" hidden="false" customHeight="false" outlineLevel="0" collapsed="false">
      <c r="A57" s="24"/>
      <c r="B57" s="27"/>
      <c r="C57" s="24"/>
      <c r="D57" s="28"/>
      <c r="E57" s="24"/>
      <c r="F57" s="24"/>
      <c r="G57" s="24"/>
      <c r="H57" s="24"/>
      <c r="I57" s="29" t="str">
        <f aca="false">IF($A57="","",COUNTIFS($H$2:$H$1001,$A57,$D$2:$D$1001,"Reuse"))</f>
        <v/>
      </c>
    </row>
    <row r="58" customFormat="false" ht="15" hidden="false" customHeight="false" outlineLevel="0" collapsed="false">
      <c r="A58" s="24"/>
      <c r="B58" s="27"/>
      <c r="C58" s="24"/>
      <c r="D58" s="28"/>
      <c r="E58" s="24"/>
      <c r="F58" s="24"/>
      <c r="G58" s="24"/>
      <c r="H58" s="24"/>
      <c r="I58" s="29" t="str">
        <f aca="false">IF($A58="","",COUNTIFS($H$2:$H$1001,$A58,$D$2:$D$1001,"Reuse"))</f>
        <v/>
      </c>
    </row>
    <row r="59" customFormat="false" ht="15" hidden="false" customHeight="false" outlineLevel="0" collapsed="false">
      <c r="A59" s="24"/>
      <c r="B59" s="27"/>
      <c r="C59" s="24"/>
      <c r="D59" s="28"/>
      <c r="E59" s="24"/>
      <c r="F59" s="24"/>
      <c r="G59" s="24"/>
      <c r="H59" s="24"/>
      <c r="I59" s="29" t="str">
        <f aca="false">IF($A59="","",COUNTIFS($H$2:$H$1001,$A59,$D$2:$D$1001,"Reuse"))</f>
        <v/>
      </c>
    </row>
    <row r="60" customFormat="false" ht="15" hidden="false" customHeight="false" outlineLevel="0" collapsed="false">
      <c r="A60" s="24"/>
      <c r="B60" s="27"/>
      <c r="C60" s="24"/>
      <c r="D60" s="28"/>
      <c r="E60" s="24"/>
      <c r="F60" s="24"/>
      <c r="G60" s="24"/>
      <c r="H60" s="24"/>
      <c r="I60" s="29" t="str">
        <f aca="false">IF($A60="","",COUNTIFS($H$2:$H$1001,$A60,$D$2:$D$1001,"Reuse"))</f>
        <v/>
      </c>
    </row>
    <row r="61" customFormat="false" ht="15" hidden="false" customHeight="false" outlineLevel="0" collapsed="false">
      <c r="A61" s="24"/>
      <c r="B61" s="27"/>
      <c r="C61" s="24"/>
      <c r="D61" s="28"/>
      <c r="E61" s="24"/>
      <c r="F61" s="24"/>
      <c r="G61" s="24"/>
      <c r="H61" s="24"/>
      <c r="I61" s="29" t="str">
        <f aca="false">IF($A61="","",COUNTIFS($H$2:$H$1001,$A61,$D$2:$D$1001,"Reuse"))</f>
        <v/>
      </c>
    </row>
    <row r="62" customFormat="false" ht="15" hidden="false" customHeight="false" outlineLevel="0" collapsed="false">
      <c r="A62" s="24"/>
      <c r="B62" s="27"/>
      <c r="C62" s="24"/>
      <c r="D62" s="28"/>
      <c r="E62" s="24"/>
      <c r="F62" s="24"/>
      <c r="G62" s="24"/>
      <c r="H62" s="24"/>
      <c r="I62" s="29" t="str">
        <f aca="false">IF($A62="","",COUNTIFS($H$2:$H$1001,$A62,$D$2:$D$1001,"Reuse"))</f>
        <v/>
      </c>
    </row>
    <row r="63" customFormat="false" ht="15" hidden="false" customHeight="false" outlineLevel="0" collapsed="false">
      <c r="A63" s="24"/>
      <c r="B63" s="27"/>
      <c r="C63" s="24"/>
      <c r="D63" s="28"/>
      <c r="E63" s="24"/>
      <c r="F63" s="24"/>
      <c r="G63" s="24"/>
      <c r="H63" s="24"/>
      <c r="I63" s="29" t="str">
        <f aca="false">IF($A63="","",COUNTIFS($H$2:$H$1001,$A63,$D$2:$D$1001,"Reuse"))</f>
        <v/>
      </c>
    </row>
    <row r="64" customFormat="false" ht="15" hidden="false" customHeight="false" outlineLevel="0" collapsed="false">
      <c r="A64" s="24"/>
      <c r="B64" s="27"/>
      <c r="C64" s="24"/>
      <c r="D64" s="28"/>
      <c r="E64" s="24"/>
      <c r="F64" s="24"/>
      <c r="G64" s="24"/>
      <c r="H64" s="24"/>
      <c r="I64" s="29" t="str">
        <f aca="false">IF($A64="","",COUNTIFS($H$2:$H$1001,$A64,$D$2:$D$1001,"Reuse"))</f>
        <v/>
      </c>
    </row>
    <row r="65" customFormat="false" ht="15" hidden="false" customHeight="false" outlineLevel="0" collapsed="false">
      <c r="A65" s="24"/>
      <c r="B65" s="27"/>
      <c r="C65" s="24"/>
      <c r="D65" s="28"/>
      <c r="E65" s="24"/>
      <c r="F65" s="24"/>
      <c r="G65" s="24"/>
      <c r="H65" s="24"/>
      <c r="I65" s="29" t="str">
        <f aca="false">IF($A65="","",COUNTIFS($H$2:$H$1001,$A65,$D$2:$D$1001,"Reuse"))</f>
        <v/>
      </c>
    </row>
    <row r="66" customFormat="false" ht="15" hidden="false" customHeight="false" outlineLevel="0" collapsed="false">
      <c r="A66" s="24"/>
      <c r="B66" s="27"/>
      <c r="C66" s="24"/>
      <c r="D66" s="28"/>
      <c r="E66" s="24"/>
      <c r="F66" s="24"/>
      <c r="G66" s="24"/>
      <c r="H66" s="24"/>
      <c r="I66" s="29" t="str">
        <f aca="false">IF($A66="","",COUNTIFS($H$2:$H$1001,$A66,$D$2:$D$1001,"Reuse"))</f>
        <v/>
      </c>
    </row>
    <row r="67" customFormat="false" ht="15" hidden="false" customHeight="false" outlineLevel="0" collapsed="false">
      <c r="A67" s="24"/>
      <c r="B67" s="27"/>
      <c r="C67" s="24"/>
      <c r="D67" s="28"/>
      <c r="E67" s="24"/>
      <c r="F67" s="24"/>
      <c r="G67" s="24"/>
      <c r="H67" s="24"/>
      <c r="I67" s="29" t="str">
        <f aca="false">IF($A67="","",COUNTIFS($H$2:$H$1001,$A67,$D$2:$D$1001,"Reuse"))</f>
        <v/>
      </c>
    </row>
    <row r="68" customFormat="false" ht="15" hidden="false" customHeight="false" outlineLevel="0" collapsed="false">
      <c r="A68" s="24"/>
      <c r="B68" s="27"/>
      <c r="C68" s="24"/>
      <c r="D68" s="28"/>
      <c r="E68" s="24"/>
      <c r="F68" s="24"/>
      <c r="G68" s="24"/>
      <c r="H68" s="24"/>
      <c r="I68" s="29" t="str">
        <f aca="false">IF($A68="","",COUNTIFS($H$2:$H$1001,$A68,$D$2:$D$1001,"Reuse"))</f>
        <v/>
      </c>
    </row>
    <row r="69" customFormat="false" ht="15" hidden="false" customHeight="false" outlineLevel="0" collapsed="false">
      <c r="A69" s="24"/>
      <c r="B69" s="27"/>
      <c r="C69" s="24"/>
      <c r="D69" s="28"/>
      <c r="E69" s="24"/>
      <c r="F69" s="24"/>
      <c r="G69" s="24"/>
      <c r="H69" s="24"/>
      <c r="I69" s="29" t="str">
        <f aca="false">IF($A69="","",COUNTIFS($H$2:$H$1001,$A69,$D$2:$D$1001,"Reuse"))</f>
        <v/>
      </c>
    </row>
    <row r="70" customFormat="false" ht="15" hidden="false" customHeight="false" outlineLevel="0" collapsed="false">
      <c r="A70" s="24"/>
      <c r="B70" s="27"/>
      <c r="C70" s="24"/>
      <c r="D70" s="28"/>
      <c r="E70" s="24"/>
      <c r="F70" s="24"/>
      <c r="G70" s="24"/>
      <c r="H70" s="24"/>
      <c r="I70" s="29" t="str">
        <f aca="false">IF($A70="","",COUNTIFS($H$2:$H$1001,$A70,$D$2:$D$1001,"Reuse"))</f>
        <v/>
      </c>
    </row>
    <row r="71" customFormat="false" ht="15" hidden="false" customHeight="false" outlineLevel="0" collapsed="false">
      <c r="A71" s="24"/>
      <c r="B71" s="27"/>
      <c r="C71" s="24"/>
      <c r="D71" s="28"/>
      <c r="E71" s="24"/>
      <c r="F71" s="24"/>
      <c r="G71" s="24"/>
      <c r="H71" s="24"/>
      <c r="I71" s="29" t="str">
        <f aca="false">IF($A71="","",COUNTIFS($H$2:$H$1001,$A71,$D$2:$D$1001,"Reuse"))</f>
        <v/>
      </c>
    </row>
    <row r="72" customFormat="false" ht="15" hidden="false" customHeight="false" outlineLevel="0" collapsed="false">
      <c r="A72" s="24"/>
      <c r="B72" s="27"/>
      <c r="C72" s="24"/>
      <c r="D72" s="28"/>
      <c r="E72" s="24"/>
      <c r="F72" s="24"/>
      <c r="G72" s="24"/>
      <c r="H72" s="24"/>
      <c r="I72" s="29" t="str">
        <f aca="false">IF($A72="","",COUNTIFS($H$2:$H$1001,$A72,$D$2:$D$1001,"Reuse"))</f>
        <v/>
      </c>
    </row>
    <row r="73" customFormat="false" ht="15" hidden="false" customHeight="false" outlineLevel="0" collapsed="false">
      <c r="A73" s="24"/>
      <c r="B73" s="27"/>
      <c r="C73" s="24"/>
      <c r="D73" s="28"/>
      <c r="E73" s="24"/>
      <c r="F73" s="24"/>
      <c r="G73" s="24"/>
      <c r="H73" s="24"/>
      <c r="I73" s="29" t="str">
        <f aca="false">IF($A73="","",COUNTIFS($H$2:$H$1001,$A73,$D$2:$D$1001,"Reuse"))</f>
        <v/>
      </c>
    </row>
    <row r="74" customFormat="false" ht="15" hidden="false" customHeight="false" outlineLevel="0" collapsed="false">
      <c r="A74" s="24"/>
      <c r="B74" s="27"/>
      <c r="C74" s="24"/>
      <c r="D74" s="28"/>
      <c r="E74" s="24"/>
      <c r="F74" s="24"/>
      <c r="G74" s="24"/>
      <c r="H74" s="24"/>
      <c r="I74" s="29" t="str">
        <f aca="false">IF($A74="","",COUNTIFS($H$2:$H$1001,$A74,$D$2:$D$1001,"Reuse"))</f>
        <v/>
      </c>
    </row>
    <row r="75" customFormat="false" ht="15" hidden="false" customHeight="false" outlineLevel="0" collapsed="false">
      <c r="A75" s="24"/>
      <c r="B75" s="27"/>
      <c r="C75" s="24"/>
      <c r="D75" s="28"/>
      <c r="E75" s="24"/>
      <c r="F75" s="24"/>
      <c r="G75" s="24"/>
      <c r="H75" s="24"/>
      <c r="I75" s="29" t="str">
        <f aca="false">IF($A75="","",COUNTIFS($H$2:$H$1001,$A75,$D$2:$D$1001,"Reuse"))</f>
        <v/>
      </c>
    </row>
    <row r="76" customFormat="false" ht="15" hidden="false" customHeight="false" outlineLevel="0" collapsed="false">
      <c r="A76" s="24"/>
      <c r="B76" s="27"/>
      <c r="C76" s="24"/>
      <c r="D76" s="28"/>
      <c r="E76" s="24"/>
      <c r="F76" s="24"/>
      <c r="G76" s="24"/>
      <c r="H76" s="24"/>
      <c r="I76" s="29" t="str">
        <f aca="false">IF($A76="","",COUNTIFS($H$2:$H$1001,$A76,$D$2:$D$1001,"Reuse"))</f>
        <v/>
      </c>
    </row>
    <row r="77" customFormat="false" ht="15" hidden="false" customHeight="false" outlineLevel="0" collapsed="false">
      <c r="A77" s="24"/>
      <c r="B77" s="27"/>
      <c r="C77" s="24"/>
      <c r="D77" s="28"/>
      <c r="E77" s="24"/>
      <c r="F77" s="24"/>
      <c r="G77" s="24"/>
      <c r="H77" s="24"/>
      <c r="I77" s="29" t="str">
        <f aca="false">IF($A77="","",COUNTIFS($H$2:$H$1001,$A77,$D$2:$D$1001,"Reuse"))</f>
        <v/>
      </c>
    </row>
    <row r="78" customFormat="false" ht="15" hidden="false" customHeight="false" outlineLevel="0" collapsed="false">
      <c r="A78" s="24"/>
      <c r="B78" s="27"/>
      <c r="C78" s="24"/>
      <c r="D78" s="28"/>
      <c r="E78" s="24"/>
      <c r="F78" s="24"/>
      <c r="G78" s="24"/>
      <c r="H78" s="24"/>
      <c r="I78" s="29" t="str">
        <f aca="false">IF($A78="","",COUNTIFS($H$2:$H$1001,$A78,$D$2:$D$1001,"Reuse"))</f>
        <v/>
      </c>
    </row>
    <row r="79" customFormat="false" ht="15" hidden="false" customHeight="false" outlineLevel="0" collapsed="false">
      <c r="A79" s="24"/>
      <c r="B79" s="27"/>
      <c r="C79" s="24"/>
      <c r="D79" s="28"/>
      <c r="E79" s="24"/>
      <c r="F79" s="24"/>
      <c r="G79" s="24"/>
      <c r="H79" s="24"/>
      <c r="I79" s="29" t="str">
        <f aca="false">IF($A79="","",COUNTIFS($H$2:$H$1001,$A79,$D$2:$D$1001,"Reuse"))</f>
        <v/>
      </c>
    </row>
    <row r="80" customFormat="false" ht="15" hidden="false" customHeight="false" outlineLevel="0" collapsed="false">
      <c r="A80" s="24"/>
      <c r="B80" s="27"/>
      <c r="C80" s="24"/>
      <c r="D80" s="28"/>
      <c r="E80" s="24"/>
      <c r="F80" s="24"/>
      <c r="G80" s="24"/>
      <c r="H80" s="24"/>
      <c r="I80" s="29" t="str">
        <f aca="false">IF($A80="","",COUNTIFS($H$2:$H$1001,$A80,$D$2:$D$1001,"Reuse"))</f>
        <v/>
      </c>
    </row>
    <row r="81" customFormat="false" ht="15" hidden="false" customHeight="false" outlineLevel="0" collapsed="false">
      <c r="A81" s="24"/>
      <c r="B81" s="27"/>
      <c r="C81" s="24"/>
      <c r="D81" s="28"/>
      <c r="E81" s="24"/>
      <c r="F81" s="24"/>
      <c r="G81" s="24"/>
      <c r="H81" s="24"/>
      <c r="I81" s="29" t="str">
        <f aca="false">IF($A81="","",COUNTIFS($H$2:$H$1001,$A81,$D$2:$D$1001,"Reuse"))</f>
        <v/>
      </c>
    </row>
    <row r="82" customFormat="false" ht="15" hidden="false" customHeight="false" outlineLevel="0" collapsed="false">
      <c r="A82" s="24"/>
      <c r="B82" s="27"/>
      <c r="C82" s="24"/>
      <c r="D82" s="28"/>
      <c r="E82" s="24"/>
      <c r="F82" s="24"/>
      <c r="G82" s="24"/>
      <c r="H82" s="24"/>
      <c r="I82" s="29" t="str">
        <f aca="false">IF($A82="","",COUNTIFS($H$2:$H$1001,$A82,$D$2:$D$1001,"Reuse"))</f>
        <v/>
      </c>
    </row>
    <row r="83" customFormat="false" ht="15" hidden="false" customHeight="false" outlineLevel="0" collapsed="false">
      <c r="A83" s="24"/>
      <c r="B83" s="27"/>
      <c r="C83" s="24"/>
      <c r="D83" s="28"/>
      <c r="E83" s="24"/>
      <c r="F83" s="24"/>
      <c r="G83" s="24"/>
      <c r="H83" s="24"/>
      <c r="I83" s="29" t="str">
        <f aca="false">IF($A83="","",COUNTIFS($H$2:$H$1001,$A83,$D$2:$D$1001,"Reuse"))</f>
        <v/>
      </c>
    </row>
    <row r="84" customFormat="false" ht="15" hidden="false" customHeight="false" outlineLevel="0" collapsed="false">
      <c r="A84" s="24"/>
      <c r="B84" s="27"/>
      <c r="C84" s="24"/>
      <c r="D84" s="28"/>
      <c r="E84" s="24"/>
      <c r="F84" s="24"/>
      <c r="G84" s="24"/>
      <c r="H84" s="24"/>
      <c r="I84" s="29" t="str">
        <f aca="false">IF($A84="","",COUNTIFS($H$2:$H$1001,$A84,$D$2:$D$1001,"Reuse"))</f>
        <v/>
      </c>
    </row>
    <row r="85" customFormat="false" ht="15" hidden="false" customHeight="false" outlineLevel="0" collapsed="false">
      <c r="A85" s="24"/>
      <c r="B85" s="27"/>
      <c r="C85" s="24"/>
      <c r="D85" s="28"/>
      <c r="E85" s="24"/>
      <c r="F85" s="24"/>
      <c r="G85" s="24"/>
      <c r="H85" s="24"/>
      <c r="I85" s="29" t="str">
        <f aca="false">IF($A85="","",COUNTIFS($H$2:$H$1001,$A85,$D$2:$D$1001,"Reuse"))</f>
        <v/>
      </c>
    </row>
    <row r="86" customFormat="false" ht="15" hidden="false" customHeight="false" outlineLevel="0" collapsed="false">
      <c r="A86" s="24"/>
      <c r="B86" s="27"/>
      <c r="C86" s="24"/>
      <c r="D86" s="28"/>
      <c r="E86" s="24"/>
      <c r="F86" s="24"/>
      <c r="G86" s="24"/>
      <c r="H86" s="24"/>
      <c r="I86" s="29" t="str">
        <f aca="false">IF($A86="","",COUNTIFS($H$2:$H$1001,$A86,$D$2:$D$1001,"Reuse"))</f>
        <v/>
      </c>
    </row>
    <row r="87" customFormat="false" ht="15" hidden="false" customHeight="false" outlineLevel="0" collapsed="false">
      <c r="A87" s="24"/>
      <c r="B87" s="27"/>
      <c r="C87" s="24"/>
      <c r="D87" s="28"/>
      <c r="E87" s="24"/>
      <c r="F87" s="24"/>
      <c r="G87" s="24"/>
      <c r="H87" s="24"/>
      <c r="I87" s="29" t="str">
        <f aca="false">IF($A87="","",COUNTIFS($H$2:$H$1001,$A87,$D$2:$D$1001,"Reuse"))</f>
        <v/>
      </c>
    </row>
    <row r="88" customFormat="false" ht="15" hidden="false" customHeight="false" outlineLevel="0" collapsed="false">
      <c r="A88" s="24"/>
      <c r="B88" s="27"/>
      <c r="C88" s="24"/>
      <c r="D88" s="28"/>
      <c r="E88" s="24"/>
      <c r="F88" s="24"/>
      <c r="G88" s="24"/>
      <c r="H88" s="24"/>
      <c r="I88" s="29" t="str">
        <f aca="false">IF($A88="","",COUNTIFS($H$2:$H$1001,$A88,$D$2:$D$1001,"Reuse"))</f>
        <v/>
      </c>
    </row>
    <row r="89" customFormat="false" ht="15" hidden="false" customHeight="false" outlineLevel="0" collapsed="false">
      <c r="A89" s="24"/>
      <c r="B89" s="27"/>
      <c r="C89" s="24"/>
      <c r="D89" s="28"/>
      <c r="E89" s="24"/>
      <c r="F89" s="24"/>
      <c r="G89" s="24"/>
      <c r="H89" s="24"/>
      <c r="I89" s="29" t="str">
        <f aca="false">IF($A89="","",COUNTIFS($H$2:$H$1001,$A89,$D$2:$D$1001,"Reuse"))</f>
        <v/>
      </c>
    </row>
    <row r="90" customFormat="false" ht="15" hidden="false" customHeight="false" outlineLevel="0" collapsed="false">
      <c r="A90" s="24"/>
      <c r="B90" s="27"/>
      <c r="C90" s="24"/>
      <c r="D90" s="28"/>
      <c r="E90" s="24"/>
      <c r="F90" s="24"/>
      <c r="G90" s="24"/>
      <c r="H90" s="24"/>
      <c r="I90" s="29" t="str">
        <f aca="false">IF($A90="","",COUNTIFS($H$2:$H$1001,$A90,$D$2:$D$1001,"Reuse"))</f>
        <v/>
      </c>
    </row>
    <row r="91" customFormat="false" ht="15" hidden="false" customHeight="false" outlineLevel="0" collapsed="false">
      <c r="A91" s="24"/>
      <c r="B91" s="27"/>
      <c r="C91" s="24"/>
      <c r="D91" s="28"/>
      <c r="E91" s="24"/>
      <c r="F91" s="24"/>
      <c r="G91" s="24"/>
      <c r="H91" s="24"/>
      <c r="I91" s="29" t="str">
        <f aca="false">IF($A91="","",COUNTIFS($H$2:$H$1001,$A91,$D$2:$D$1001,"Reuse"))</f>
        <v/>
      </c>
    </row>
    <row r="92" customFormat="false" ht="15" hidden="false" customHeight="false" outlineLevel="0" collapsed="false">
      <c r="A92" s="24"/>
      <c r="B92" s="27"/>
      <c r="C92" s="24"/>
      <c r="D92" s="28"/>
      <c r="E92" s="24"/>
      <c r="F92" s="24"/>
      <c r="G92" s="24"/>
      <c r="H92" s="24"/>
      <c r="I92" s="29" t="str">
        <f aca="false">IF($A92="","",COUNTIFS($H$2:$H$1001,$A92,$D$2:$D$1001,"Reuse"))</f>
        <v/>
      </c>
    </row>
    <row r="93" customFormat="false" ht="15" hidden="false" customHeight="false" outlineLevel="0" collapsed="false">
      <c r="A93" s="24"/>
      <c r="B93" s="27"/>
      <c r="C93" s="24"/>
      <c r="D93" s="28"/>
      <c r="E93" s="24"/>
      <c r="F93" s="24"/>
      <c r="G93" s="24"/>
      <c r="H93" s="24"/>
      <c r="I93" s="29" t="str">
        <f aca="false">IF($A93="","",COUNTIFS($H$2:$H$1001,$A93,$D$2:$D$1001,"Reuse"))</f>
        <v/>
      </c>
    </row>
    <row r="94" customFormat="false" ht="15" hidden="false" customHeight="false" outlineLevel="0" collapsed="false">
      <c r="A94" s="24"/>
      <c r="B94" s="27"/>
      <c r="C94" s="24"/>
      <c r="D94" s="28"/>
      <c r="E94" s="24"/>
      <c r="F94" s="24"/>
      <c r="G94" s="24"/>
      <c r="H94" s="24"/>
      <c r="I94" s="29" t="str">
        <f aca="false">IF($A94="","",COUNTIFS($H$2:$H$1001,$A94,$D$2:$D$1001,"Reuse"))</f>
        <v/>
      </c>
    </row>
    <row r="95" customFormat="false" ht="15" hidden="false" customHeight="false" outlineLevel="0" collapsed="false">
      <c r="A95" s="24"/>
      <c r="B95" s="27"/>
      <c r="C95" s="24"/>
      <c r="D95" s="28"/>
      <c r="E95" s="24"/>
      <c r="F95" s="24"/>
      <c r="G95" s="24"/>
      <c r="H95" s="24"/>
      <c r="I95" s="29" t="str">
        <f aca="false">IF($A95="","",COUNTIFS($H$2:$H$1001,$A95,$D$2:$D$1001,"Reuse"))</f>
        <v/>
      </c>
    </row>
    <row r="96" customFormat="false" ht="15" hidden="false" customHeight="false" outlineLevel="0" collapsed="false">
      <c r="A96" s="24"/>
      <c r="B96" s="27"/>
      <c r="C96" s="24"/>
      <c r="D96" s="28"/>
      <c r="E96" s="24"/>
      <c r="F96" s="24"/>
      <c r="G96" s="24"/>
      <c r="H96" s="24"/>
      <c r="I96" s="29" t="str">
        <f aca="false">IF($A96="","",COUNTIFS($H$2:$H$1001,$A96,$D$2:$D$1001,"Reuse"))</f>
        <v/>
      </c>
    </row>
    <row r="97" customFormat="false" ht="15" hidden="false" customHeight="false" outlineLevel="0" collapsed="false">
      <c r="A97" s="24"/>
      <c r="B97" s="27"/>
      <c r="C97" s="24"/>
      <c r="D97" s="28"/>
      <c r="E97" s="24"/>
      <c r="F97" s="24"/>
      <c r="G97" s="24"/>
      <c r="H97" s="24"/>
      <c r="I97" s="29" t="str">
        <f aca="false">IF($A97="","",COUNTIFS($H$2:$H$1001,$A97,$D$2:$D$1001,"Reuse"))</f>
        <v/>
      </c>
    </row>
    <row r="98" customFormat="false" ht="15" hidden="false" customHeight="false" outlineLevel="0" collapsed="false">
      <c r="A98" s="24"/>
      <c r="B98" s="27"/>
      <c r="C98" s="24"/>
      <c r="D98" s="28"/>
      <c r="E98" s="24"/>
      <c r="F98" s="24"/>
      <c r="G98" s="24"/>
      <c r="H98" s="24"/>
      <c r="I98" s="29" t="str">
        <f aca="false">IF($A98="","",COUNTIFS($H$2:$H$1001,$A98,$D$2:$D$1001,"Reuse"))</f>
        <v/>
      </c>
    </row>
    <row r="99" customFormat="false" ht="15" hidden="false" customHeight="false" outlineLevel="0" collapsed="false">
      <c r="A99" s="24"/>
      <c r="B99" s="27"/>
      <c r="C99" s="24"/>
      <c r="D99" s="28"/>
      <c r="E99" s="24"/>
      <c r="F99" s="24"/>
      <c r="G99" s="24"/>
      <c r="H99" s="24"/>
      <c r="I99" s="29" t="str">
        <f aca="false">IF($A99="","",COUNTIFS($H$2:$H$1001,$A99,$D$2:$D$1001,"Reuse"))</f>
        <v/>
      </c>
    </row>
    <row r="100" customFormat="false" ht="15" hidden="false" customHeight="false" outlineLevel="0" collapsed="false">
      <c r="A100" s="24"/>
      <c r="B100" s="27"/>
      <c r="C100" s="24"/>
      <c r="D100" s="28"/>
      <c r="E100" s="24"/>
      <c r="F100" s="24"/>
      <c r="G100" s="24"/>
      <c r="H100" s="24"/>
      <c r="I100" s="29" t="str">
        <f aca="false">IF($A100="","",COUNTIFS($H$2:$H$1001,$A100,$D$2:$D$1001,"Reuse"))</f>
        <v/>
      </c>
    </row>
    <row r="101" customFormat="false" ht="15" hidden="false" customHeight="false" outlineLevel="0" collapsed="false">
      <c r="A101" s="24"/>
      <c r="B101" s="27"/>
      <c r="C101" s="24"/>
      <c r="D101" s="28"/>
      <c r="E101" s="24"/>
      <c r="F101" s="24"/>
      <c r="G101" s="24"/>
      <c r="H101" s="24"/>
      <c r="I101" s="29" t="str">
        <f aca="false">IF($A101="","",COUNTIFS($H$2:$H$1001,$A101,$D$2:$D$1001,"Reuse"))</f>
        <v/>
      </c>
    </row>
    <row r="102" customFormat="false" ht="15" hidden="false" customHeight="false" outlineLevel="0" collapsed="false">
      <c r="A102" s="24"/>
      <c r="B102" s="27"/>
      <c r="C102" s="24"/>
      <c r="D102" s="28"/>
      <c r="E102" s="24"/>
      <c r="F102" s="24"/>
      <c r="G102" s="24"/>
      <c r="H102" s="24"/>
      <c r="I102" s="29" t="str">
        <f aca="false">IF($A102="","",COUNTIFS($H$2:$H$1001,$A102,$D$2:$D$1001,"Reuse"))</f>
        <v/>
      </c>
    </row>
    <row r="103" customFormat="false" ht="15" hidden="false" customHeight="false" outlineLevel="0" collapsed="false">
      <c r="A103" s="24"/>
      <c r="B103" s="27"/>
      <c r="C103" s="24"/>
      <c r="D103" s="28"/>
      <c r="E103" s="24"/>
      <c r="F103" s="24"/>
      <c r="G103" s="24"/>
      <c r="H103" s="24"/>
      <c r="I103" s="29" t="str">
        <f aca="false">IF($A103="","",COUNTIFS($H$2:$H$1001,$A103,$D$2:$D$1001,"Reuse"))</f>
        <v/>
      </c>
    </row>
    <row r="104" customFormat="false" ht="15" hidden="false" customHeight="false" outlineLevel="0" collapsed="false">
      <c r="A104" s="24"/>
      <c r="B104" s="27"/>
      <c r="C104" s="24"/>
      <c r="D104" s="28"/>
      <c r="E104" s="24"/>
      <c r="F104" s="24"/>
      <c r="G104" s="24"/>
      <c r="H104" s="24"/>
      <c r="I104" s="29" t="str">
        <f aca="false">IF($A104="","",COUNTIFS($H$2:$H$1001,$A104,$D$2:$D$1001,"Reuse"))</f>
        <v/>
      </c>
    </row>
    <row r="105" customFormat="false" ht="15" hidden="false" customHeight="false" outlineLevel="0" collapsed="false">
      <c r="A105" s="24"/>
      <c r="B105" s="27"/>
      <c r="C105" s="24"/>
      <c r="D105" s="28"/>
      <c r="E105" s="24"/>
      <c r="F105" s="24"/>
      <c r="G105" s="24"/>
      <c r="H105" s="24"/>
      <c r="I105" s="29" t="str">
        <f aca="false">IF($A105="","",COUNTIFS($H$2:$H$1001,$A105,$D$2:$D$1001,"Reuse"))</f>
        <v/>
      </c>
    </row>
    <row r="106" customFormat="false" ht="15" hidden="false" customHeight="false" outlineLevel="0" collapsed="false">
      <c r="A106" s="24"/>
      <c r="B106" s="27"/>
      <c r="C106" s="24"/>
      <c r="D106" s="28"/>
      <c r="E106" s="24"/>
      <c r="F106" s="24"/>
      <c r="G106" s="24"/>
      <c r="H106" s="24"/>
      <c r="I106" s="29" t="str">
        <f aca="false">IF($A106="","",COUNTIFS($H$2:$H$1001,$A106,$D$2:$D$1001,"Reuse"))</f>
        <v/>
      </c>
    </row>
    <row r="107" customFormat="false" ht="15" hidden="false" customHeight="false" outlineLevel="0" collapsed="false">
      <c r="A107" s="24"/>
      <c r="B107" s="27"/>
      <c r="C107" s="24"/>
      <c r="D107" s="28"/>
      <c r="E107" s="24"/>
      <c r="F107" s="24"/>
      <c r="G107" s="24"/>
      <c r="H107" s="24"/>
      <c r="I107" s="29" t="str">
        <f aca="false">IF($A107="","",COUNTIFS($H$2:$H$1001,$A107,$D$2:$D$1001,"Reuse"))</f>
        <v/>
      </c>
    </row>
    <row r="108" customFormat="false" ht="15" hidden="false" customHeight="false" outlineLevel="0" collapsed="false">
      <c r="A108" s="24"/>
      <c r="B108" s="27"/>
      <c r="C108" s="24"/>
      <c r="D108" s="28"/>
      <c r="E108" s="24"/>
      <c r="F108" s="24"/>
      <c r="G108" s="24"/>
      <c r="H108" s="24"/>
      <c r="I108" s="29" t="str">
        <f aca="false">IF($A108="","",COUNTIFS($H$2:$H$1001,$A108,$D$2:$D$1001,"Reuse"))</f>
        <v/>
      </c>
    </row>
    <row r="109" customFormat="false" ht="15" hidden="false" customHeight="false" outlineLevel="0" collapsed="false">
      <c r="A109" s="24"/>
      <c r="B109" s="27"/>
      <c r="C109" s="24"/>
      <c r="D109" s="28"/>
      <c r="E109" s="24"/>
      <c r="F109" s="24"/>
      <c r="G109" s="24"/>
      <c r="H109" s="24"/>
      <c r="I109" s="29" t="str">
        <f aca="false">IF($A109="","",COUNTIFS($H$2:$H$1001,$A109,$D$2:$D$1001,"Reuse"))</f>
        <v/>
      </c>
    </row>
    <row r="110" customFormat="false" ht="15" hidden="false" customHeight="false" outlineLevel="0" collapsed="false">
      <c r="A110" s="24"/>
      <c r="B110" s="27"/>
      <c r="C110" s="24"/>
      <c r="D110" s="28"/>
      <c r="E110" s="24"/>
      <c r="F110" s="24"/>
      <c r="G110" s="24"/>
      <c r="H110" s="24"/>
      <c r="I110" s="29" t="str">
        <f aca="false">IF($A110="","",COUNTIFS($H$2:$H$1001,$A110,$D$2:$D$1001,"Reuse"))</f>
        <v/>
      </c>
    </row>
    <row r="111" customFormat="false" ht="15" hidden="false" customHeight="false" outlineLevel="0" collapsed="false">
      <c r="A111" s="24"/>
      <c r="B111" s="27"/>
      <c r="C111" s="24"/>
      <c r="D111" s="28"/>
      <c r="E111" s="24"/>
      <c r="F111" s="24"/>
      <c r="G111" s="24"/>
      <c r="H111" s="24"/>
      <c r="I111" s="29" t="str">
        <f aca="false">IF($A111="","",COUNTIFS($H$2:$H$1001,$A111,$D$2:$D$1001,"Reuse"))</f>
        <v/>
      </c>
    </row>
    <row r="112" customFormat="false" ht="15" hidden="false" customHeight="false" outlineLevel="0" collapsed="false">
      <c r="A112" s="24"/>
      <c r="B112" s="27"/>
      <c r="C112" s="24"/>
      <c r="D112" s="28"/>
      <c r="E112" s="24"/>
      <c r="F112" s="24"/>
      <c r="G112" s="24"/>
      <c r="H112" s="24"/>
      <c r="I112" s="29" t="str">
        <f aca="false">IF($A112="","",COUNTIFS($H$2:$H$1001,$A112,$D$2:$D$1001,"Reuse"))</f>
        <v/>
      </c>
    </row>
    <row r="113" customFormat="false" ht="15" hidden="false" customHeight="false" outlineLevel="0" collapsed="false">
      <c r="A113" s="24"/>
      <c r="B113" s="27"/>
      <c r="C113" s="24"/>
      <c r="D113" s="28"/>
      <c r="E113" s="24"/>
      <c r="F113" s="24"/>
      <c r="G113" s="24"/>
      <c r="H113" s="24"/>
      <c r="I113" s="29" t="str">
        <f aca="false">IF($A113="","",COUNTIFS($H$2:$H$1001,$A113,$D$2:$D$1001,"Reuse"))</f>
        <v/>
      </c>
    </row>
    <row r="114" customFormat="false" ht="15" hidden="false" customHeight="false" outlineLevel="0" collapsed="false">
      <c r="A114" s="24"/>
      <c r="B114" s="27"/>
      <c r="C114" s="24"/>
      <c r="D114" s="28"/>
      <c r="E114" s="24"/>
      <c r="F114" s="24"/>
      <c r="G114" s="24"/>
      <c r="H114" s="24"/>
      <c r="I114" s="29" t="str">
        <f aca="false">IF($A114="","",COUNTIFS($H$2:$H$1001,$A114,$D$2:$D$1001,"Reuse"))</f>
        <v/>
      </c>
    </row>
    <row r="115" customFormat="false" ht="15" hidden="false" customHeight="false" outlineLevel="0" collapsed="false">
      <c r="A115" s="24"/>
      <c r="B115" s="27"/>
      <c r="C115" s="24"/>
      <c r="D115" s="28"/>
      <c r="E115" s="24"/>
      <c r="F115" s="24"/>
      <c r="G115" s="24"/>
      <c r="H115" s="24"/>
      <c r="I115" s="29" t="str">
        <f aca="false">IF($A115="","",COUNTIFS($H$2:$H$1001,$A115,$D$2:$D$1001,"Reuse"))</f>
        <v/>
      </c>
    </row>
    <row r="116" customFormat="false" ht="15" hidden="false" customHeight="false" outlineLevel="0" collapsed="false">
      <c r="A116" s="24"/>
      <c r="B116" s="27"/>
      <c r="C116" s="24"/>
      <c r="D116" s="28"/>
      <c r="E116" s="24"/>
      <c r="F116" s="24"/>
      <c r="G116" s="24"/>
      <c r="H116" s="24"/>
      <c r="I116" s="29" t="str">
        <f aca="false">IF($A116="","",COUNTIFS($H$2:$H$1001,$A116,$D$2:$D$1001,"Reuse"))</f>
        <v/>
      </c>
    </row>
    <row r="117" customFormat="false" ht="15" hidden="false" customHeight="false" outlineLevel="0" collapsed="false">
      <c r="A117" s="24"/>
      <c r="B117" s="27"/>
      <c r="C117" s="24"/>
      <c r="D117" s="28"/>
      <c r="E117" s="24"/>
      <c r="F117" s="24"/>
      <c r="G117" s="24"/>
      <c r="H117" s="24"/>
      <c r="I117" s="29" t="str">
        <f aca="false">IF($A117="","",COUNTIFS($H$2:$H$1001,$A117,$D$2:$D$1001,"Reuse"))</f>
        <v/>
      </c>
    </row>
    <row r="118" customFormat="false" ht="15" hidden="false" customHeight="false" outlineLevel="0" collapsed="false">
      <c r="A118" s="24"/>
      <c r="B118" s="27"/>
      <c r="C118" s="24"/>
      <c r="D118" s="28"/>
      <c r="E118" s="24"/>
      <c r="F118" s="24"/>
      <c r="G118" s="24"/>
      <c r="H118" s="24"/>
      <c r="I118" s="29" t="str">
        <f aca="false">IF($A118="","",COUNTIFS($H$2:$H$1001,$A118,$D$2:$D$1001,"Reuse"))</f>
        <v/>
      </c>
    </row>
    <row r="119" customFormat="false" ht="15" hidden="false" customHeight="false" outlineLevel="0" collapsed="false">
      <c r="A119" s="24"/>
      <c r="B119" s="27"/>
      <c r="C119" s="24"/>
      <c r="D119" s="28"/>
      <c r="E119" s="24"/>
      <c r="F119" s="24"/>
      <c r="G119" s="24"/>
      <c r="H119" s="24"/>
      <c r="I119" s="29" t="str">
        <f aca="false">IF($A119="","",COUNTIFS($H$2:$H$1001,$A119,$D$2:$D$1001,"Reuse"))</f>
        <v/>
      </c>
    </row>
    <row r="120" customFormat="false" ht="15" hidden="false" customHeight="false" outlineLevel="0" collapsed="false">
      <c r="A120" s="24"/>
      <c r="B120" s="27"/>
      <c r="C120" s="24"/>
      <c r="D120" s="28"/>
      <c r="E120" s="24"/>
      <c r="F120" s="24"/>
      <c r="G120" s="24"/>
      <c r="H120" s="24"/>
      <c r="I120" s="29" t="str">
        <f aca="false">IF($A120="","",COUNTIFS($H$2:$H$1001,$A120,$D$2:$D$1001,"Reuse"))</f>
        <v/>
      </c>
    </row>
    <row r="121" customFormat="false" ht="15" hidden="false" customHeight="false" outlineLevel="0" collapsed="false">
      <c r="A121" s="24"/>
      <c r="B121" s="27"/>
      <c r="C121" s="24"/>
      <c r="D121" s="28"/>
      <c r="E121" s="24"/>
      <c r="F121" s="24"/>
      <c r="G121" s="24"/>
      <c r="H121" s="24"/>
      <c r="I121" s="29" t="str">
        <f aca="false">IF($A121="","",COUNTIFS($H$2:$H$1001,$A121,$D$2:$D$1001,"Reuse"))</f>
        <v/>
      </c>
    </row>
    <row r="122" customFormat="false" ht="15" hidden="false" customHeight="false" outlineLevel="0" collapsed="false">
      <c r="A122" s="24"/>
      <c r="B122" s="27"/>
      <c r="C122" s="24"/>
      <c r="D122" s="28"/>
      <c r="E122" s="24"/>
      <c r="F122" s="24"/>
      <c r="G122" s="24"/>
      <c r="H122" s="24"/>
      <c r="I122" s="29" t="str">
        <f aca="false">IF($A122="","",COUNTIFS($H$2:$H$1001,$A122,$D$2:$D$1001,"Reuse"))</f>
        <v/>
      </c>
    </row>
    <row r="123" customFormat="false" ht="15" hidden="false" customHeight="false" outlineLevel="0" collapsed="false">
      <c r="A123" s="24"/>
      <c r="B123" s="27"/>
      <c r="C123" s="24"/>
      <c r="D123" s="28"/>
      <c r="E123" s="24"/>
      <c r="F123" s="24"/>
      <c r="G123" s="24"/>
      <c r="H123" s="24"/>
      <c r="I123" s="29" t="str">
        <f aca="false">IF($A123="","",COUNTIFS($H$2:$H$1001,$A123,$D$2:$D$1001,"Reuse"))</f>
        <v/>
      </c>
    </row>
    <row r="124" customFormat="false" ht="15" hidden="false" customHeight="false" outlineLevel="0" collapsed="false">
      <c r="A124" s="24"/>
      <c r="B124" s="27"/>
      <c r="C124" s="24"/>
      <c r="D124" s="28"/>
      <c r="E124" s="24"/>
      <c r="F124" s="24"/>
      <c r="G124" s="24"/>
      <c r="H124" s="24"/>
      <c r="I124" s="29" t="str">
        <f aca="false">IF($A124="","",COUNTIFS($H$2:$H$1001,$A124,$D$2:$D$1001,"Reuse"))</f>
        <v/>
      </c>
    </row>
    <row r="125" customFormat="false" ht="15" hidden="false" customHeight="false" outlineLevel="0" collapsed="false">
      <c r="A125" s="24"/>
      <c r="B125" s="27"/>
      <c r="C125" s="24"/>
      <c r="D125" s="28"/>
      <c r="E125" s="24"/>
      <c r="F125" s="24"/>
      <c r="G125" s="24"/>
      <c r="H125" s="24"/>
      <c r="I125" s="29" t="str">
        <f aca="false">IF($A125="","",COUNTIFS($H$2:$H$1001,$A125,$D$2:$D$1001,"Reuse"))</f>
        <v/>
      </c>
    </row>
    <row r="126" customFormat="false" ht="15" hidden="false" customHeight="false" outlineLevel="0" collapsed="false">
      <c r="A126" s="24"/>
      <c r="B126" s="27"/>
      <c r="C126" s="24"/>
      <c r="D126" s="28"/>
      <c r="E126" s="24"/>
      <c r="F126" s="24"/>
      <c r="G126" s="24"/>
      <c r="H126" s="24"/>
      <c r="I126" s="29" t="str">
        <f aca="false">IF($A126="","",COUNTIFS($H$2:$H$1001,$A126,$D$2:$D$1001,"Reuse"))</f>
        <v/>
      </c>
    </row>
    <row r="127" customFormat="false" ht="15" hidden="false" customHeight="false" outlineLevel="0" collapsed="false">
      <c r="A127" s="24"/>
      <c r="B127" s="27"/>
      <c r="C127" s="24"/>
      <c r="D127" s="28"/>
      <c r="E127" s="24"/>
      <c r="F127" s="24"/>
      <c r="G127" s="24"/>
      <c r="H127" s="24"/>
      <c r="I127" s="29" t="str">
        <f aca="false">IF($A127="","",COUNTIFS($H$2:$H$1001,$A127,$D$2:$D$1001,"Reuse"))</f>
        <v/>
      </c>
    </row>
    <row r="128" customFormat="false" ht="15" hidden="false" customHeight="false" outlineLevel="0" collapsed="false">
      <c r="A128" s="24"/>
      <c r="B128" s="27"/>
      <c r="C128" s="24"/>
      <c r="D128" s="28"/>
      <c r="E128" s="24"/>
      <c r="F128" s="24"/>
      <c r="G128" s="24"/>
      <c r="H128" s="24"/>
      <c r="I128" s="29" t="str">
        <f aca="false">IF($A128="","",COUNTIFS($H$2:$H$1001,$A128,$D$2:$D$1001,"Reuse"))</f>
        <v/>
      </c>
    </row>
    <row r="129" customFormat="false" ht="15" hidden="false" customHeight="false" outlineLevel="0" collapsed="false">
      <c r="A129" s="24"/>
      <c r="B129" s="27"/>
      <c r="C129" s="24"/>
      <c r="D129" s="28"/>
      <c r="E129" s="24"/>
      <c r="F129" s="24"/>
      <c r="G129" s="24"/>
      <c r="H129" s="24"/>
      <c r="I129" s="29" t="str">
        <f aca="false">IF($A129="","",COUNTIFS($H$2:$H$1001,$A129,$D$2:$D$1001,"Reuse"))</f>
        <v/>
      </c>
    </row>
    <row r="130" customFormat="false" ht="15" hidden="false" customHeight="false" outlineLevel="0" collapsed="false">
      <c r="A130" s="24"/>
      <c r="B130" s="27"/>
      <c r="C130" s="24"/>
      <c r="D130" s="28"/>
      <c r="E130" s="24"/>
      <c r="F130" s="24"/>
      <c r="G130" s="24"/>
      <c r="H130" s="24"/>
      <c r="I130" s="29" t="str">
        <f aca="false">IF($A130="","",COUNTIFS($H$2:$H$1001,$A130,$D$2:$D$1001,"Reuse"))</f>
        <v/>
      </c>
    </row>
    <row r="131" customFormat="false" ht="15" hidden="false" customHeight="false" outlineLevel="0" collapsed="false">
      <c r="A131" s="24"/>
      <c r="B131" s="27"/>
      <c r="C131" s="24"/>
      <c r="D131" s="28"/>
      <c r="E131" s="24"/>
      <c r="F131" s="24"/>
      <c r="G131" s="24"/>
      <c r="H131" s="24"/>
      <c r="I131" s="29" t="str">
        <f aca="false">IF($A131="","",COUNTIFS($H$2:$H$1001,$A131,$D$2:$D$1001,"Reuse"))</f>
        <v/>
      </c>
    </row>
    <row r="132" customFormat="false" ht="15" hidden="false" customHeight="false" outlineLevel="0" collapsed="false">
      <c r="A132" s="24"/>
      <c r="B132" s="27"/>
      <c r="C132" s="24"/>
      <c r="D132" s="28"/>
      <c r="E132" s="24"/>
      <c r="F132" s="24"/>
      <c r="G132" s="24"/>
      <c r="H132" s="24"/>
      <c r="I132" s="29" t="str">
        <f aca="false">IF($A132="","",COUNTIFS($H$2:$H$1001,$A132,$D$2:$D$1001,"Reuse"))</f>
        <v/>
      </c>
    </row>
    <row r="133" customFormat="false" ht="15" hidden="false" customHeight="false" outlineLevel="0" collapsed="false">
      <c r="A133" s="24"/>
      <c r="B133" s="27"/>
      <c r="C133" s="24"/>
      <c r="D133" s="28"/>
      <c r="E133" s="24"/>
      <c r="F133" s="24"/>
      <c r="G133" s="24"/>
      <c r="H133" s="24"/>
      <c r="I133" s="29" t="str">
        <f aca="false">IF($A133="","",COUNTIFS($H$2:$H$1001,$A133,$D$2:$D$1001,"Reuse"))</f>
        <v/>
      </c>
    </row>
    <row r="134" customFormat="false" ht="15" hidden="false" customHeight="false" outlineLevel="0" collapsed="false">
      <c r="A134" s="24"/>
      <c r="B134" s="27"/>
      <c r="C134" s="24"/>
      <c r="D134" s="28"/>
      <c r="E134" s="24"/>
      <c r="F134" s="24"/>
      <c r="G134" s="24"/>
      <c r="H134" s="24"/>
      <c r="I134" s="29" t="str">
        <f aca="false">IF($A134="","",COUNTIFS($H$2:$H$1001,$A134,$D$2:$D$1001,"Reuse"))</f>
        <v/>
      </c>
    </row>
    <row r="135" customFormat="false" ht="15" hidden="false" customHeight="false" outlineLevel="0" collapsed="false">
      <c r="A135" s="24"/>
      <c r="B135" s="27"/>
      <c r="C135" s="24"/>
      <c r="D135" s="28"/>
      <c r="E135" s="24"/>
      <c r="F135" s="24"/>
      <c r="G135" s="24"/>
      <c r="H135" s="24"/>
      <c r="I135" s="29" t="str">
        <f aca="false">IF($A135="","",COUNTIFS($H$2:$H$1001,$A135,$D$2:$D$1001,"Reuse"))</f>
        <v/>
      </c>
    </row>
    <row r="136" customFormat="false" ht="15" hidden="false" customHeight="false" outlineLevel="0" collapsed="false">
      <c r="A136" s="24"/>
      <c r="B136" s="27"/>
      <c r="C136" s="24"/>
      <c r="D136" s="28"/>
      <c r="E136" s="24"/>
      <c r="F136" s="24"/>
      <c r="G136" s="24"/>
      <c r="H136" s="24"/>
      <c r="I136" s="29" t="str">
        <f aca="false">IF($A136="","",COUNTIFS($H$2:$H$1001,$A136,$D$2:$D$1001,"Reuse"))</f>
        <v/>
      </c>
    </row>
    <row r="137" customFormat="false" ht="15" hidden="false" customHeight="false" outlineLevel="0" collapsed="false">
      <c r="A137" s="24"/>
      <c r="B137" s="27"/>
      <c r="C137" s="24"/>
      <c r="D137" s="28"/>
      <c r="E137" s="24"/>
      <c r="F137" s="24"/>
      <c r="G137" s="24"/>
      <c r="H137" s="24"/>
      <c r="I137" s="29" t="str">
        <f aca="false">IF($A137="","",COUNTIFS($H$2:$H$1001,$A137,$D$2:$D$1001,"Reuse"))</f>
        <v/>
      </c>
    </row>
    <row r="138" customFormat="false" ht="15" hidden="false" customHeight="false" outlineLevel="0" collapsed="false">
      <c r="A138" s="24"/>
      <c r="B138" s="27"/>
      <c r="C138" s="24"/>
      <c r="D138" s="28"/>
      <c r="E138" s="24"/>
      <c r="F138" s="24"/>
      <c r="G138" s="24"/>
      <c r="H138" s="24"/>
      <c r="I138" s="29" t="str">
        <f aca="false">IF($A138="","",COUNTIFS($H$2:$H$1001,$A138,$D$2:$D$1001,"Reuse"))</f>
        <v/>
      </c>
    </row>
    <row r="139" customFormat="false" ht="15" hidden="false" customHeight="false" outlineLevel="0" collapsed="false">
      <c r="A139" s="24"/>
      <c r="B139" s="27"/>
      <c r="C139" s="24"/>
      <c r="D139" s="28"/>
      <c r="E139" s="24"/>
      <c r="F139" s="24"/>
      <c r="G139" s="24"/>
      <c r="H139" s="24"/>
      <c r="I139" s="29" t="str">
        <f aca="false">IF($A139="","",COUNTIFS($H$2:$H$1001,$A139,$D$2:$D$1001,"Reuse"))</f>
        <v/>
      </c>
    </row>
    <row r="140" customFormat="false" ht="15" hidden="false" customHeight="false" outlineLevel="0" collapsed="false">
      <c r="A140" s="24"/>
      <c r="B140" s="27"/>
      <c r="C140" s="24"/>
      <c r="D140" s="28"/>
      <c r="E140" s="24"/>
      <c r="F140" s="24"/>
      <c r="G140" s="24"/>
      <c r="H140" s="24"/>
      <c r="I140" s="29" t="str">
        <f aca="false">IF($A140="","",COUNTIFS($H$2:$H$1001,$A140,$D$2:$D$1001,"Reuse"))</f>
        <v/>
      </c>
    </row>
    <row r="141" customFormat="false" ht="15" hidden="false" customHeight="false" outlineLevel="0" collapsed="false">
      <c r="A141" s="24"/>
      <c r="B141" s="27"/>
      <c r="C141" s="24"/>
      <c r="D141" s="28"/>
      <c r="E141" s="24"/>
      <c r="F141" s="24"/>
      <c r="G141" s="24"/>
      <c r="H141" s="24"/>
      <c r="I141" s="29" t="str">
        <f aca="false">IF($A141="","",COUNTIFS($H$2:$H$1001,$A141,$D$2:$D$1001,"Reuse"))</f>
        <v/>
      </c>
    </row>
    <row r="142" customFormat="false" ht="15" hidden="false" customHeight="false" outlineLevel="0" collapsed="false">
      <c r="A142" s="24"/>
      <c r="B142" s="27"/>
      <c r="C142" s="24"/>
      <c r="D142" s="28"/>
      <c r="E142" s="24"/>
      <c r="F142" s="24"/>
      <c r="G142" s="24"/>
      <c r="H142" s="24"/>
      <c r="I142" s="29" t="str">
        <f aca="false">IF($A142="","",COUNTIFS($H$2:$H$1001,$A142,$D$2:$D$1001,"Reuse"))</f>
        <v/>
      </c>
    </row>
    <row r="143" customFormat="false" ht="15" hidden="false" customHeight="false" outlineLevel="0" collapsed="false">
      <c r="A143" s="24"/>
      <c r="B143" s="27"/>
      <c r="C143" s="24"/>
      <c r="D143" s="28"/>
      <c r="E143" s="24"/>
      <c r="F143" s="24"/>
      <c r="G143" s="24"/>
      <c r="H143" s="24"/>
      <c r="I143" s="29" t="str">
        <f aca="false">IF($A143="","",COUNTIFS($H$2:$H$1001,$A143,$D$2:$D$1001,"Reuse"))</f>
        <v/>
      </c>
    </row>
    <row r="144" customFormat="false" ht="15" hidden="false" customHeight="false" outlineLevel="0" collapsed="false">
      <c r="A144" s="24"/>
      <c r="B144" s="27"/>
      <c r="C144" s="24"/>
      <c r="D144" s="28"/>
      <c r="E144" s="24"/>
      <c r="F144" s="24"/>
      <c r="G144" s="24"/>
      <c r="H144" s="24"/>
      <c r="I144" s="29" t="str">
        <f aca="false">IF($A144="","",COUNTIFS($H$2:$H$1001,$A144,$D$2:$D$1001,"Reuse"))</f>
        <v/>
      </c>
    </row>
    <row r="145" customFormat="false" ht="15" hidden="false" customHeight="false" outlineLevel="0" collapsed="false">
      <c r="A145" s="24"/>
      <c r="B145" s="27"/>
      <c r="C145" s="24"/>
      <c r="D145" s="28"/>
      <c r="E145" s="24"/>
      <c r="F145" s="24"/>
      <c r="G145" s="24"/>
      <c r="H145" s="24"/>
      <c r="I145" s="29" t="str">
        <f aca="false">IF($A145="","",COUNTIFS($H$2:$H$1001,$A145,$D$2:$D$1001,"Reuse"))</f>
        <v/>
      </c>
    </row>
    <row r="146" customFormat="false" ht="15" hidden="false" customHeight="false" outlineLevel="0" collapsed="false">
      <c r="A146" s="24"/>
      <c r="B146" s="27"/>
      <c r="C146" s="24"/>
      <c r="D146" s="28"/>
      <c r="E146" s="24"/>
      <c r="F146" s="24"/>
      <c r="G146" s="24"/>
      <c r="H146" s="24"/>
      <c r="I146" s="29" t="str">
        <f aca="false">IF($A146="","",COUNTIFS($H$2:$H$1001,$A146,$D$2:$D$1001,"Reuse"))</f>
        <v/>
      </c>
    </row>
    <row r="147" customFormat="false" ht="15" hidden="false" customHeight="false" outlineLevel="0" collapsed="false">
      <c r="A147" s="24"/>
      <c r="B147" s="27"/>
      <c r="C147" s="24"/>
      <c r="D147" s="28"/>
      <c r="E147" s="24"/>
      <c r="F147" s="24"/>
      <c r="G147" s="24"/>
      <c r="H147" s="24"/>
      <c r="I147" s="29" t="str">
        <f aca="false">IF($A147="","",COUNTIFS($H$2:$H$1001,$A147,$D$2:$D$1001,"Reuse"))</f>
        <v/>
      </c>
    </row>
    <row r="148" customFormat="false" ht="15" hidden="false" customHeight="false" outlineLevel="0" collapsed="false">
      <c r="A148" s="24"/>
      <c r="B148" s="27"/>
      <c r="C148" s="24"/>
      <c r="D148" s="28"/>
      <c r="E148" s="24"/>
      <c r="F148" s="24"/>
      <c r="G148" s="24"/>
      <c r="H148" s="24"/>
      <c r="I148" s="29" t="str">
        <f aca="false">IF($A148="","",COUNTIFS($H$2:$H$1001,$A148,$D$2:$D$1001,"Reuse"))</f>
        <v/>
      </c>
    </row>
    <row r="149" customFormat="false" ht="15" hidden="false" customHeight="false" outlineLevel="0" collapsed="false">
      <c r="A149" s="24"/>
      <c r="B149" s="27"/>
      <c r="C149" s="24"/>
      <c r="D149" s="28"/>
      <c r="E149" s="24"/>
      <c r="F149" s="24"/>
      <c r="G149" s="24"/>
      <c r="H149" s="24"/>
      <c r="I149" s="29" t="str">
        <f aca="false">IF($A149="","",COUNTIFS($H$2:$H$1001,$A149,$D$2:$D$1001,"Reuse"))</f>
        <v/>
      </c>
    </row>
    <row r="150" customFormat="false" ht="15" hidden="false" customHeight="false" outlineLevel="0" collapsed="false">
      <c r="A150" s="24"/>
      <c r="B150" s="27"/>
      <c r="C150" s="24"/>
      <c r="D150" s="28"/>
      <c r="E150" s="24"/>
      <c r="F150" s="24"/>
      <c r="G150" s="24"/>
      <c r="H150" s="24"/>
      <c r="I150" s="29" t="str">
        <f aca="false">IF($A150="","",COUNTIFS($H$2:$H$1001,$A150,$D$2:$D$1001,"Reuse"))</f>
        <v/>
      </c>
    </row>
    <row r="151" customFormat="false" ht="15" hidden="false" customHeight="false" outlineLevel="0" collapsed="false">
      <c r="A151" s="24"/>
      <c r="B151" s="27"/>
      <c r="C151" s="24"/>
      <c r="D151" s="28"/>
      <c r="E151" s="24"/>
      <c r="F151" s="24"/>
      <c r="G151" s="24"/>
      <c r="H151" s="24"/>
      <c r="I151" s="29" t="str">
        <f aca="false">IF($A151="","",COUNTIFS($H$2:$H$1001,$A151,$D$2:$D$1001,"Reuse"))</f>
        <v/>
      </c>
    </row>
    <row r="152" customFormat="false" ht="15" hidden="false" customHeight="false" outlineLevel="0" collapsed="false">
      <c r="A152" s="24"/>
      <c r="B152" s="27"/>
      <c r="C152" s="24"/>
      <c r="D152" s="28"/>
      <c r="E152" s="24"/>
      <c r="F152" s="24"/>
      <c r="G152" s="24"/>
      <c r="H152" s="24"/>
      <c r="I152" s="29" t="str">
        <f aca="false">IF($A152="","",COUNTIFS($H$2:$H$1001,$A152,$D$2:$D$1001,"Reuse"))</f>
        <v/>
      </c>
    </row>
    <row r="153" customFormat="false" ht="15" hidden="false" customHeight="false" outlineLevel="0" collapsed="false">
      <c r="A153" s="24"/>
      <c r="B153" s="27"/>
      <c r="C153" s="24"/>
      <c r="D153" s="28"/>
      <c r="E153" s="24"/>
      <c r="F153" s="24"/>
      <c r="G153" s="24"/>
      <c r="H153" s="24"/>
      <c r="I153" s="29" t="str">
        <f aca="false">IF($A153="","",COUNTIFS($H$2:$H$1001,$A153,$D$2:$D$1001,"Reuse"))</f>
        <v/>
      </c>
    </row>
    <row r="154" customFormat="false" ht="15" hidden="false" customHeight="false" outlineLevel="0" collapsed="false">
      <c r="A154" s="24"/>
      <c r="B154" s="27"/>
      <c r="C154" s="24"/>
      <c r="D154" s="28"/>
      <c r="E154" s="24"/>
      <c r="F154" s="24"/>
      <c r="G154" s="24"/>
      <c r="H154" s="24"/>
      <c r="I154" s="29" t="str">
        <f aca="false">IF($A154="","",COUNTIFS($H$2:$H$1001,$A154,$D$2:$D$1001,"Reuse"))</f>
        <v/>
      </c>
    </row>
    <row r="155" customFormat="false" ht="15" hidden="false" customHeight="false" outlineLevel="0" collapsed="false">
      <c r="A155" s="24"/>
      <c r="B155" s="27"/>
      <c r="C155" s="24"/>
      <c r="D155" s="28"/>
      <c r="E155" s="24"/>
      <c r="F155" s="24"/>
      <c r="G155" s="24"/>
      <c r="H155" s="24"/>
      <c r="I155" s="29" t="str">
        <f aca="false">IF($A155="","",COUNTIFS($H$2:$H$1001,$A155,$D$2:$D$1001,"Reuse"))</f>
        <v/>
      </c>
    </row>
    <row r="156" customFormat="false" ht="15" hidden="false" customHeight="false" outlineLevel="0" collapsed="false">
      <c r="A156" s="24"/>
      <c r="B156" s="27"/>
      <c r="C156" s="24"/>
      <c r="D156" s="28"/>
      <c r="E156" s="24"/>
      <c r="F156" s="24"/>
      <c r="G156" s="24"/>
      <c r="H156" s="24"/>
      <c r="I156" s="29" t="str">
        <f aca="false">IF($A156="","",COUNTIFS($H$2:$H$1001,$A156,$D$2:$D$1001,"Reuse"))</f>
        <v/>
      </c>
    </row>
    <row r="157" customFormat="false" ht="15" hidden="false" customHeight="false" outlineLevel="0" collapsed="false">
      <c r="A157" s="24"/>
      <c r="B157" s="27"/>
      <c r="C157" s="24"/>
      <c r="D157" s="28"/>
      <c r="E157" s="24"/>
      <c r="F157" s="24"/>
      <c r="G157" s="24"/>
      <c r="H157" s="24"/>
      <c r="I157" s="29" t="str">
        <f aca="false">IF($A157="","",COUNTIFS($H$2:$H$1001,$A157,$D$2:$D$1001,"Reuse"))</f>
        <v/>
      </c>
    </row>
    <row r="158" customFormat="false" ht="15" hidden="false" customHeight="false" outlineLevel="0" collapsed="false">
      <c r="A158" s="24"/>
      <c r="B158" s="27"/>
      <c r="C158" s="24"/>
      <c r="D158" s="28"/>
      <c r="E158" s="24"/>
      <c r="F158" s="24"/>
      <c r="G158" s="24"/>
      <c r="H158" s="24"/>
      <c r="I158" s="29" t="str">
        <f aca="false">IF($A158="","",COUNTIFS($H$2:$H$1001,$A158,$D$2:$D$1001,"Reuse"))</f>
        <v/>
      </c>
    </row>
    <row r="159" customFormat="false" ht="15" hidden="false" customHeight="false" outlineLevel="0" collapsed="false">
      <c r="A159" s="24"/>
      <c r="B159" s="27"/>
      <c r="C159" s="24"/>
      <c r="D159" s="28"/>
      <c r="E159" s="24"/>
      <c r="F159" s="24"/>
      <c r="G159" s="24"/>
      <c r="H159" s="24"/>
      <c r="I159" s="29" t="str">
        <f aca="false">IF($A159="","",COUNTIFS($H$2:$H$1001,$A159,$D$2:$D$1001,"Reuse"))</f>
        <v/>
      </c>
    </row>
    <row r="160" customFormat="false" ht="15" hidden="false" customHeight="false" outlineLevel="0" collapsed="false">
      <c r="A160" s="24"/>
      <c r="B160" s="27"/>
      <c r="C160" s="24"/>
      <c r="D160" s="28"/>
      <c r="E160" s="24"/>
      <c r="F160" s="24"/>
      <c r="G160" s="24"/>
      <c r="H160" s="24"/>
      <c r="I160" s="29" t="str">
        <f aca="false">IF($A160="","",COUNTIFS($H$2:$H$1001,$A160,$D$2:$D$1001,"Reuse"))</f>
        <v/>
      </c>
    </row>
    <row r="161" customFormat="false" ht="15" hidden="false" customHeight="false" outlineLevel="0" collapsed="false">
      <c r="A161" s="24"/>
      <c r="B161" s="27"/>
      <c r="C161" s="24"/>
      <c r="D161" s="28"/>
      <c r="E161" s="24"/>
      <c r="F161" s="24"/>
      <c r="G161" s="24"/>
      <c r="H161" s="24"/>
      <c r="I161" s="29" t="str">
        <f aca="false">IF($A161="","",COUNTIFS($H$2:$H$1001,$A161,$D$2:$D$1001,"Reuse"))</f>
        <v/>
      </c>
    </row>
    <row r="162" customFormat="false" ht="15" hidden="false" customHeight="false" outlineLevel="0" collapsed="false">
      <c r="A162" s="24"/>
      <c r="B162" s="27"/>
      <c r="C162" s="24"/>
      <c r="D162" s="28"/>
      <c r="E162" s="24"/>
      <c r="F162" s="24"/>
      <c r="G162" s="24"/>
      <c r="H162" s="24"/>
      <c r="I162" s="29" t="str">
        <f aca="false">IF($A162="","",COUNTIFS($H$2:$H$1001,$A162,$D$2:$D$1001,"Reuse"))</f>
        <v/>
      </c>
    </row>
    <row r="163" customFormat="false" ht="15" hidden="false" customHeight="false" outlineLevel="0" collapsed="false">
      <c r="A163" s="24"/>
      <c r="B163" s="27"/>
      <c r="C163" s="24"/>
      <c r="D163" s="28"/>
      <c r="E163" s="24"/>
      <c r="F163" s="24"/>
      <c r="G163" s="24"/>
      <c r="H163" s="24"/>
      <c r="I163" s="29" t="str">
        <f aca="false">IF($A163="","",COUNTIFS($H$2:$H$1001,$A163,$D$2:$D$1001,"Reuse"))</f>
        <v/>
      </c>
    </row>
    <row r="164" customFormat="false" ht="15" hidden="false" customHeight="false" outlineLevel="0" collapsed="false">
      <c r="A164" s="24"/>
      <c r="B164" s="27"/>
      <c r="C164" s="24"/>
      <c r="D164" s="28"/>
      <c r="E164" s="24"/>
      <c r="F164" s="24"/>
      <c r="G164" s="24"/>
      <c r="H164" s="24"/>
      <c r="I164" s="29" t="str">
        <f aca="false">IF($A164="","",COUNTIFS($H$2:$H$1001,$A164,$D$2:$D$1001,"Reuse"))</f>
        <v/>
      </c>
    </row>
    <row r="165" customFormat="false" ht="15" hidden="false" customHeight="false" outlineLevel="0" collapsed="false">
      <c r="A165" s="24"/>
      <c r="B165" s="27"/>
      <c r="C165" s="24"/>
      <c r="D165" s="28"/>
      <c r="E165" s="24"/>
      <c r="F165" s="24"/>
      <c r="G165" s="24"/>
      <c r="H165" s="24"/>
      <c r="I165" s="29" t="str">
        <f aca="false">IF($A165="","",COUNTIFS($H$2:$H$1001,$A165,$D$2:$D$1001,"Reuse"))</f>
        <v/>
      </c>
    </row>
    <row r="166" customFormat="false" ht="15" hidden="false" customHeight="false" outlineLevel="0" collapsed="false">
      <c r="A166" s="24"/>
      <c r="B166" s="27"/>
      <c r="C166" s="24"/>
      <c r="D166" s="28"/>
      <c r="E166" s="24"/>
      <c r="F166" s="24"/>
      <c r="G166" s="24"/>
      <c r="H166" s="24"/>
      <c r="I166" s="29" t="str">
        <f aca="false">IF($A166="","",COUNTIFS($H$2:$H$1001,$A166,$D$2:$D$1001,"Reuse"))</f>
        <v/>
      </c>
    </row>
    <row r="167" customFormat="false" ht="15" hidden="false" customHeight="false" outlineLevel="0" collapsed="false">
      <c r="A167" s="24"/>
      <c r="B167" s="27"/>
      <c r="C167" s="24"/>
      <c r="D167" s="28"/>
      <c r="E167" s="24"/>
      <c r="F167" s="24"/>
      <c r="G167" s="24"/>
      <c r="H167" s="24"/>
      <c r="I167" s="29" t="str">
        <f aca="false">IF($A167="","",COUNTIFS($H$2:$H$1001,$A167,$D$2:$D$1001,"Reuse"))</f>
        <v/>
      </c>
    </row>
    <row r="168" customFormat="false" ht="15" hidden="false" customHeight="false" outlineLevel="0" collapsed="false">
      <c r="A168" s="24"/>
      <c r="B168" s="27"/>
      <c r="C168" s="24"/>
      <c r="D168" s="28"/>
      <c r="E168" s="24"/>
      <c r="F168" s="24"/>
      <c r="G168" s="24"/>
      <c r="H168" s="24"/>
      <c r="I168" s="29" t="str">
        <f aca="false">IF($A168="","",COUNTIFS($H$2:$H$1001,$A168,$D$2:$D$1001,"Reuse"))</f>
        <v/>
      </c>
    </row>
    <row r="169" customFormat="false" ht="15" hidden="false" customHeight="false" outlineLevel="0" collapsed="false">
      <c r="A169" s="24"/>
      <c r="B169" s="27"/>
      <c r="C169" s="24"/>
      <c r="D169" s="28"/>
      <c r="E169" s="24"/>
      <c r="F169" s="24"/>
      <c r="G169" s="24"/>
      <c r="H169" s="24"/>
      <c r="I169" s="29" t="str">
        <f aca="false">IF($A169="","",COUNTIFS($H$2:$H$1001,$A169,$D$2:$D$1001,"Reuse"))</f>
        <v/>
      </c>
    </row>
    <row r="170" customFormat="false" ht="15" hidden="false" customHeight="false" outlineLevel="0" collapsed="false">
      <c r="A170" s="24"/>
      <c r="B170" s="27"/>
      <c r="C170" s="24"/>
      <c r="D170" s="28"/>
      <c r="E170" s="24"/>
      <c r="F170" s="24"/>
      <c r="G170" s="24"/>
      <c r="H170" s="24"/>
      <c r="I170" s="29" t="str">
        <f aca="false">IF($A170="","",COUNTIFS($H$2:$H$1001,$A170,$D$2:$D$1001,"Reuse"))</f>
        <v/>
      </c>
    </row>
    <row r="171" customFormat="false" ht="15" hidden="false" customHeight="false" outlineLevel="0" collapsed="false">
      <c r="A171" s="24"/>
      <c r="B171" s="27"/>
      <c r="C171" s="24"/>
      <c r="D171" s="28"/>
      <c r="E171" s="24"/>
      <c r="F171" s="24"/>
      <c r="G171" s="24"/>
      <c r="H171" s="24"/>
      <c r="I171" s="29" t="str">
        <f aca="false">IF($A171="","",COUNTIFS($H$2:$H$1001,$A171,$D$2:$D$1001,"Reuse"))</f>
        <v/>
      </c>
    </row>
    <row r="172" customFormat="false" ht="15" hidden="false" customHeight="false" outlineLevel="0" collapsed="false">
      <c r="A172" s="24"/>
      <c r="B172" s="27"/>
      <c r="C172" s="24"/>
      <c r="D172" s="28"/>
      <c r="E172" s="24"/>
      <c r="F172" s="24"/>
      <c r="G172" s="24"/>
      <c r="H172" s="24"/>
      <c r="I172" s="29" t="str">
        <f aca="false">IF($A172="","",COUNTIFS($H$2:$H$1001,$A172,$D$2:$D$1001,"Reuse"))</f>
        <v/>
      </c>
    </row>
    <row r="173" customFormat="false" ht="15" hidden="false" customHeight="false" outlineLevel="0" collapsed="false">
      <c r="A173" s="24"/>
      <c r="B173" s="27"/>
      <c r="C173" s="24"/>
      <c r="D173" s="28"/>
      <c r="E173" s="24"/>
      <c r="F173" s="24"/>
      <c r="G173" s="24"/>
      <c r="H173" s="24"/>
      <c r="I173" s="29" t="str">
        <f aca="false">IF($A173="","",COUNTIFS($H$2:$H$1001,$A173,$D$2:$D$1001,"Reuse"))</f>
        <v/>
      </c>
    </row>
    <row r="174" customFormat="false" ht="15" hidden="false" customHeight="false" outlineLevel="0" collapsed="false">
      <c r="A174" s="24"/>
      <c r="B174" s="27"/>
      <c r="C174" s="24"/>
      <c r="D174" s="28"/>
      <c r="E174" s="24"/>
      <c r="F174" s="24"/>
      <c r="G174" s="24"/>
      <c r="H174" s="24"/>
      <c r="I174" s="29" t="str">
        <f aca="false">IF($A174="","",COUNTIFS($H$2:$H$1001,$A174,$D$2:$D$1001,"Reuse"))</f>
        <v/>
      </c>
    </row>
    <row r="175" customFormat="false" ht="15" hidden="false" customHeight="false" outlineLevel="0" collapsed="false">
      <c r="A175" s="24"/>
      <c r="B175" s="27"/>
      <c r="C175" s="24"/>
      <c r="D175" s="28"/>
      <c r="E175" s="24"/>
      <c r="F175" s="24"/>
      <c r="G175" s="24"/>
      <c r="H175" s="24"/>
      <c r="I175" s="29" t="str">
        <f aca="false">IF($A175="","",COUNTIFS($H$2:$H$1001,$A175,$D$2:$D$1001,"Reuse"))</f>
        <v/>
      </c>
    </row>
    <row r="176" customFormat="false" ht="15" hidden="false" customHeight="false" outlineLevel="0" collapsed="false">
      <c r="A176" s="24"/>
      <c r="B176" s="27"/>
      <c r="C176" s="24"/>
      <c r="D176" s="28"/>
      <c r="E176" s="24"/>
      <c r="F176" s="24"/>
      <c r="G176" s="24"/>
      <c r="H176" s="24"/>
      <c r="I176" s="29" t="str">
        <f aca="false">IF($A176="","",COUNTIFS($H$2:$H$1001,$A176,$D$2:$D$1001,"Reuse"))</f>
        <v/>
      </c>
    </row>
    <row r="177" customFormat="false" ht="15" hidden="false" customHeight="false" outlineLevel="0" collapsed="false">
      <c r="A177" s="24"/>
      <c r="B177" s="27"/>
      <c r="C177" s="24"/>
      <c r="D177" s="28"/>
      <c r="E177" s="24"/>
      <c r="F177" s="24"/>
      <c r="G177" s="24"/>
      <c r="H177" s="24"/>
      <c r="I177" s="29" t="str">
        <f aca="false">IF($A177="","",COUNTIFS($H$2:$H$1001,$A177,$D$2:$D$1001,"Reuse"))</f>
        <v/>
      </c>
    </row>
    <row r="178" customFormat="false" ht="15" hidden="false" customHeight="false" outlineLevel="0" collapsed="false">
      <c r="A178" s="24"/>
      <c r="B178" s="27"/>
      <c r="C178" s="24"/>
      <c r="D178" s="28"/>
      <c r="E178" s="24"/>
      <c r="F178" s="24"/>
      <c r="G178" s="24"/>
      <c r="H178" s="24"/>
      <c r="I178" s="29" t="str">
        <f aca="false">IF($A178="","",COUNTIFS($H$2:$H$1001,$A178,$D$2:$D$1001,"Reuse"))</f>
        <v/>
      </c>
    </row>
    <row r="179" customFormat="false" ht="15" hidden="false" customHeight="false" outlineLevel="0" collapsed="false">
      <c r="A179" s="24"/>
      <c r="B179" s="27"/>
      <c r="C179" s="24"/>
      <c r="D179" s="28"/>
      <c r="E179" s="24"/>
      <c r="F179" s="24"/>
      <c r="G179" s="24"/>
      <c r="H179" s="24"/>
      <c r="I179" s="29" t="str">
        <f aca="false">IF($A179="","",COUNTIFS($H$2:$H$1001,$A179,$D$2:$D$1001,"Reuse"))</f>
        <v/>
      </c>
    </row>
    <row r="180" customFormat="false" ht="15" hidden="false" customHeight="false" outlineLevel="0" collapsed="false">
      <c r="A180" s="24"/>
      <c r="B180" s="27"/>
      <c r="C180" s="24"/>
      <c r="D180" s="28"/>
      <c r="E180" s="24"/>
      <c r="F180" s="24"/>
      <c r="G180" s="24"/>
      <c r="H180" s="24"/>
      <c r="I180" s="29" t="str">
        <f aca="false">IF($A180="","",COUNTIFS($H$2:$H$1001,$A180,$D$2:$D$1001,"Reuse"))</f>
        <v/>
      </c>
    </row>
    <row r="181" customFormat="false" ht="15" hidden="false" customHeight="false" outlineLevel="0" collapsed="false">
      <c r="A181" s="24"/>
      <c r="B181" s="27"/>
      <c r="C181" s="24"/>
      <c r="D181" s="28"/>
      <c r="E181" s="24"/>
      <c r="F181" s="24"/>
      <c r="G181" s="24"/>
      <c r="H181" s="24"/>
      <c r="I181" s="29" t="str">
        <f aca="false">IF($A181="","",COUNTIFS($H$2:$H$1001,$A181,$D$2:$D$1001,"Reuse"))</f>
        <v/>
      </c>
    </row>
    <row r="182" customFormat="false" ht="15" hidden="false" customHeight="false" outlineLevel="0" collapsed="false">
      <c r="A182" s="24"/>
      <c r="B182" s="27"/>
      <c r="C182" s="24"/>
      <c r="D182" s="28"/>
      <c r="E182" s="24"/>
      <c r="F182" s="24"/>
      <c r="G182" s="24"/>
      <c r="H182" s="24"/>
      <c r="I182" s="29" t="str">
        <f aca="false">IF($A182="","",COUNTIFS($H$2:$H$1001,$A182,$D$2:$D$1001,"Reuse"))</f>
        <v/>
      </c>
    </row>
    <row r="183" customFormat="false" ht="15" hidden="false" customHeight="false" outlineLevel="0" collapsed="false">
      <c r="A183" s="24"/>
      <c r="B183" s="27"/>
      <c r="C183" s="24"/>
      <c r="D183" s="28"/>
      <c r="E183" s="24"/>
      <c r="F183" s="24"/>
      <c r="G183" s="24"/>
      <c r="H183" s="24"/>
      <c r="I183" s="29" t="str">
        <f aca="false">IF($A183="","",COUNTIFS($H$2:$H$1001,$A183,$D$2:$D$1001,"Reuse"))</f>
        <v/>
      </c>
    </row>
    <row r="184" customFormat="false" ht="15" hidden="false" customHeight="false" outlineLevel="0" collapsed="false">
      <c r="A184" s="24"/>
      <c r="B184" s="27"/>
      <c r="C184" s="24"/>
      <c r="D184" s="28"/>
      <c r="E184" s="24"/>
      <c r="F184" s="24"/>
      <c r="G184" s="24"/>
      <c r="H184" s="24"/>
      <c r="I184" s="29" t="str">
        <f aca="false">IF($A184="","",COUNTIFS($H$2:$H$1001,$A184,$D$2:$D$1001,"Reuse"))</f>
        <v/>
      </c>
    </row>
    <row r="185" customFormat="false" ht="15" hidden="false" customHeight="false" outlineLevel="0" collapsed="false">
      <c r="A185" s="24"/>
      <c r="B185" s="27"/>
      <c r="C185" s="24"/>
      <c r="D185" s="28"/>
      <c r="E185" s="24"/>
      <c r="F185" s="24"/>
      <c r="G185" s="24"/>
      <c r="H185" s="24"/>
      <c r="I185" s="29" t="str">
        <f aca="false">IF($A185="","",COUNTIFS($H$2:$H$1001,$A185,$D$2:$D$1001,"Reuse"))</f>
        <v/>
      </c>
    </row>
    <row r="186" customFormat="false" ht="15" hidden="false" customHeight="false" outlineLevel="0" collapsed="false">
      <c r="A186" s="24"/>
      <c r="B186" s="27"/>
      <c r="C186" s="24"/>
      <c r="D186" s="28"/>
      <c r="E186" s="24"/>
      <c r="F186" s="24"/>
      <c r="G186" s="24"/>
      <c r="H186" s="24"/>
      <c r="I186" s="29" t="str">
        <f aca="false">IF($A186="","",COUNTIFS($H$2:$H$1001,$A186,$D$2:$D$1001,"Reuse"))</f>
        <v/>
      </c>
    </row>
    <row r="187" customFormat="false" ht="15" hidden="false" customHeight="false" outlineLevel="0" collapsed="false">
      <c r="A187" s="24"/>
      <c r="B187" s="27"/>
      <c r="C187" s="24"/>
      <c r="D187" s="28"/>
      <c r="E187" s="24"/>
      <c r="F187" s="24"/>
      <c r="G187" s="24"/>
      <c r="H187" s="24"/>
      <c r="I187" s="29" t="str">
        <f aca="false">IF($A187="","",COUNTIFS($H$2:$H$1001,$A187,$D$2:$D$1001,"Reuse"))</f>
        <v/>
      </c>
    </row>
    <row r="188" customFormat="false" ht="15" hidden="false" customHeight="false" outlineLevel="0" collapsed="false">
      <c r="A188" s="24"/>
      <c r="B188" s="27"/>
      <c r="C188" s="24"/>
      <c r="D188" s="28"/>
      <c r="E188" s="24"/>
      <c r="F188" s="24"/>
      <c r="G188" s="24"/>
      <c r="H188" s="24"/>
      <c r="I188" s="29" t="str">
        <f aca="false">IF($A188="","",COUNTIFS($H$2:$H$1001,$A188,$D$2:$D$1001,"Reuse"))</f>
        <v/>
      </c>
    </row>
    <row r="189" customFormat="false" ht="15" hidden="false" customHeight="false" outlineLevel="0" collapsed="false">
      <c r="A189" s="24"/>
      <c r="B189" s="27"/>
      <c r="C189" s="24"/>
      <c r="D189" s="28"/>
      <c r="E189" s="24"/>
      <c r="F189" s="24"/>
      <c r="G189" s="24"/>
      <c r="H189" s="24"/>
      <c r="I189" s="29" t="str">
        <f aca="false">IF($A189="","",COUNTIFS($H$2:$H$1001,$A189,$D$2:$D$1001,"Reuse"))</f>
        <v/>
      </c>
    </row>
    <row r="190" customFormat="false" ht="15" hidden="false" customHeight="false" outlineLevel="0" collapsed="false">
      <c r="A190" s="24"/>
      <c r="B190" s="27"/>
      <c r="C190" s="24"/>
      <c r="D190" s="28"/>
      <c r="E190" s="24"/>
      <c r="F190" s="24"/>
      <c r="G190" s="24"/>
      <c r="H190" s="24"/>
      <c r="I190" s="29" t="str">
        <f aca="false">IF($A190="","",COUNTIFS($H$2:$H$1001,$A190,$D$2:$D$1001,"Reuse"))</f>
        <v/>
      </c>
    </row>
    <row r="191" customFormat="false" ht="15" hidden="false" customHeight="false" outlineLevel="0" collapsed="false">
      <c r="A191" s="24"/>
      <c r="B191" s="27"/>
      <c r="C191" s="24"/>
      <c r="D191" s="28"/>
      <c r="E191" s="24"/>
      <c r="F191" s="24"/>
      <c r="G191" s="24"/>
      <c r="H191" s="24"/>
      <c r="I191" s="29" t="str">
        <f aca="false">IF($A191="","",COUNTIFS($H$2:$H$1001,$A191,$D$2:$D$1001,"Reuse"))</f>
        <v/>
      </c>
    </row>
    <row r="192" customFormat="false" ht="15" hidden="false" customHeight="false" outlineLevel="0" collapsed="false">
      <c r="A192" s="24"/>
      <c r="B192" s="27"/>
      <c r="C192" s="24"/>
      <c r="D192" s="28"/>
      <c r="E192" s="24"/>
      <c r="F192" s="24"/>
      <c r="G192" s="24"/>
      <c r="H192" s="24"/>
      <c r="I192" s="29" t="str">
        <f aca="false">IF($A192="","",COUNTIFS($H$2:$H$1001,$A192,$D$2:$D$1001,"Reuse"))</f>
        <v/>
      </c>
    </row>
    <row r="193" customFormat="false" ht="15" hidden="false" customHeight="false" outlineLevel="0" collapsed="false">
      <c r="A193" s="24"/>
      <c r="B193" s="27"/>
      <c r="C193" s="24"/>
      <c r="D193" s="28"/>
      <c r="E193" s="24"/>
      <c r="F193" s="24"/>
      <c r="G193" s="24"/>
      <c r="H193" s="24"/>
      <c r="I193" s="29" t="str">
        <f aca="false">IF($A193="","",COUNTIFS($H$2:$H$1001,$A193,$D$2:$D$1001,"Reuse"))</f>
        <v/>
      </c>
    </row>
    <row r="194" customFormat="false" ht="15" hidden="false" customHeight="false" outlineLevel="0" collapsed="false">
      <c r="A194" s="24"/>
      <c r="B194" s="27"/>
      <c r="C194" s="24"/>
      <c r="D194" s="28"/>
      <c r="E194" s="24"/>
      <c r="F194" s="24"/>
      <c r="G194" s="24"/>
      <c r="H194" s="24"/>
      <c r="I194" s="29" t="str">
        <f aca="false">IF($A194="","",COUNTIFS($H$2:$H$1001,$A194,$D$2:$D$1001,"Reuse"))</f>
        <v/>
      </c>
    </row>
    <row r="195" customFormat="false" ht="15" hidden="false" customHeight="false" outlineLevel="0" collapsed="false">
      <c r="A195" s="24"/>
      <c r="B195" s="27"/>
      <c r="C195" s="24"/>
      <c r="D195" s="28"/>
      <c r="E195" s="24"/>
      <c r="F195" s="24"/>
      <c r="G195" s="24"/>
      <c r="H195" s="24"/>
      <c r="I195" s="29" t="str">
        <f aca="false">IF($A195="","",COUNTIFS($H$2:$H$1001,$A195,$D$2:$D$1001,"Reuse"))</f>
        <v/>
      </c>
    </row>
    <row r="196" customFormat="false" ht="15" hidden="false" customHeight="false" outlineLevel="0" collapsed="false">
      <c r="A196" s="24"/>
      <c r="B196" s="27"/>
      <c r="C196" s="24"/>
      <c r="D196" s="28"/>
      <c r="E196" s="24"/>
      <c r="F196" s="24"/>
      <c r="G196" s="24"/>
      <c r="H196" s="24"/>
      <c r="I196" s="29" t="str">
        <f aca="false">IF($A196="","",COUNTIFS($H$2:$H$1001,$A196,$D$2:$D$1001,"Reuse"))</f>
        <v/>
      </c>
    </row>
    <row r="197" customFormat="false" ht="15" hidden="false" customHeight="false" outlineLevel="0" collapsed="false">
      <c r="A197" s="24"/>
      <c r="B197" s="27"/>
      <c r="C197" s="24"/>
      <c r="D197" s="28"/>
      <c r="E197" s="24"/>
      <c r="F197" s="24"/>
      <c r="G197" s="24"/>
      <c r="H197" s="24"/>
      <c r="I197" s="29" t="str">
        <f aca="false">IF($A197="","",COUNTIFS($H$2:$H$1001,$A197,$D$2:$D$1001,"Reuse"))</f>
        <v/>
      </c>
    </row>
    <row r="198" customFormat="false" ht="15" hidden="false" customHeight="false" outlineLevel="0" collapsed="false">
      <c r="A198" s="24"/>
      <c r="B198" s="27"/>
      <c r="C198" s="24"/>
      <c r="D198" s="28"/>
      <c r="E198" s="24"/>
      <c r="F198" s="24"/>
      <c r="G198" s="24"/>
      <c r="H198" s="24"/>
      <c r="I198" s="29" t="str">
        <f aca="false">IF($A198="","",COUNTIFS($H$2:$H$1001,$A198,$D$2:$D$1001,"Reuse"))</f>
        <v/>
      </c>
    </row>
    <row r="199" customFormat="false" ht="15" hidden="false" customHeight="false" outlineLevel="0" collapsed="false">
      <c r="A199" s="24"/>
      <c r="B199" s="27"/>
      <c r="C199" s="24"/>
      <c r="D199" s="28"/>
      <c r="E199" s="24"/>
      <c r="F199" s="24"/>
      <c r="G199" s="24"/>
      <c r="H199" s="24"/>
      <c r="I199" s="29" t="str">
        <f aca="false">IF($A199="","",COUNTIFS($H$2:$H$1001,$A199,$D$2:$D$1001,"Reuse"))</f>
        <v/>
      </c>
    </row>
    <row r="200" customFormat="false" ht="15" hidden="false" customHeight="false" outlineLevel="0" collapsed="false">
      <c r="A200" s="24"/>
      <c r="B200" s="27"/>
      <c r="C200" s="24"/>
      <c r="D200" s="28"/>
      <c r="E200" s="24"/>
      <c r="F200" s="24"/>
      <c r="G200" s="24"/>
      <c r="H200" s="24"/>
      <c r="I200" s="29" t="str">
        <f aca="false">IF($A200="","",COUNTIFS($H$2:$H$1001,$A200,$D$2:$D$1001,"Reuse"))</f>
        <v/>
      </c>
    </row>
    <row r="201" customFormat="false" ht="15" hidden="false" customHeight="false" outlineLevel="0" collapsed="false">
      <c r="A201" s="24"/>
      <c r="B201" s="27"/>
      <c r="C201" s="24"/>
      <c r="D201" s="28"/>
      <c r="E201" s="24"/>
      <c r="F201" s="24"/>
      <c r="G201" s="24"/>
      <c r="H201" s="24"/>
      <c r="I201" s="29" t="str">
        <f aca="false">IF($A201="","",COUNTIFS($H$2:$H$1001,$A201,$D$2:$D$1001,"Reuse"))</f>
        <v/>
      </c>
    </row>
    <row r="202" customFormat="false" ht="15" hidden="false" customHeight="false" outlineLevel="0" collapsed="false">
      <c r="A202" s="24"/>
      <c r="B202" s="27"/>
      <c r="C202" s="24"/>
      <c r="D202" s="28"/>
      <c r="E202" s="24"/>
      <c r="F202" s="24"/>
      <c r="G202" s="24"/>
      <c r="H202" s="24"/>
      <c r="I202" s="29" t="str">
        <f aca="false">IF($A202="","",COUNTIFS($H$2:$H$1001,$A202,$D$2:$D$1001,"Reuse"))</f>
        <v/>
      </c>
    </row>
    <row r="203" customFormat="false" ht="15" hidden="false" customHeight="false" outlineLevel="0" collapsed="false">
      <c r="A203" s="24"/>
      <c r="B203" s="27"/>
      <c r="C203" s="24"/>
      <c r="D203" s="28"/>
      <c r="E203" s="24"/>
      <c r="F203" s="24"/>
      <c r="G203" s="24"/>
      <c r="H203" s="24"/>
      <c r="I203" s="29" t="str">
        <f aca="false">IF($A203="","",COUNTIFS($H$2:$H$1001,$A203,$D$2:$D$1001,"Reuse"))</f>
        <v/>
      </c>
    </row>
    <row r="204" customFormat="false" ht="15" hidden="false" customHeight="false" outlineLevel="0" collapsed="false">
      <c r="A204" s="24"/>
      <c r="B204" s="27"/>
      <c r="C204" s="24"/>
      <c r="D204" s="28"/>
      <c r="E204" s="24"/>
      <c r="F204" s="24"/>
      <c r="G204" s="24"/>
      <c r="H204" s="24"/>
      <c r="I204" s="29" t="str">
        <f aca="false">IF($A204="","",COUNTIFS($H$2:$H$1001,$A204,$D$2:$D$1001,"Reuse"))</f>
        <v/>
      </c>
    </row>
    <row r="205" customFormat="false" ht="15" hidden="false" customHeight="false" outlineLevel="0" collapsed="false">
      <c r="A205" s="24"/>
      <c r="B205" s="27"/>
      <c r="C205" s="24"/>
      <c r="D205" s="28"/>
      <c r="E205" s="24"/>
      <c r="F205" s="24"/>
      <c r="G205" s="24"/>
      <c r="H205" s="24"/>
      <c r="I205" s="29" t="str">
        <f aca="false">IF($A205="","",COUNTIFS($H$2:$H$1001,$A205,$D$2:$D$1001,"Reuse"))</f>
        <v/>
      </c>
    </row>
    <row r="206" customFormat="false" ht="15" hidden="false" customHeight="false" outlineLevel="0" collapsed="false">
      <c r="A206" s="24"/>
      <c r="B206" s="27"/>
      <c r="C206" s="24"/>
      <c r="D206" s="28"/>
      <c r="E206" s="24"/>
      <c r="F206" s="24"/>
      <c r="G206" s="24"/>
      <c r="H206" s="24"/>
      <c r="I206" s="29" t="str">
        <f aca="false">IF($A206="","",COUNTIFS($H$2:$H$1001,$A206,$D$2:$D$1001,"Reuse"))</f>
        <v/>
      </c>
    </row>
    <row r="207" customFormat="false" ht="15" hidden="false" customHeight="false" outlineLevel="0" collapsed="false">
      <c r="A207" s="24"/>
      <c r="B207" s="27"/>
      <c r="C207" s="24"/>
      <c r="D207" s="28"/>
      <c r="E207" s="24"/>
      <c r="F207" s="24"/>
      <c r="G207" s="24"/>
      <c r="H207" s="24"/>
      <c r="I207" s="29" t="str">
        <f aca="false">IF($A207="","",COUNTIFS($H$2:$H$1001,$A207,$D$2:$D$1001,"Reuse"))</f>
        <v/>
      </c>
    </row>
    <row r="208" customFormat="false" ht="15" hidden="false" customHeight="false" outlineLevel="0" collapsed="false">
      <c r="A208" s="24"/>
      <c r="B208" s="27"/>
      <c r="C208" s="24"/>
      <c r="D208" s="28"/>
      <c r="E208" s="24"/>
      <c r="F208" s="24"/>
      <c r="G208" s="24"/>
      <c r="H208" s="24"/>
      <c r="I208" s="29" t="str">
        <f aca="false">IF($A208="","",COUNTIFS($H$2:$H$1001,$A208,$D$2:$D$1001,"Reuse"))</f>
        <v/>
      </c>
    </row>
    <row r="209" customFormat="false" ht="15" hidden="false" customHeight="false" outlineLevel="0" collapsed="false">
      <c r="A209" s="24"/>
      <c r="B209" s="27"/>
      <c r="C209" s="24"/>
      <c r="D209" s="28"/>
      <c r="E209" s="24"/>
      <c r="F209" s="24"/>
      <c r="G209" s="24"/>
      <c r="H209" s="24"/>
      <c r="I209" s="29" t="str">
        <f aca="false">IF($A209="","",COUNTIFS($H$2:$H$1001,$A209,$D$2:$D$1001,"Reuse"))</f>
        <v/>
      </c>
    </row>
    <row r="210" customFormat="false" ht="15" hidden="false" customHeight="false" outlineLevel="0" collapsed="false">
      <c r="A210" s="24"/>
      <c r="B210" s="27"/>
      <c r="C210" s="24"/>
      <c r="D210" s="28"/>
      <c r="E210" s="24"/>
      <c r="F210" s="24"/>
      <c r="G210" s="24"/>
      <c r="H210" s="24"/>
      <c r="I210" s="29" t="str">
        <f aca="false">IF($A210="","",COUNTIFS($H$2:$H$1001,$A210,$D$2:$D$1001,"Reuse"))</f>
        <v/>
      </c>
    </row>
    <row r="211" customFormat="false" ht="15" hidden="false" customHeight="false" outlineLevel="0" collapsed="false">
      <c r="A211" s="24"/>
      <c r="B211" s="27"/>
      <c r="C211" s="24"/>
      <c r="D211" s="28"/>
      <c r="E211" s="24"/>
      <c r="F211" s="24"/>
      <c r="G211" s="24"/>
      <c r="H211" s="24"/>
      <c r="I211" s="29" t="str">
        <f aca="false">IF($A211="","",COUNTIFS($H$2:$H$1001,$A211,$D$2:$D$1001,"Reuse"))</f>
        <v/>
      </c>
    </row>
    <row r="212" customFormat="false" ht="15" hidden="false" customHeight="false" outlineLevel="0" collapsed="false">
      <c r="A212" s="24"/>
      <c r="B212" s="27"/>
      <c r="C212" s="24"/>
      <c r="D212" s="28"/>
      <c r="E212" s="24"/>
      <c r="F212" s="24"/>
      <c r="G212" s="24"/>
      <c r="H212" s="24"/>
      <c r="I212" s="29" t="str">
        <f aca="false">IF($A212="","",COUNTIFS($H$2:$H$1001,$A212,$D$2:$D$1001,"Reuse"))</f>
        <v/>
      </c>
    </row>
    <row r="213" customFormat="false" ht="15" hidden="false" customHeight="false" outlineLevel="0" collapsed="false">
      <c r="A213" s="24"/>
      <c r="B213" s="27"/>
      <c r="C213" s="24"/>
      <c r="D213" s="28"/>
      <c r="E213" s="24"/>
      <c r="F213" s="24"/>
      <c r="G213" s="24"/>
      <c r="H213" s="24"/>
      <c r="I213" s="29" t="str">
        <f aca="false">IF($A213="","",COUNTIFS($H$2:$H$1001,$A213,$D$2:$D$1001,"Reuse"))</f>
        <v/>
      </c>
    </row>
    <row r="214" customFormat="false" ht="15" hidden="false" customHeight="false" outlineLevel="0" collapsed="false">
      <c r="A214" s="24"/>
      <c r="B214" s="27"/>
      <c r="C214" s="24"/>
      <c r="D214" s="28"/>
      <c r="E214" s="24"/>
      <c r="F214" s="24"/>
      <c r="G214" s="24"/>
      <c r="H214" s="24"/>
      <c r="I214" s="29" t="str">
        <f aca="false">IF($A214="","",COUNTIFS($H$2:$H$1001,$A214,$D$2:$D$1001,"Reuse"))</f>
        <v/>
      </c>
    </row>
    <row r="215" customFormat="false" ht="15" hidden="false" customHeight="false" outlineLevel="0" collapsed="false">
      <c r="A215" s="24"/>
      <c r="B215" s="27"/>
      <c r="C215" s="24"/>
      <c r="D215" s="28"/>
      <c r="E215" s="24"/>
      <c r="F215" s="24"/>
      <c r="G215" s="24"/>
      <c r="H215" s="24"/>
      <c r="I215" s="29" t="str">
        <f aca="false">IF($A215="","",COUNTIFS($H$2:$H$1001,$A215,$D$2:$D$1001,"Reuse"))</f>
        <v/>
      </c>
    </row>
    <row r="216" customFormat="false" ht="15" hidden="false" customHeight="false" outlineLevel="0" collapsed="false">
      <c r="A216" s="24"/>
      <c r="B216" s="27"/>
      <c r="C216" s="24"/>
      <c r="D216" s="28"/>
      <c r="E216" s="24"/>
      <c r="F216" s="24"/>
      <c r="G216" s="24"/>
      <c r="H216" s="24"/>
      <c r="I216" s="29" t="str">
        <f aca="false">IF($A216="","",COUNTIFS($H$2:$H$1001,$A216,$D$2:$D$1001,"Reuse"))</f>
        <v/>
      </c>
    </row>
    <row r="217" customFormat="false" ht="15" hidden="false" customHeight="false" outlineLevel="0" collapsed="false">
      <c r="A217" s="24"/>
      <c r="B217" s="27"/>
      <c r="C217" s="24"/>
      <c r="D217" s="28"/>
      <c r="E217" s="24"/>
      <c r="F217" s="24"/>
      <c r="G217" s="24"/>
      <c r="H217" s="24"/>
      <c r="I217" s="29" t="str">
        <f aca="false">IF($A217="","",COUNTIFS($H$2:$H$1001,$A217,$D$2:$D$1001,"Reuse"))</f>
        <v/>
      </c>
    </row>
    <row r="218" customFormat="false" ht="15" hidden="false" customHeight="false" outlineLevel="0" collapsed="false">
      <c r="A218" s="24"/>
      <c r="B218" s="27"/>
      <c r="C218" s="24"/>
      <c r="D218" s="28"/>
      <c r="E218" s="24"/>
      <c r="F218" s="24"/>
      <c r="G218" s="24"/>
      <c r="H218" s="24"/>
      <c r="I218" s="29" t="str">
        <f aca="false">IF($A218="","",COUNTIFS($H$2:$H$1001,$A218,$D$2:$D$1001,"Reuse"))</f>
        <v/>
      </c>
    </row>
    <row r="219" customFormat="false" ht="15" hidden="false" customHeight="false" outlineLevel="0" collapsed="false">
      <c r="A219" s="24"/>
      <c r="B219" s="27"/>
      <c r="C219" s="24"/>
      <c r="D219" s="28"/>
      <c r="E219" s="24"/>
      <c r="F219" s="24"/>
      <c r="G219" s="24"/>
      <c r="H219" s="24"/>
      <c r="I219" s="29" t="str">
        <f aca="false">IF($A219="","",COUNTIFS($H$2:$H$1001,$A219,$D$2:$D$1001,"Reuse"))</f>
        <v/>
      </c>
    </row>
    <row r="220" customFormat="false" ht="15" hidden="false" customHeight="false" outlineLevel="0" collapsed="false">
      <c r="A220" s="24"/>
      <c r="B220" s="27"/>
      <c r="C220" s="24"/>
      <c r="D220" s="28"/>
      <c r="E220" s="24"/>
      <c r="F220" s="24"/>
      <c r="G220" s="24"/>
      <c r="H220" s="24"/>
      <c r="I220" s="29" t="str">
        <f aca="false">IF($A220="","",COUNTIFS($H$2:$H$1001,$A220,$D$2:$D$1001,"Reuse"))</f>
        <v/>
      </c>
    </row>
    <row r="221" customFormat="false" ht="15" hidden="false" customHeight="false" outlineLevel="0" collapsed="false">
      <c r="A221" s="24"/>
      <c r="B221" s="27"/>
      <c r="C221" s="24"/>
      <c r="D221" s="28"/>
      <c r="E221" s="24"/>
      <c r="F221" s="24"/>
      <c r="G221" s="24"/>
      <c r="H221" s="24"/>
      <c r="I221" s="29" t="str">
        <f aca="false">IF($A221="","",COUNTIFS($H$2:$H$1001,$A221,$D$2:$D$1001,"Reuse"))</f>
        <v/>
      </c>
    </row>
    <row r="222" customFormat="false" ht="15" hidden="false" customHeight="false" outlineLevel="0" collapsed="false">
      <c r="A222" s="24"/>
      <c r="B222" s="27"/>
      <c r="C222" s="24"/>
      <c r="D222" s="28"/>
      <c r="E222" s="24"/>
      <c r="F222" s="24"/>
      <c r="G222" s="24"/>
      <c r="H222" s="24"/>
      <c r="I222" s="29" t="str">
        <f aca="false">IF($A222="","",COUNTIFS($H$2:$H$1001,$A222,$D$2:$D$1001,"Reuse"))</f>
        <v/>
      </c>
    </row>
    <row r="223" customFormat="false" ht="15" hidden="false" customHeight="false" outlineLevel="0" collapsed="false">
      <c r="A223" s="24"/>
      <c r="B223" s="27"/>
      <c r="C223" s="24"/>
      <c r="D223" s="28"/>
      <c r="E223" s="24"/>
      <c r="F223" s="24"/>
      <c r="G223" s="24"/>
      <c r="H223" s="24"/>
      <c r="I223" s="29" t="str">
        <f aca="false">IF($A223="","",COUNTIFS($H$2:$H$1001,$A223,$D$2:$D$1001,"Reuse"))</f>
        <v/>
      </c>
    </row>
    <row r="224" customFormat="false" ht="15" hidden="false" customHeight="false" outlineLevel="0" collapsed="false">
      <c r="A224" s="24"/>
      <c r="B224" s="27"/>
      <c r="C224" s="24"/>
      <c r="D224" s="28"/>
      <c r="E224" s="24"/>
      <c r="F224" s="24"/>
      <c r="G224" s="24"/>
      <c r="H224" s="24"/>
      <c r="I224" s="29" t="str">
        <f aca="false">IF($A224="","",COUNTIFS($H$2:$H$1001,$A224,$D$2:$D$1001,"Reuse"))</f>
        <v/>
      </c>
    </row>
    <row r="225" customFormat="false" ht="15" hidden="false" customHeight="false" outlineLevel="0" collapsed="false">
      <c r="A225" s="24"/>
      <c r="B225" s="27"/>
      <c r="C225" s="24"/>
      <c r="D225" s="28"/>
      <c r="E225" s="24"/>
      <c r="F225" s="24"/>
      <c r="G225" s="24"/>
      <c r="H225" s="24"/>
      <c r="I225" s="29" t="str">
        <f aca="false">IF($A225="","",COUNTIFS($H$2:$H$1001,$A225,$D$2:$D$1001,"Reuse"))</f>
        <v/>
      </c>
    </row>
    <row r="226" customFormat="false" ht="15" hidden="false" customHeight="false" outlineLevel="0" collapsed="false">
      <c r="A226" s="24"/>
      <c r="B226" s="27"/>
      <c r="C226" s="24"/>
      <c r="D226" s="28"/>
      <c r="E226" s="24"/>
      <c r="F226" s="24"/>
      <c r="G226" s="24"/>
      <c r="H226" s="24"/>
      <c r="I226" s="29" t="str">
        <f aca="false">IF($A226="","",COUNTIFS($H$2:$H$1001,$A226,$D$2:$D$1001,"Reuse"))</f>
        <v/>
      </c>
    </row>
    <row r="227" customFormat="false" ht="15" hidden="false" customHeight="false" outlineLevel="0" collapsed="false">
      <c r="A227" s="24"/>
      <c r="B227" s="27"/>
      <c r="C227" s="24"/>
      <c r="D227" s="28"/>
      <c r="E227" s="24"/>
      <c r="F227" s="24"/>
      <c r="G227" s="24"/>
      <c r="H227" s="24"/>
      <c r="I227" s="29" t="str">
        <f aca="false">IF($A227="","",COUNTIFS($H$2:$H$1001,$A227,$D$2:$D$1001,"Reuse"))</f>
        <v/>
      </c>
    </row>
    <row r="228" customFormat="false" ht="15" hidden="false" customHeight="false" outlineLevel="0" collapsed="false">
      <c r="A228" s="24"/>
      <c r="B228" s="27"/>
      <c r="C228" s="24"/>
      <c r="D228" s="28"/>
      <c r="E228" s="24"/>
      <c r="F228" s="24"/>
      <c r="G228" s="24"/>
      <c r="H228" s="24"/>
      <c r="I228" s="29" t="str">
        <f aca="false">IF($A228="","",COUNTIFS($H$2:$H$1001,$A228,$D$2:$D$1001,"Reuse"))</f>
        <v/>
      </c>
    </row>
    <row r="229" customFormat="false" ht="15" hidden="false" customHeight="false" outlineLevel="0" collapsed="false">
      <c r="A229" s="24"/>
      <c r="B229" s="27"/>
      <c r="C229" s="24"/>
      <c r="D229" s="28"/>
      <c r="E229" s="24"/>
      <c r="F229" s="24"/>
      <c r="G229" s="24"/>
      <c r="H229" s="24"/>
      <c r="I229" s="29" t="str">
        <f aca="false">IF($A229="","",COUNTIFS($H$2:$H$1001,$A229,$D$2:$D$1001,"Reuse"))</f>
        <v/>
      </c>
    </row>
    <row r="230" customFormat="false" ht="15" hidden="false" customHeight="false" outlineLevel="0" collapsed="false">
      <c r="A230" s="24"/>
      <c r="B230" s="27"/>
      <c r="C230" s="24"/>
      <c r="D230" s="28"/>
      <c r="E230" s="24"/>
      <c r="F230" s="24"/>
      <c r="G230" s="24"/>
      <c r="H230" s="24"/>
      <c r="I230" s="29" t="str">
        <f aca="false">IF($A230="","",COUNTIFS($H$2:$H$1001,$A230,$D$2:$D$1001,"Reuse"))</f>
        <v/>
      </c>
    </row>
    <row r="231" customFormat="false" ht="15" hidden="false" customHeight="false" outlineLevel="0" collapsed="false">
      <c r="A231" s="24"/>
      <c r="B231" s="27"/>
      <c r="C231" s="24"/>
      <c r="D231" s="28"/>
      <c r="E231" s="24"/>
      <c r="F231" s="24"/>
      <c r="G231" s="24"/>
      <c r="H231" s="24"/>
      <c r="I231" s="29" t="str">
        <f aca="false">IF($A231="","",COUNTIFS($H$2:$H$1001,$A231,$D$2:$D$1001,"Reuse"))</f>
        <v/>
      </c>
    </row>
    <row r="232" customFormat="false" ht="15" hidden="false" customHeight="false" outlineLevel="0" collapsed="false">
      <c r="A232" s="24"/>
      <c r="B232" s="27"/>
      <c r="C232" s="24"/>
      <c r="D232" s="28"/>
      <c r="E232" s="24"/>
      <c r="F232" s="24"/>
      <c r="G232" s="24"/>
      <c r="H232" s="24"/>
      <c r="I232" s="29" t="str">
        <f aca="false">IF($A232="","",COUNTIFS($H$2:$H$1001,$A232,$D$2:$D$1001,"Reuse"))</f>
        <v/>
      </c>
    </row>
    <row r="233" customFormat="false" ht="15" hidden="false" customHeight="false" outlineLevel="0" collapsed="false">
      <c r="A233" s="24"/>
      <c r="B233" s="27"/>
      <c r="C233" s="24"/>
      <c r="D233" s="28"/>
      <c r="E233" s="24"/>
      <c r="F233" s="24"/>
      <c r="G233" s="24"/>
      <c r="H233" s="24"/>
      <c r="I233" s="29" t="str">
        <f aca="false">IF($A233="","",COUNTIFS($H$2:$H$1001,$A233,$D$2:$D$1001,"Reuse"))</f>
        <v/>
      </c>
    </row>
    <row r="234" customFormat="false" ht="15" hidden="false" customHeight="false" outlineLevel="0" collapsed="false">
      <c r="A234" s="24"/>
      <c r="B234" s="27"/>
      <c r="C234" s="24"/>
      <c r="D234" s="28"/>
      <c r="E234" s="24"/>
      <c r="F234" s="24"/>
      <c r="G234" s="24"/>
      <c r="H234" s="24"/>
      <c r="I234" s="29" t="str">
        <f aca="false">IF($A234="","",COUNTIFS($H$2:$H$1001,$A234,$D$2:$D$1001,"Reuse"))</f>
        <v/>
      </c>
    </row>
    <row r="235" customFormat="false" ht="15" hidden="false" customHeight="false" outlineLevel="0" collapsed="false">
      <c r="A235" s="24"/>
      <c r="B235" s="27"/>
      <c r="C235" s="24"/>
      <c r="D235" s="28"/>
      <c r="E235" s="24"/>
      <c r="F235" s="24"/>
      <c r="G235" s="24"/>
      <c r="H235" s="24"/>
      <c r="I235" s="29" t="str">
        <f aca="false">IF($A235="","",COUNTIFS($H$2:$H$1001,$A235,$D$2:$D$1001,"Reuse"))</f>
        <v/>
      </c>
    </row>
    <row r="236" customFormat="false" ht="15" hidden="false" customHeight="false" outlineLevel="0" collapsed="false">
      <c r="A236" s="24"/>
      <c r="B236" s="27"/>
      <c r="C236" s="24"/>
      <c r="D236" s="28"/>
      <c r="E236" s="24"/>
      <c r="F236" s="24"/>
      <c r="G236" s="24"/>
      <c r="H236" s="24"/>
      <c r="I236" s="29" t="str">
        <f aca="false">IF($A236="","",COUNTIFS($H$2:$H$1001,$A236,$D$2:$D$1001,"Reuse"))</f>
        <v/>
      </c>
    </row>
    <row r="237" customFormat="false" ht="15" hidden="false" customHeight="false" outlineLevel="0" collapsed="false">
      <c r="A237" s="24"/>
      <c r="B237" s="27"/>
      <c r="C237" s="24"/>
      <c r="D237" s="28"/>
      <c r="E237" s="24"/>
      <c r="F237" s="24"/>
      <c r="G237" s="24"/>
      <c r="H237" s="24"/>
      <c r="I237" s="29" t="str">
        <f aca="false">IF($A237="","",COUNTIFS($H$2:$H$1001,$A237,$D$2:$D$1001,"Reuse"))</f>
        <v/>
      </c>
    </row>
    <row r="238" customFormat="false" ht="15" hidden="false" customHeight="false" outlineLevel="0" collapsed="false">
      <c r="A238" s="24"/>
      <c r="B238" s="27"/>
      <c r="C238" s="24"/>
      <c r="D238" s="28"/>
      <c r="E238" s="24"/>
      <c r="F238" s="24"/>
      <c r="G238" s="24"/>
      <c r="H238" s="24"/>
      <c r="I238" s="29" t="str">
        <f aca="false">IF($A238="","",COUNTIFS($H$2:$H$1001,$A238,$D$2:$D$1001,"Reuse"))</f>
        <v/>
      </c>
    </row>
    <row r="239" customFormat="false" ht="15" hidden="false" customHeight="false" outlineLevel="0" collapsed="false">
      <c r="A239" s="24"/>
      <c r="B239" s="27"/>
      <c r="C239" s="24"/>
      <c r="D239" s="28"/>
      <c r="E239" s="24"/>
      <c r="F239" s="24"/>
      <c r="G239" s="24"/>
      <c r="H239" s="24"/>
      <c r="I239" s="29" t="str">
        <f aca="false">IF($A239="","",COUNTIFS($H$2:$H$1001,$A239,$D$2:$D$1001,"Reuse"))</f>
        <v/>
      </c>
    </row>
    <row r="240" customFormat="false" ht="15" hidden="false" customHeight="false" outlineLevel="0" collapsed="false">
      <c r="A240" s="24"/>
      <c r="B240" s="27"/>
      <c r="C240" s="24"/>
      <c r="D240" s="28"/>
      <c r="E240" s="24"/>
      <c r="F240" s="24"/>
      <c r="G240" s="24"/>
      <c r="H240" s="24"/>
      <c r="I240" s="29" t="str">
        <f aca="false">IF($A240="","",COUNTIFS($H$2:$H$1001,$A240,$D$2:$D$1001,"Reuse"))</f>
        <v/>
      </c>
    </row>
    <row r="241" customFormat="false" ht="15" hidden="false" customHeight="false" outlineLevel="0" collapsed="false">
      <c r="A241" s="24"/>
      <c r="B241" s="27"/>
      <c r="C241" s="24"/>
      <c r="D241" s="28"/>
      <c r="E241" s="24"/>
      <c r="F241" s="24"/>
      <c r="G241" s="24"/>
      <c r="H241" s="24"/>
      <c r="I241" s="29" t="str">
        <f aca="false">IF($A241="","",COUNTIFS($H$2:$H$1001,$A241,$D$2:$D$1001,"Reuse"))</f>
        <v/>
      </c>
    </row>
    <row r="242" customFormat="false" ht="15" hidden="false" customHeight="false" outlineLevel="0" collapsed="false">
      <c r="A242" s="24"/>
      <c r="B242" s="27"/>
      <c r="C242" s="24"/>
      <c r="D242" s="28"/>
      <c r="E242" s="24"/>
      <c r="F242" s="24"/>
      <c r="G242" s="24"/>
      <c r="H242" s="24"/>
      <c r="I242" s="29" t="str">
        <f aca="false">IF($A242="","",COUNTIFS($H$2:$H$1001,$A242,$D$2:$D$1001,"Reuse"))</f>
        <v/>
      </c>
    </row>
    <row r="243" customFormat="false" ht="15" hidden="false" customHeight="false" outlineLevel="0" collapsed="false">
      <c r="A243" s="24"/>
      <c r="B243" s="27"/>
      <c r="C243" s="24"/>
      <c r="D243" s="28"/>
      <c r="E243" s="24"/>
      <c r="F243" s="24"/>
      <c r="G243" s="24"/>
      <c r="H243" s="24"/>
      <c r="I243" s="29" t="str">
        <f aca="false">IF($A243="","",COUNTIFS($H$2:$H$1001,$A243,$D$2:$D$1001,"Reuse"))</f>
        <v/>
      </c>
    </row>
    <row r="244" customFormat="false" ht="15" hidden="false" customHeight="false" outlineLevel="0" collapsed="false">
      <c r="A244" s="24"/>
      <c r="B244" s="27"/>
      <c r="C244" s="24"/>
      <c r="D244" s="28"/>
      <c r="E244" s="24"/>
      <c r="F244" s="24"/>
      <c r="G244" s="24"/>
      <c r="H244" s="24"/>
      <c r="I244" s="29" t="str">
        <f aca="false">IF($A244="","",COUNTIFS($H$2:$H$1001,$A244,$D$2:$D$1001,"Reuse"))</f>
        <v/>
      </c>
    </row>
    <row r="245" customFormat="false" ht="15" hidden="false" customHeight="false" outlineLevel="0" collapsed="false">
      <c r="A245" s="24"/>
      <c r="B245" s="27"/>
      <c r="C245" s="24"/>
      <c r="D245" s="28"/>
      <c r="E245" s="24"/>
      <c r="F245" s="24"/>
      <c r="G245" s="24"/>
      <c r="H245" s="24"/>
      <c r="I245" s="29" t="str">
        <f aca="false">IF($A245="","",COUNTIFS($H$2:$H$1001,$A245,$D$2:$D$1001,"Reuse"))</f>
        <v/>
      </c>
    </row>
    <row r="246" customFormat="false" ht="15" hidden="false" customHeight="false" outlineLevel="0" collapsed="false">
      <c r="A246" s="24"/>
      <c r="B246" s="27"/>
      <c r="C246" s="24"/>
      <c r="D246" s="28"/>
      <c r="E246" s="24"/>
      <c r="F246" s="24"/>
      <c r="G246" s="24"/>
      <c r="H246" s="24"/>
      <c r="I246" s="29" t="str">
        <f aca="false">IF($A246="","",COUNTIFS($H$2:$H$1001,$A246,$D$2:$D$1001,"Reuse"))</f>
        <v/>
      </c>
    </row>
    <row r="247" customFormat="false" ht="15" hidden="false" customHeight="false" outlineLevel="0" collapsed="false">
      <c r="A247" s="24"/>
      <c r="B247" s="27"/>
      <c r="C247" s="24"/>
      <c r="D247" s="28"/>
      <c r="E247" s="24"/>
      <c r="F247" s="24"/>
      <c r="G247" s="24"/>
      <c r="H247" s="24"/>
      <c r="I247" s="29" t="str">
        <f aca="false">IF($A247="","",COUNTIFS($H$2:$H$1001,$A247,$D$2:$D$1001,"Reuse"))</f>
        <v/>
      </c>
    </row>
    <row r="248" customFormat="false" ht="15" hidden="false" customHeight="false" outlineLevel="0" collapsed="false">
      <c r="A248" s="24"/>
      <c r="B248" s="27"/>
      <c r="C248" s="24"/>
      <c r="D248" s="28"/>
      <c r="E248" s="24"/>
      <c r="F248" s="24"/>
      <c r="G248" s="24"/>
      <c r="H248" s="24"/>
      <c r="I248" s="29" t="str">
        <f aca="false">IF($A248="","",COUNTIFS($H$2:$H$1001,$A248,$D$2:$D$1001,"Reuse"))</f>
        <v/>
      </c>
    </row>
    <row r="249" customFormat="false" ht="15" hidden="false" customHeight="false" outlineLevel="0" collapsed="false">
      <c r="A249" s="24"/>
      <c r="B249" s="27"/>
      <c r="C249" s="24"/>
      <c r="D249" s="28"/>
      <c r="E249" s="24"/>
      <c r="F249" s="24"/>
      <c r="G249" s="24"/>
      <c r="H249" s="24"/>
      <c r="I249" s="29" t="str">
        <f aca="false">IF($A249="","",COUNTIFS($H$2:$H$1001,$A249,$D$2:$D$1001,"Reuse"))</f>
        <v/>
      </c>
    </row>
    <row r="250" customFormat="false" ht="15" hidden="false" customHeight="false" outlineLevel="0" collapsed="false">
      <c r="A250" s="24"/>
      <c r="B250" s="27"/>
      <c r="C250" s="24"/>
      <c r="D250" s="28"/>
      <c r="E250" s="24"/>
      <c r="F250" s="24"/>
      <c r="G250" s="24"/>
      <c r="H250" s="24"/>
      <c r="I250" s="29" t="str">
        <f aca="false">IF($A250="","",COUNTIFS($H$2:$H$1001,$A250,$D$2:$D$1001,"Reuse"))</f>
        <v/>
      </c>
    </row>
    <row r="251" customFormat="false" ht="15" hidden="false" customHeight="false" outlineLevel="0" collapsed="false">
      <c r="A251" s="24"/>
      <c r="B251" s="27"/>
      <c r="C251" s="24"/>
      <c r="D251" s="28"/>
      <c r="E251" s="24"/>
      <c r="F251" s="24"/>
      <c r="G251" s="24"/>
      <c r="H251" s="24"/>
      <c r="I251" s="29" t="str">
        <f aca="false">IF($A251="","",COUNTIFS($H$2:$H$1001,$A251,$D$2:$D$1001,"Reuse"))</f>
        <v/>
      </c>
    </row>
    <row r="252" customFormat="false" ht="15" hidden="false" customHeight="false" outlineLevel="0" collapsed="false">
      <c r="A252" s="24"/>
      <c r="B252" s="27"/>
      <c r="C252" s="24"/>
      <c r="D252" s="28"/>
      <c r="E252" s="24"/>
      <c r="F252" s="24"/>
      <c r="G252" s="24"/>
      <c r="H252" s="24"/>
      <c r="I252" s="29" t="str">
        <f aca="false">IF($A252="","",COUNTIFS($H$2:$H$1001,$A252,$D$2:$D$1001,"Reuse"))</f>
        <v/>
      </c>
    </row>
    <row r="253" customFormat="false" ht="15" hidden="false" customHeight="false" outlineLevel="0" collapsed="false">
      <c r="A253" s="24"/>
      <c r="B253" s="27"/>
      <c r="C253" s="24"/>
      <c r="D253" s="28"/>
      <c r="E253" s="24"/>
      <c r="F253" s="24"/>
      <c r="G253" s="24"/>
      <c r="H253" s="24"/>
      <c r="I253" s="29" t="str">
        <f aca="false">IF($A253="","",COUNTIFS($H$2:$H$1001,$A253,$D$2:$D$1001,"Reuse"))</f>
        <v/>
      </c>
    </row>
    <row r="254" customFormat="false" ht="15" hidden="false" customHeight="false" outlineLevel="0" collapsed="false">
      <c r="A254" s="24"/>
      <c r="B254" s="27"/>
      <c r="C254" s="24"/>
      <c r="D254" s="28"/>
      <c r="E254" s="24"/>
      <c r="F254" s="24"/>
      <c r="G254" s="24"/>
      <c r="H254" s="24"/>
      <c r="I254" s="29" t="str">
        <f aca="false">IF($A254="","",COUNTIFS($H$2:$H$1001,$A254,$D$2:$D$1001,"Reuse"))</f>
        <v/>
      </c>
    </row>
    <row r="255" customFormat="false" ht="15" hidden="false" customHeight="false" outlineLevel="0" collapsed="false">
      <c r="A255" s="24"/>
      <c r="B255" s="27"/>
      <c r="C255" s="24"/>
      <c r="D255" s="28"/>
      <c r="E255" s="24"/>
      <c r="F255" s="24"/>
      <c r="G255" s="24"/>
      <c r="H255" s="24"/>
      <c r="I255" s="29" t="str">
        <f aca="false">IF($A255="","",COUNTIFS($H$2:$H$1001,$A255,$D$2:$D$1001,"Reuse"))</f>
        <v/>
      </c>
    </row>
    <row r="256" customFormat="false" ht="15" hidden="false" customHeight="false" outlineLevel="0" collapsed="false">
      <c r="A256" s="24"/>
      <c r="B256" s="27"/>
      <c r="C256" s="24"/>
      <c r="D256" s="28"/>
      <c r="E256" s="24"/>
      <c r="F256" s="24"/>
      <c r="G256" s="24"/>
      <c r="H256" s="24"/>
      <c r="I256" s="29" t="str">
        <f aca="false">IF($A256="","",COUNTIFS($H$2:$H$1001,$A256,$D$2:$D$1001,"Reuse"))</f>
        <v/>
      </c>
    </row>
    <row r="257" customFormat="false" ht="15" hidden="false" customHeight="false" outlineLevel="0" collapsed="false">
      <c r="A257" s="24"/>
      <c r="B257" s="27"/>
      <c r="C257" s="24"/>
      <c r="D257" s="28"/>
      <c r="E257" s="24"/>
      <c r="F257" s="24"/>
      <c r="G257" s="24"/>
      <c r="H257" s="24"/>
      <c r="I257" s="29" t="str">
        <f aca="false">IF($A257="","",COUNTIFS($H$2:$H$1001,$A257,$D$2:$D$1001,"Reuse"))</f>
        <v/>
      </c>
    </row>
    <row r="258" customFormat="false" ht="15" hidden="false" customHeight="false" outlineLevel="0" collapsed="false">
      <c r="A258" s="24"/>
      <c r="B258" s="27"/>
      <c r="C258" s="24"/>
      <c r="D258" s="28"/>
      <c r="E258" s="24"/>
      <c r="F258" s="24"/>
      <c r="G258" s="24"/>
      <c r="H258" s="24"/>
      <c r="I258" s="29" t="str">
        <f aca="false">IF($A258="","",COUNTIFS($H$2:$H$1001,$A258,$D$2:$D$1001,"Reuse"))</f>
        <v/>
      </c>
    </row>
    <row r="259" customFormat="false" ht="15" hidden="false" customHeight="false" outlineLevel="0" collapsed="false">
      <c r="A259" s="24"/>
      <c r="B259" s="27"/>
      <c r="C259" s="24"/>
      <c r="D259" s="28"/>
      <c r="E259" s="24"/>
      <c r="F259" s="24"/>
      <c r="G259" s="24"/>
      <c r="H259" s="24"/>
      <c r="I259" s="29" t="str">
        <f aca="false">IF($A259="","",COUNTIFS($H$2:$H$1001,$A259,$D$2:$D$1001,"Reuse"))</f>
        <v/>
      </c>
    </row>
    <row r="260" customFormat="false" ht="15" hidden="false" customHeight="false" outlineLevel="0" collapsed="false">
      <c r="A260" s="24"/>
      <c r="B260" s="27"/>
      <c r="C260" s="24"/>
      <c r="D260" s="28"/>
      <c r="E260" s="24"/>
      <c r="F260" s="24"/>
      <c r="G260" s="24"/>
      <c r="H260" s="24"/>
      <c r="I260" s="29" t="str">
        <f aca="false">IF($A260="","",COUNTIFS($H$2:$H$1001,$A260,$D$2:$D$1001,"Reuse"))</f>
        <v/>
      </c>
    </row>
    <row r="261" customFormat="false" ht="15" hidden="false" customHeight="false" outlineLevel="0" collapsed="false">
      <c r="A261" s="24"/>
      <c r="B261" s="27"/>
      <c r="C261" s="24"/>
      <c r="D261" s="28"/>
      <c r="E261" s="24"/>
      <c r="F261" s="24"/>
      <c r="G261" s="24"/>
      <c r="H261" s="24"/>
      <c r="I261" s="29" t="str">
        <f aca="false">IF($A261="","",COUNTIFS($H$2:$H$1001,$A261,$D$2:$D$1001,"Reuse"))</f>
        <v/>
      </c>
    </row>
    <row r="262" customFormat="false" ht="15" hidden="false" customHeight="false" outlineLevel="0" collapsed="false">
      <c r="A262" s="24"/>
      <c r="B262" s="27"/>
      <c r="C262" s="24"/>
      <c r="D262" s="28"/>
      <c r="E262" s="24"/>
      <c r="F262" s="24"/>
      <c r="G262" s="24"/>
      <c r="H262" s="24"/>
      <c r="I262" s="29" t="str">
        <f aca="false">IF($A262="","",COUNTIFS($H$2:$H$1001,$A262,$D$2:$D$1001,"Reuse"))</f>
        <v/>
      </c>
    </row>
    <row r="263" customFormat="false" ht="15" hidden="false" customHeight="false" outlineLevel="0" collapsed="false">
      <c r="A263" s="24"/>
      <c r="B263" s="27"/>
      <c r="C263" s="24"/>
      <c r="D263" s="28"/>
      <c r="E263" s="24"/>
      <c r="F263" s="24"/>
      <c r="G263" s="24"/>
      <c r="H263" s="24"/>
      <c r="I263" s="29" t="str">
        <f aca="false">IF($A263="","",COUNTIFS($H$2:$H$1001,$A263,$D$2:$D$1001,"Reuse"))</f>
        <v/>
      </c>
    </row>
    <row r="264" customFormat="false" ht="15" hidden="false" customHeight="false" outlineLevel="0" collapsed="false">
      <c r="A264" s="24"/>
      <c r="B264" s="27"/>
      <c r="C264" s="24"/>
      <c r="D264" s="28"/>
      <c r="E264" s="24"/>
      <c r="F264" s="24"/>
      <c r="G264" s="24"/>
      <c r="H264" s="24"/>
      <c r="I264" s="29" t="str">
        <f aca="false">IF($A264="","",COUNTIFS($H$2:$H$1001,$A264,$D$2:$D$1001,"Reuse"))</f>
        <v/>
      </c>
    </row>
    <row r="265" customFormat="false" ht="15" hidden="false" customHeight="false" outlineLevel="0" collapsed="false">
      <c r="A265" s="24"/>
      <c r="B265" s="27"/>
      <c r="C265" s="24"/>
      <c r="D265" s="28"/>
      <c r="E265" s="24"/>
      <c r="F265" s="24"/>
      <c r="G265" s="24"/>
      <c r="H265" s="24"/>
      <c r="I265" s="29" t="str">
        <f aca="false">IF($A265="","",COUNTIFS($H$2:$H$1001,$A265,$D$2:$D$1001,"Reuse"))</f>
        <v/>
      </c>
    </row>
    <row r="266" customFormat="false" ht="15" hidden="false" customHeight="false" outlineLevel="0" collapsed="false">
      <c r="A266" s="24"/>
      <c r="B266" s="27"/>
      <c r="C266" s="24"/>
      <c r="D266" s="28"/>
      <c r="E266" s="24"/>
      <c r="F266" s="24"/>
      <c r="G266" s="24"/>
      <c r="H266" s="24"/>
      <c r="I266" s="29" t="str">
        <f aca="false">IF($A266="","",COUNTIFS($H$2:$H$1001,$A266,$D$2:$D$1001,"Reuse"))</f>
        <v/>
      </c>
    </row>
    <row r="267" customFormat="false" ht="15" hidden="false" customHeight="false" outlineLevel="0" collapsed="false">
      <c r="A267" s="24"/>
      <c r="B267" s="27"/>
      <c r="C267" s="24"/>
      <c r="D267" s="28"/>
      <c r="E267" s="24"/>
      <c r="F267" s="24"/>
      <c r="G267" s="24"/>
      <c r="H267" s="24"/>
      <c r="I267" s="29" t="str">
        <f aca="false">IF($A267="","",COUNTIFS($H$2:$H$1001,$A267,$D$2:$D$1001,"Reuse"))</f>
        <v/>
      </c>
    </row>
    <row r="268" customFormat="false" ht="15" hidden="false" customHeight="false" outlineLevel="0" collapsed="false">
      <c r="A268" s="24"/>
      <c r="B268" s="27"/>
      <c r="C268" s="24"/>
      <c r="D268" s="28"/>
      <c r="E268" s="24"/>
      <c r="F268" s="24"/>
      <c r="G268" s="24"/>
      <c r="H268" s="24"/>
      <c r="I268" s="29" t="str">
        <f aca="false">IF($A268="","",COUNTIFS($H$2:$H$1001,$A268,$D$2:$D$1001,"Reuse"))</f>
        <v/>
      </c>
    </row>
    <row r="269" customFormat="false" ht="15" hidden="false" customHeight="false" outlineLevel="0" collapsed="false">
      <c r="A269" s="24"/>
      <c r="B269" s="27"/>
      <c r="C269" s="24"/>
      <c r="D269" s="28"/>
      <c r="E269" s="24"/>
      <c r="F269" s="24"/>
      <c r="G269" s="24"/>
      <c r="H269" s="24"/>
      <c r="I269" s="29" t="str">
        <f aca="false">IF($A269="","",COUNTIFS($H$2:$H$1001,$A269,$D$2:$D$1001,"Reuse"))</f>
        <v/>
      </c>
    </row>
    <row r="270" customFormat="false" ht="15" hidden="false" customHeight="false" outlineLevel="0" collapsed="false">
      <c r="A270" s="24"/>
      <c r="B270" s="27"/>
      <c r="C270" s="24"/>
      <c r="D270" s="28"/>
      <c r="E270" s="24"/>
      <c r="F270" s="24"/>
      <c r="G270" s="24"/>
      <c r="H270" s="24"/>
      <c r="I270" s="29" t="str">
        <f aca="false">IF($A270="","",COUNTIFS($H$2:$H$1001,$A270,$D$2:$D$1001,"Reuse"))</f>
        <v/>
      </c>
    </row>
    <row r="271" customFormat="false" ht="15" hidden="false" customHeight="false" outlineLevel="0" collapsed="false">
      <c r="A271" s="24"/>
      <c r="B271" s="27"/>
      <c r="C271" s="24"/>
      <c r="D271" s="28"/>
      <c r="E271" s="24"/>
      <c r="F271" s="24"/>
      <c r="G271" s="24"/>
      <c r="H271" s="24"/>
      <c r="I271" s="29" t="str">
        <f aca="false">IF($A271="","",COUNTIFS($H$2:$H$1001,$A271,$D$2:$D$1001,"Reuse"))</f>
        <v/>
      </c>
    </row>
    <row r="272" customFormat="false" ht="15" hidden="false" customHeight="false" outlineLevel="0" collapsed="false">
      <c r="A272" s="24"/>
      <c r="B272" s="27"/>
      <c r="C272" s="24"/>
      <c r="D272" s="28"/>
      <c r="E272" s="24"/>
      <c r="F272" s="24"/>
      <c r="G272" s="24"/>
      <c r="H272" s="24"/>
      <c r="I272" s="29" t="str">
        <f aca="false">IF($A272="","",COUNTIFS($H$2:$H$1001,$A272,$D$2:$D$1001,"Reuse"))</f>
        <v/>
      </c>
    </row>
    <row r="273" customFormat="false" ht="15" hidden="false" customHeight="false" outlineLevel="0" collapsed="false">
      <c r="A273" s="24"/>
      <c r="B273" s="27"/>
      <c r="C273" s="24"/>
      <c r="D273" s="28"/>
      <c r="E273" s="24"/>
      <c r="F273" s="24"/>
      <c r="G273" s="24"/>
      <c r="H273" s="24"/>
      <c r="I273" s="29" t="str">
        <f aca="false">IF($A273="","",COUNTIFS($H$2:$H$1001,$A273,$D$2:$D$1001,"Reuse"))</f>
        <v/>
      </c>
    </row>
    <row r="274" customFormat="false" ht="15" hidden="false" customHeight="false" outlineLevel="0" collapsed="false">
      <c r="A274" s="24"/>
      <c r="B274" s="27"/>
      <c r="C274" s="24"/>
      <c r="D274" s="28"/>
      <c r="E274" s="24"/>
      <c r="F274" s="24"/>
      <c r="G274" s="24"/>
      <c r="H274" s="24"/>
      <c r="I274" s="29" t="str">
        <f aca="false">IF($A274="","",COUNTIFS($H$2:$H$1001,$A274,$D$2:$D$1001,"Reuse"))</f>
        <v/>
      </c>
    </row>
    <row r="275" customFormat="false" ht="15" hidden="false" customHeight="false" outlineLevel="0" collapsed="false">
      <c r="A275" s="24"/>
      <c r="B275" s="27"/>
      <c r="C275" s="24"/>
      <c r="D275" s="28"/>
      <c r="E275" s="24"/>
      <c r="F275" s="24"/>
      <c r="G275" s="24"/>
      <c r="H275" s="24"/>
      <c r="I275" s="29" t="str">
        <f aca="false">IF($A275="","",COUNTIFS($H$2:$H$1001,$A275,$D$2:$D$1001,"Reuse"))</f>
        <v/>
      </c>
    </row>
    <row r="276" customFormat="false" ht="15" hidden="false" customHeight="false" outlineLevel="0" collapsed="false">
      <c r="A276" s="24"/>
      <c r="B276" s="27"/>
      <c r="C276" s="24"/>
      <c r="D276" s="28"/>
      <c r="E276" s="24"/>
      <c r="F276" s="24"/>
      <c r="G276" s="24"/>
      <c r="H276" s="24"/>
      <c r="I276" s="29" t="str">
        <f aca="false">IF($A276="","",COUNTIFS($H$2:$H$1001,$A276,$D$2:$D$1001,"Reuse"))</f>
        <v/>
      </c>
    </row>
    <row r="277" customFormat="false" ht="15" hidden="false" customHeight="false" outlineLevel="0" collapsed="false">
      <c r="A277" s="24"/>
      <c r="B277" s="27"/>
      <c r="C277" s="24"/>
      <c r="D277" s="28"/>
      <c r="E277" s="24"/>
      <c r="F277" s="24"/>
      <c r="G277" s="24"/>
      <c r="H277" s="24"/>
      <c r="I277" s="29" t="str">
        <f aca="false">IF($A277="","",COUNTIFS($H$2:$H$1001,$A277,$D$2:$D$1001,"Reuse"))</f>
        <v/>
      </c>
    </row>
    <row r="278" customFormat="false" ht="15" hidden="false" customHeight="false" outlineLevel="0" collapsed="false">
      <c r="A278" s="24"/>
      <c r="B278" s="27"/>
      <c r="C278" s="24"/>
      <c r="D278" s="28"/>
      <c r="E278" s="24"/>
      <c r="F278" s="24"/>
      <c r="G278" s="24"/>
      <c r="H278" s="24"/>
      <c r="I278" s="29" t="str">
        <f aca="false">IF($A278="","",COUNTIFS($H$2:$H$1001,$A278,$D$2:$D$1001,"Reuse"))</f>
        <v/>
      </c>
    </row>
    <row r="279" customFormat="false" ht="15" hidden="false" customHeight="false" outlineLevel="0" collapsed="false">
      <c r="A279" s="24"/>
      <c r="B279" s="27"/>
      <c r="C279" s="24"/>
      <c r="D279" s="28"/>
      <c r="E279" s="24"/>
      <c r="F279" s="24"/>
      <c r="G279" s="24"/>
      <c r="H279" s="24"/>
      <c r="I279" s="29" t="str">
        <f aca="false">IF($A279="","",COUNTIFS($H$2:$H$1001,$A279,$D$2:$D$1001,"Reuse"))</f>
        <v/>
      </c>
    </row>
    <row r="280" customFormat="false" ht="15" hidden="false" customHeight="false" outlineLevel="0" collapsed="false">
      <c r="A280" s="24"/>
      <c r="B280" s="27"/>
      <c r="C280" s="24"/>
      <c r="D280" s="28"/>
      <c r="E280" s="24"/>
      <c r="F280" s="24"/>
      <c r="G280" s="24"/>
      <c r="H280" s="24"/>
      <c r="I280" s="29" t="str">
        <f aca="false">IF($A280="","",COUNTIFS($H$2:$H$1001,$A280,$D$2:$D$1001,"Reuse"))</f>
        <v/>
      </c>
    </row>
    <row r="281" customFormat="false" ht="15" hidden="false" customHeight="false" outlineLevel="0" collapsed="false">
      <c r="A281" s="24"/>
      <c r="B281" s="27"/>
      <c r="C281" s="24"/>
      <c r="D281" s="28"/>
      <c r="E281" s="24"/>
      <c r="F281" s="24"/>
      <c r="G281" s="24"/>
      <c r="H281" s="24"/>
      <c r="I281" s="29" t="str">
        <f aca="false">IF($A281="","",COUNTIFS($H$2:$H$1001,$A281,$D$2:$D$1001,"Reuse"))</f>
        <v/>
      </c>
    </row>
    <row r="282" customFormat="false" ht="15" hidden="false" customHeight="false" outlineLevel="0" collapsed="false">
      <c r="A282" s="24"/>
      <c r="B282" s="27"/>
      <c r="C282" s="24"/>
      <c r="D282" s="28"/>
      <c r="E282" s="24"/>
      <c r="F282" s="24"/>
      <c r="G282" s="24"/>
      <c r="H282" s="24"/>
      <c r="I282" s="29" t="str">
        <f aca="false">IF($A282="","",COUNTIFS($H$2:$H$1001,$A282,$D$2:$D$1001,"Reuse"))</f>
        <v/>
      </c>
    </row>
    <row r="283" customFormat="false" ht="15" hidden="false" customHeight="false" outlineLevel="0" collapsed="false">
      <c r="A283" s="24"/>
      <c r="B283" s="27"/>
      <c r="C283" s="24"/>
      <c r="D283" s="28"/>
      <c r="E283" s="24"/>
      <c r="F283" s="24"/>
      <c r="G283" s="24"/>
      <c r="H283" s="24"/>
      <c r="I283" s="29" t="str">
        <f aca="false">IF($A283="","",COUNTIFS($H$2:$H$1001,$A283,$D$2:$D$1001,"Reuse"))</f>
        <v/>
      </c>
    </row>
    <row r="284" customFormat="false" ht="15" hidden="false" customHeight="false" outlineLevel="0" collapsed="false">
      <c r="A284" s="24"/>
      <c r="B284" s="27"/>
      <c r="C284" s="24"/>
      <c r="D284" s="28"/>
      <c r="E284" s="24"/>
      <c r="F284" s="24"/>
      <c r="G284" s="24"/>
      <c r="H284" s="24"/>
      <c r="I284" s="29" t="str">
        <f aca="false">IF($A284="","",COUNTIFS($H$2:$H$1001,$A284,$D$2:$D$1001,"Reuse"))</f>
        <v/>
      </c>
    </row>
    <row r="285" customFormat="false" ht="15" hidden="false" customHeight="false" outlineLevel="0" collapsed="false">
      <c r="A285" s="24"/>
      <c r="B285" s="27"/>
      <c r="C285" s="24"/>
      <c r="D285" s="28"/>
      <c r="E285" s="24"/>
      <c r="F285" s="24"/>
      <c r="G285" s="24"/>
      <c r="H285" s="24"/>
      <c r="I285" s="29" t="str">
        <f aca="false">IF($A285="","",COUNTIFS($H$2:$H$1001,$A285,$D$2:$D$1001,"Reuse"))</f>
        <v/>
      </c>
    </row>
    <row r="286" customFormat="false" ht="15" hidden="false" customHeight="false" outlineLevel="0" collapsed="false">
      <c r="A286" s="24"/>
      <c r="B286" s="27"/>
      <c r="C286" s="24"/>
      <c r="D286" s="28"/>
      <c r="E286" s="24"/>
      <c r="F286" s="24"/>
      <c r="G286" s="24"/>
      <c r="H286" s="24"/>
      <c r="I286" s="29" t="str">
        <f aca="false">IF($A286="","",COUNTIFS($H$2:$H$1001,$A286,$D$2:$D$1001,"Reuse"))</f>
        <v/>
      </c>
    </row>
    <row r="287" customFormat="false" ht="15" hidden="false" customHeight="false" outlineLevel="0" collapsed="false">
      <c r="A287" s="24"/>
      <c r="B287" s="27"/>
      <c r="C287" s="24"/>
      <c r="D287" s="28"/>
      <c r="E287" s="24"/>
      <c r="F287" s="24"/>
      <c r="G287" s="24"/>
      <c r="H287" s="24"/>
      <c r="I287" s="29" t="str">
        <f aca="false">IF($A287="","",COUNTIFS($H$2:$H$1001,$A287,$D$2:$D$1001,"Reuse"))</f>
        <v/>
      </c>
    </row>
    <row r="288" customFormat="false" ht="15" hidden="false" customHeight="false" outlineLevel="0" collapsed="false">
      <c r="A288" s="24"/>
      <c r="B288" s="27"/>
      <c r="C288" s="24"/>
      <c r="D288" s="28"/>
      <c r="E288" s="24"/>
      <c r="F288" s="24"/>
      <c r="G288" s="24"/>
      <c r="H288" s="24"/>
      <c r="I288" s="29" t="str">
        <f aca="false">IF($A288="","",COUNTIFS($H$2:$H$1001,$A288,$D$2:$D$1001,"Reuse"))</f>
        <v/>
      </c>
    </row>
    <row r="289" customFormat="false" ht="15" hidden="false" customHeight="false" outlineLevel="0" collapsed="false">
      <c r="A289" s="24"/>
      <c r="B289" s="27"/>
      <c r="C289" s="24"/>
      <c r="D289" s="28"/>
      <c r="E289" s="24"/>
      <c r="F289" s="24"/>
      <c r="G289" s="24"/>
      <c r="H289" s="24"/>
      <c r="I289" s="29" t="str">
        <f aca="false">IF($A289="","",COUNTIFS($H$2:$H$1001,$A289,$D$2:$D$1001,"Reuse"))</f>
        <v/>
      </c>
    </row>
    <row r="290" customFormat="false" ht="15" hidden="false" customHeight="false" outlineLevel="0" collapsed="false">
      <c r="A290" s="24"/>
      <c r="B290" s="27"/>
      <c r="C290" s="24"/>
      <c r="D290" s="28"/>
      <c r="E290" s="24"/>
      <c r="F290" s="24"/>
      <c r="G290" s="24"/>
      <c r="H290" s="24"/>
      <c r="I290" s="29" t="str">
        <f aca="false">IF($A290="","",COUNTIFS($H$2:$H$1001,$A290,$D$2:$D$1001,"Reuse"))</f>
        <v/>
      </c>
    </row>
    <row r="291" customFormat="false" ht="15" hidden="false" customHeight="false" outlineLevel="0" collapsed="false">
      <c r="A291" s="24"/>
      <c r="B291" s="27"/>
      <c r="C291" s="24"/>
      <c r="D291" s="28"/>
      <c r="E291" s="24"/>
      <c r="F291" s="24"/>
      <c r="G291" s="24"/>
      <c r="H291" s="24"/>
      <c r="I291" s="29" t="str">
        <f aca="false">IF($A291="","",COUNTIFS($H$2:$H$1001,$A291,$D$2:$D$1001,"Reuse"))</f>
        <v/>
      </c>
    </row>
    <row r="292" customFormat="false" ht="15" hidden="false" customHeight="false" outlineLevel="0" collapsed="false">
      <c r="A292" s="24"/>
      <c r="B292" s="27"/>
      <c r="C292" s="24"/>
      <c r="D292" s="28"/>
      <c r="E292" s="24"/>
      <c r="F292" s="24"/>
      <c r="G292" s="24"/>
      <c r="H292" s="24"/>
      <c r="I292" s="29" t="str">
        <f aca="false">IF($A292="","",COUNTIFS($H$2:$H$1001,$A292,$D$2:$D$1001,"Reuse"))</f>
        <v/>
      </c>
    </row>
    <row r="293" customFormat="false" ht="15" hidden="false" customHeight="false" outlineLevel="0" collapsed="false">
      <c r="A293" s="24"/>
      <c r="B293" s="27"/>
      <c r="C293" s="24"/>
      <c r="D293" s="28"/>
      <c r="E293" s="24"/>
      <c r="F293" s="24"/>
      <c r="G293" s="24"/>
      <c r="H293" s="24"/>
      <c r="I293" s="29" t="str">
        <f aca="false">IF($A293="","",COUNTIFS($H$2:$H$1001,$A293,$D$2:$D$1001,"Reuse"))</f>
        <v/>
      </c>
    </row>
    <row r="294" customFormat="false" ht="15" hidden="false" customHeight="false" outlineLevel="0" collapsed="false">
      <c r="A294" s="24"/>
      <c r="B294" s="27"/>
      <c r="C294" s="24"/>
      <c r="D294" s="28"/>
      <c r="E294" s="24"/>
      <c r="F294" s="24"/>
      <c r="G294" s="24"/>
      <c r="H294" s="24"/>
      <c r="I294" s="29" t="str">
        <f aca="false">IF($A294="","",COUNTIFS($H$2:$H$1001,$A294,$D$2:$D$1001,"Reuse"))</f>
        <v/>
      </c>
    </row>
    <row r="295" customFormat="false" ht="15" hidden="false" customHeight="false" outlineLevel="0" collapsed="false">
      <c r="A295" s="24"/>
      <c r="B295" s="27"/>
      <c r="C295" s="24"/>
      <c r="D295" s="28"/>
      <c r="E295" s="24"/>
      <c r="F295" s="24"/>
      <c r="G295" s="24"/>
      <c r="H295" s="24"/>
      <c r="I295" s="29" t="str">
        <f aca="false">IF($A295="","",COUNTIFS($H$2:$H$1001,$A295,$D$2:$D$1001,"Reuse"))</f>
        <v/>
      </c>
    </row>
    <row r="296" customFormat="false" ht="15" hidden="false" customHeight="false" outlineLevel="0" collapsed="false">
      <c r="A296" s="24"/>
      <c r="B296" s="27"/>
      <c r="C296" s="24"/>
      <c r="D296" s="28"/>
      <c r="E296" s="24"/>
      <c r="F296" s="24"/>
      <c r="G296" s="24"/>
      <c r="H296" s="24"/>
      <c r="I296" s="29" t="str">
        <f aca="false">IF($A296="","",COUNTIFS($H$2:$H$1001,$A296,$D$2:$D$1001,"Reuse"))</f>
        <v/>
      </c>
    </row>
    <row r="297" customFormat="false" ht="15" hidden="false" customHeight="false" outlineLevel="0" collapsed="false">
      <c r="A297" s="24"/>
      <c r="B297" s="27"/>
      <c r="C297" s="24"/>
      <c r="D297" s="28"/>
      <c r="E297" s="24"/>
      <c r="F297" s="24"/>
      <c r="G297" s="24"/>
      <c r="H297" s="24"/>
      <c r="I297" s="29" t="str">
        <f aca="false">IF($A297="","",COUNTIFS($H$2:$H$1001,$A297,$D$2:$D$1001,"Reuse"))</f>
        <v/>
      </c>
    </row>
    <row r="298" customFormat="false" ht="15" hidden="false" customHeight="false" outlineLevel="0" collapsed="false">
      <c r="A298" s="24"/>
      <c r="B298" s="27"/>
      <c r="C298" s="24"/>
      <c r="D298" s="28"/>
      <c r="E298" s="24"/>
      <c r="F298" s="24"/>
      <c r="G298" s="24"/>
      <c r="H298" s="24"/>
      <c r="I298" s="29" t="str">
        <f aca="false">IF($A298="","",COUNTIFS($H$2:$H$1001,$A298,$D$2:$D$1001,"Reuse"))</f>
        <v/>
      </c>
    </row>
    <row r="299" customFormat="false" ht="15" hidden="false" customHeight="false" outlineLevel="0" collapsed="false">
      <c r="A299" s="24"/>
      <c r="B299" s="27"/>
      <c r="C299" s="24"/>
      <c r="D299" s="28"/>
      <c r="E299" s="24"/>
      <c r="F299" s="24"/>
      <c r="G299" s="24"/>
      <c r="H299" s="24"/>
      <c r="I299" s="29" t="str">
        <f aca="false">IF($A299="","",COUNTIFS($H$2:$H$1001,$A299,$D$2:$D$1001,"Reuse"))</f>
        <v/>
      </c>
    </row>
    <row r="300" customFormat="false" ht="15" hidden="false" customHeight="false" outlineLevel="0" collapsed="false">
      <c r="A300" s="24"/>
      <c r="B300" s="27"/>
      <c r="C300" s="24"/>
      <c r="D300" s="28"/>
      <c r="E300" s="24"/>
      <c r="F300" s="24"/>
      <c r="G300" s="24"/>
      <c r="H300" s="24"/>
      <c r="I300" s="29" t="str">
        <f aca="false">IF($A300="","",COUNTIFS($H$2:$H$1001,$A300,$D$2:$D$1001,"Reuse"))</f>
        <v/>
      </c>
    </row>
    <row r="301" customFormat="false" ht="15" hidden="false" customHeight="false" outlineLevel="0" collapsed="false">
      <c r="A301" s="24"/>
      <c r="B301" s="27"/>
      <c r="C301" s="24"/>
      <c r="D301" s="28"/>
      <c r="E301" s="24"/>
      <c r="F301" s="24"/>
      <c r="G301" s="24"/>
      <c r="H301" s="24"/>
      <c r="I301" s="29" t="str">
        <f aca="false">IF($A301="","",COUNTIFS($H$2:$H$1001,$A301,$D$2:$D$1001,"Reuse"))</f>
        <v/>
      </c>
    </row>
    <row r="302" customFormat="false" ht="15" hidden="false" customHeight="false" outlineLevel="0" collapsed="false">
      <c r="A302" s="24"/>
      <c r="B302" s="27"/>
      <c r="C302" s="24"/>
      <c r="D302" s="28"/>
      <c r="E302" s="24"/>
      <c r="F302" s="24"/>
      <c r="G302" s="24"/>
      <c r="H302" s="24"/>
      <c r="I302" s="29" t="str">
        <f aca="false">IF($A302="","",COUNTIFS($H$2:$H$1001,$A302,$D$2:$D$1001,"Reuse"))</f>
        <v/>
      </c>
    </row>
    <row r="303" customFormat="false" ht="15" hidden="false" customHeight="false" outlineLevel="0" collapsed="false">
      <c r="A303" s="24"/>
      <c r="B303" s="27"/>
      <c r="C303" s="24"/>
      <c r="D303" s="28"/>
      <c r="E303" s="24"/>
      <c r="F303" s="24"/>
      <c r="G303" s="24"/>
      <c r="H303" s="24"/>
      <c r="I303" s="29" t="str">
        <f aca="false">IF($A303="","",COUNTIFS($H$2:$H$1001,$A303,$D$2:$D$1001,"Reuse"))</f>
        <v/>
      </c>
    </row>
    <row r="304" customFormat="false" ht="15" hidden="false" customHeight="false" outlineLevel="0" collapsed="false">
      <c r="A304" s="24"/>
      <c r="B304" s="27"/>
      <c r="C304" s="24"/>
      <c r="D304" s="28"/>
      <c r="E304" s="24"/>
      <c r="F304" s="24"/>
      <c r="G304" s="24"/>
      <c r="H304" s="24"/>
      <c r="I304" s="29" t="str">
        <f aca="false">IF($A304="","",COUNTIFS($H$2:$H$1001,$A304,$D$2:$D$1001,"Reuse"))</f>
        <v/>
      </c>
    </row>
    <row r="305" customFormat="false" ht="15" hidden="false" customHeight="false" outlineLevel="0" collapsed="false">
      <c r="A305" s="24"/>
      <c r="B305" s="27"/>
      <c r="C305" s="24"/>
      <c r="D305" s="28"/>
      <c r="E305" s="24"/>
      <c r="F305" s="24"/>
      <c r="G305" s="24"/>
      <c r="H305" s="24"/>
      <c r="I305" s="29" t="str">
        <f aca="false">IF($A305="","",COUNTIFS($H$2:$H$1001,$A305,$D$2:$D$1001,"Reuse"))</f>
        <v/>
      </c>
    </row>
    <row r="306" customFormat="false" ht="15" hidden="false" customHeight="false" outlineLevel="0" collapsed="false">
      <c r="A306" s="24"/>
      <c r="B306" s="27"/>
      <c r="C306" s="24"/>
      <c r="D306" s="28"/>
      <c r="E306" s="24"/>
      <c r="F306" s="24"/>
      <c r="G306" s="24"/>
      <c r="H306" s="24"/>
      <c r="I306" s="29" t="str">
        <f aca="false">IF($A306="","",COUNTIFS($H$2:$H$1001,$A306,$D$2:$D$1001,"Reuse"))</f>
        <v/>
      </c>
    </row>
    <row r="307" customFormat="false" ht="15" hidden="false" customHeight="false" outlineLevel="0" collapsed="false">
      <c r="A307" s="24"/>
      <c r="B307" s="27"/>
      <c r="C307" s="24"/>
      <c r="D307" s="28"/>
      <c r="E307" s="24"/>
      <c r="F307" s="24"/>
      <c r="G307" s="24"/>
      <c r="H307" s="24"/>
      <c r="I307" s="29" t="str">
        <f aca="false">IF($A307="","",COUNTIFS($H$2:$H$1001,$A307,$D$2:$D$1001,"Reuse"))</f>
        <v/>
      </c>
    </row>
    <row r="308" customFormat="false" ht="15" hidden="false" customHeight="false" outlineLevel="0" collapsed="false">
      <c r="A308" s="24"/>
      <c r="B308" s="27"/>
      <c r="C308" s="24"/>
      <c r="D308" s="28"/>
      <c r="E308" s="24"/>
      <c r="F308" s="24"/>
      <c r="G308" s="24"/>
      <c r="H308" s="24"/>
      <c r="I308" s="29" t="str">
        <f aca="false">IF($A308="","",COUNTIFS($H$2:$H$1001,$A308,$D$2:$D$1001,"Reuse"))</f>
        <v/>
      </c>
    </row>
    <row r="309" customFormat="false" ht="15" hidden="false" customHeight="false" outlineLevel="0" collapsed="false">
      <c r="A309" s="24"/>
      <c r="B309" s="27"/>
      <c r="C309" s="24"/>
      <c r="D309" s="28"/>
      <c r="E309" s="24"/>
      <c r="F309" s="24"/>
      <c r="G309" s="24"/>
      <c r="H309" s="24"/>
      <c r="I309" s="29" t="str">
        <f aca="false">IF($A309="","",COUNTIFS($H$2:$H$1001,$A309,$D$2:$D$1001,"Reuse"))</f>
        <v/>
      </c>
    </row>
    <row r="310" customFormat="false" ht="15" hidden="false" customHeight="false" outlineLevel="0" collapsed="false">
      <c r="A310" s="24"/>
      <c r="B310" s="27"/>
      <c r="C310" s="24"/>
      <c r="D310" s="28"/>
      <c r="E310" s="24"/>
      <c r="F310" s="24"/>
      <c r="G310" s="24"/>
      <c r="H310" s="24"/>
      <c r="I310" s="29" t="str">
        <f aca="false">IF($A310="","",COUNTIFS($H$2:$H$1001,$A310,$D$2:$D$1001,"Reuse"))</f>
        <v/>
      </c>
    </row>
    <row r="311" customFormat="false" ht="15" hidden="false" customHeight="false" outlineLevel="0" collapsed="false">
      <c r="A311" s="24"/>
      <c r="B311" s="27"/>
      <c r="C311" s="24"/>
      <c r="D311" s="28"/>
      <c r="E311" s="24"/>
      <c r="F311" s="24"/>
      <c r="G311" s="24"/>
      <c r="H311" s="24"/>
      <c r="I311" s="29" t="str">
        <f aca="false">IF($A311="","",COUNTIFS($H$2:$H$1001,$A311,$D$2:$D$1001,"Reuse"))</f>
        <v/>
      </c>
    </row>
    <row r="312" customFormat="false" ht="15" hidden="false" customHeight="false" outlineLevel="0" collapsed="false">
      <c r="A312" s="24"/>
      <c r="B312" s="27"/>
      <c r="C312" s="24"/>
      <c r="D312" s="28"/>
      <c r="E312" s="24"/>
      <c r="F312" s="24"/>
      <c r="G312" s="24"/>
      <c r="H312" s="24"/>
      <c r="I312" s="29" t="str">
        <f aca="false">IF($A312="","",COUNTIFS($H$2:$H$1001,$A312,$D$2:$D$1001,"Reuse"))</f>
        <v/>
      </c>
    </row>
    <row r="313" customFormat="false" ht="15" hidden="false" customHeight="false" outlineLevel="0" collapsed="false">
      <c r="A313" s="24"/>
      <c r="B313" s="27"/>
      <c r="C313" s="24"/>
      <c r="D313" s="28"/>
      <c r="E313" s="24"/>
      <c r="F313" s="24"/>
      <c r="G313" s="24"/>
      <c r="H313" s="24"/>
      <c r="I313" s="29" t="str">
        <f aca="false">IF($A313="","",COUNTIFS($H$2:$H$1001,$A313,$D$2:$D$1001,"Reuse"))</f>
        <v/>
      </c>
    </row>
    <row r="314" customFormat="false" ht="15" hidden="false" customHeight="false" outlineLevel="0" collapsed="false">
      <c r="A314" s="24"/>
      <c r="B314" s="27"/>
      <c r="C314" s="24"/>
      <c r="D314" s="28"/>
      <c r="E314" s="24"/>
      <c r="F314" s="24"/>
      <c r="G314" s="24"/>
      <c r="H314" s="24"/>
      <c r="I314" s="29" t="str">
        <f aca="false">IF($A314="","",COUNTIFS($H$2:$H$1001,$A314,$D$2:$D$1001,"Reuse"))</f>
        <v/>
      </c>
    </row>
    <row r="315" customFormat="false" ht="15" hidden="false" customHeight="false" outlineLevel="0" collapsed="false">
      <c r="A315" s="24"/>
      <c r="B315" s="27"/>
      <c r="C315" s="24"/>
      <c r="D315" s="28"/>
      <c r="E315" s="24"/>
      <c r="F315" s="24"/>
      <c r="G315" s="24"/>
      <c r="H315" s="24"/>
      <c r="I315" s="29" t="str">
        <f aca="false">IF($A315="","",COUNTIFS($H$2:$H$1001,$A315,$D$2:$D$1001,"Reuse"))</f>
        <v/>
      </c>
    </row>
    <row r="316" customFormat="false" ht="15" hidden="false" customHeight="false" outlineLevel="0" collapsed="false">
      <c r="A316" s="24"/>
      <c r="B316" s="27"/>
      <c r="C316" s="24"/>
      <c r="D316" s="28"/>
      <c r="E316" s="24"/>
      <c r="F316" s="24"/>
      <c r="G316" s="24"/>
      <c r="H316" s="24"/>
      <c r="I316" s="29" t="str">
        <f aca="false">IF($A316="","",COUNTIFS($H$2:$H$1001,$A316,$D$2:$D$1001,"Reuse"))</f>
        <v/>
      </c>
    </row>
    <row r="317" customFormat="false" ht="15" hidden="false" customHeight="false" outlineLevel="0" collapsed="false">
      <c r="A317" s="24"/>
      <c r="B317" s="27"/>
      <c r="C317" s="24"/>
      <c r="D317" s="28"/>
      <c r="E317" s="24"/>
      <c r="F317" s="24"/>
      <c r="G317" s="24"/>
      <c r="H317" s="24"/>
      <c r="I317" s="29" t="str">
        <f aca="false">IF($A317="","",COUNTIFS($H$2:$H$1001,$A317,$D$2:$D$1001,"Reuse"))</f>
        <v/>
      </c>
    </row>
    <row r="318" customFormat="false" ht="15" hidden="false" customHeight="false" outlineLevel="0" collapsed="false">
      <c r="A318" s="24"/>
      <c r="B318" s="27"/>
      <c r="C318" s="24"/>
      <c r="D318" s="28"/>
      <c r="E318" s="24"/>
      <c r="F318" s="24"/>
      <c r="G318" s="24"/>
      <c r="H318" s="24"/>
      <c r="I318" s="29" t="str">
        <f aca="false">IF($A318="","",COUNTIFS($H$2:$H$1001,$A318,$D$2:$D$1001,"Reuse"))</f>
        <v/>
      </c>
    </row>
    <row r="319" customFormat="false" ht="15" hidden="false" customHeight="false" outlineLevel="0" collapsed="false">
      <c r="A319" s="24"/>
      <c r="B319" s="27"/>
      <c r="C319" s="24"/>
      <c r="D319" s="28"/>
      <c r="E319" s="24"/>
      <c r="F319" s="24"/>
      <c r="G319" s="24"/>
      <c r="H319" s="24"/>
      <c r="I319" s="29" t="str">
        <f aca="false">IF($A319="","",COUNTIFS($H$2:$H$1001,$A319,$D$2:$D$1001,"Reuse"))</f>
        <v/>
      </c>
    </row>
    <row r="320" customFormat="false" ht="15" hidden="false" customHeight="false" outlineLevel="0" collapsed="false">
      <c r="A320" s="24"/>
      <c r="B320" s="27"/>
      <c r="C320" s="24"/>
      <c r="D320" s="28"/>
      <c r="E320" s="24"/>
      <c r="F320" s="24"/>
      <c r="G320" s="24"/>
      <c r="H320" s="24"/>
      <c r="I320" s="29" t="str">
        <f aca="false">IF($A320="","",COUNTIFS($H$2:$H$1001,$A320,$D$2:$D$1001,"Reuse"))</f>
        <v/>
      </c>
    </row>
    <row r="321" customFormat="false" ht="15" hidden="false" customHeight="false" outlineLevel="0" collapsed="false">
      <c r="A321" s="24"/>
      <c r="B321" s="27"/>
      <c r="C321" s="24"/>
      <c r="D321" s="28"/>
      <c r="E321" s="24"/>
      <c r="F321" s="24"/>
      <c r="G321" s="24"/>
      <c r="H321" s="24"/>
      <c r="I321" s="29" t="str">
        <f aca="false">IF($A321="","",COUNTIFS($H$2:$H$1001,$A321,$D$2:$D$1001,"Reuse"))</f>
        <v/>
      </c>
    </row>
    <row r="322" customFormat="false" ht="15" hidden="false" customHeight="false" outlineLevel="0" collapsed="false">
      <c r="A322" s="24"/>
      <c r="B322" s="27"/>
      <c r="C322" s="24"/>
      <c r="D322" s="28"/>
      <c r="E322" s="24"/>
      <c r="F322" s="24"/>
      <c r="G322" s="24"/>
      <c r="H322" s="24"/>
      <c r="I322" s="29" t="str">
        <f aca="false">IF($A322="","",COUNTIFS($H$2:$H$1001,$A322,$D$2:$D$1001,"Reuse"))</f>
        <v/>
      </c>
    </row>
    <row r="323" customFormat="false" ht="15" hidden="false" customHeight="false" outlineLevel="0" collapsed="false">
      <c r="A323" s="24"/>
      <c r="B323" s="27"/>
      <c r="C323" s="24"/>
      <c r="D323" s="28"/>
      <c r="E323" s="24"/>
      <c r="F323" s="24"/>
      <c r="G323" s="24"/>
      <c r="H323" s="24"/>
      <c r="I323" s="29" t="str">
        <f aca="false">IF($A323="","",COUNTIFS($H$2:$H$1001,$A323,$D$2:$D$1001,"Reuse"))</f>
        <v/>
      </c>
    </row>
    <row r="324" customFormat="false" ht="15" hidden="false" customHeight="false" outlineLevel="0" collapsed="false">
      <c r="A324" s="24"/>
      <c r="B324" s="27"/>
      <c r="C324" s="24"/>
      <c r="D324" s="28"/>
      <c r="E324" s="24"/>
      <c r="F324" s="24"/>
      <c r="G324" s="24"/>
      <c r="H324" s="24"/>
      <c r="I324" s="29" t="str">
        <f aca="false">IF($A324="","",COUNTIFS($H$2:$H$1001,$A324,$D$2:$D$1001,"Reuse"))</f>
        <v/>
      </c>
    </row>
    <row r="325" customFormat="false" ht="15" hidden="false" customHeight="false" outlineLevel="0" collapsed="false">
      <c r="A325" s="24"/>
      <c r="B325" s="27"/>
      <c r="C325" s="24"/>
      <c r="D325" s="28"/>
      <c r="E325" s="24"/>
      <c r="F325" s="24"/>
      <c r="G325" s="24"/>
      <c r="H325" s="24"/>
      <c r="I325" s="29" t="str">
        <f aca="false">IF($A325="","",COUNTIFS($H$2:$H$1001,$A325,$D$2:$D$1001,"Reuse"))</f>
        <v/>
      </c>
    </row>
    <row r="326" customFormat="false" ht="15" hidden="false" customHeight="false" outlineLevel="0" collapsed="false">
      <c r="A326" s="24"/>
      <c r="B326" s="27"/>
      <c r="C326" s="24"/>
      <c r="D326" s="28"/>
      <c r="E326" s="24"/>
      <c r="F326" s="24"/>
      <c r="G326" s="24"/>
      <c r="H326" s="24"/>
      <c r="I326" s="29" t="str">
        <f aca="false">IF($A326="","",COUNTIFS($H$2:$H$1001,$A326,$D$2:$D$1001,"Reuse"))</f>
        <v/>
      </c>
    </row>
    <row r="327" customFormat="false" ht="15" hidden="false" customHeight="false" outlineLevel="0" collapsed="false">
      <c r="A327" s="24"/>
      <c r="B327" s="27"/>
      <c r="C327" s="24"/>
      <c r="D327" s="28"/>
      <c r="E327" s="24"/>
      <c r="F327" s="24"/>
      <c r="G327" s="24"/>
      <c r="H327" s="24"/>
      <c r="I327" s="29" t="str">
        <f aca="false">IF($A327="","",COUNTIFS($H$2:$H$1001,$A327,$D$2:$D$1001,"Reuse"))</f>
        <v/>
      </c>
    </row>
    <row r="328" customFormat="false" ht="15" hidden="false" customHeight="false" outlineLevel="0" collapsed="false">
      <c r="A328" s="24"/>
      <c r="B328" s="27"/>
      <c r="C328" s="24"/>
      <c r="D328" s="28"/>
      <c r="E328" s="24"/>
      <c r="F328" s="24"/>
      <c r="G328" s="24"/>
      <c r="H328" s="24"/>
      <c r="I328" s="29" t="str">
        <f aca="false">IF($A328="","",COUNTIFS($H$2:$H$1001,$A328,$D$2:$D$1001,"Reuse"))</f>
        <v/>
      </c>
    </row>
    <row r="329" customFormat="false" ht="15" hidden="false" customHeight="false" outlineLevel="0" collapsed="false">
      <c r="A329" s="24"/>
      <c r="B329" s="27"/>
      <c r="C329" s="24"/>
      <c r="D329" s="28"/>
      <c r="E329" s="24"/>
      <c r="F329" s="24"/>
      <c r="G329" s="24"/>
      <c r="H329" s="24"/>
      <c r="I329" s="29" t="str">
        <f aca="false">IF($A329="","",COUNTIFS($H$2:$H$1001,$A329,$D$2:$D$1001,"Reuse"))</f>
        <v/>
      </c>
    </row>
    <row r="330" customFormat="false" ht="15" hidden="false" customHeight="false" outlineLevel="0" collapsed="false">
      <c r="A330" s="24"/>
      <c r="B330" s="27"/>
      <c r="C330" s="24"/>
      <c r="D330" s="28"/>
      <c r="E330" s="24"/>
      <c r="F330" s="24"/>
      <c r="G330" s="24"/>
      <c r="H330" s="24"/>
      <c r="I330" s="29" t="str">
        <f aca="false">IF($A330="","",COUNTIFS($H$2:$H$1001,$A330,$D$2:$D$1001,"Reuse"))</f>
        <v/>
      </c>
    </row>
    <row r="331" customFormat="false" ht="15" hidden="false" customHeight="false" outlineLevel="0" collapsed="false">
      <c r="A331" s="24"/>
      <c r="B331" s="27"/>
      <c r="C331" s="24"/>
      <c r="D331" s="28"/>
      <c r="E331" s="24"/>
      <c r="F331" s="24"/>
      <c r="G331" s="24"/>
      <c r="H331" s="24"/>
      <c r="I331" s="29" t="str">
        <f aca="false">IF($A331="","",COUNTIFS($H$2:$H$1001,$A331,$D$2:$D$1001,"Reuse"))</f>
        <v/>
      </c>
    </row>
    <row r="332" customFormat="false" ht="15" hidden="false" customHeight="false" outlineLevel="0" collapsed="false">
      <c r="A332" s="24"/>
      <c r="B332" s="27"/>
      <c r="C332" s="24"/>
      <c r="D332" s="28"/>
      <c r="E332" s="24"/>
      <c r="F332" s="24"/>
      <c r="G332" s="24"/>
      <c r="H332" s="24"/>
      <c r="I332" s="29" t="str">
        <f aca="false">IF($A332="","",COUNTIFS($H$2:$H$1001,$A332,$D$2:$D$1001,"Reuse"))</f>
        <v/>
      </c>
    </row>
    <row r="333" customFormat="false" ht="15" hidden="false" customHeight="false" outlineLevel="0" collapsed="false">
      <c r="A333" s="24"/>
      <c r="B333" s="27"/>
      <c r="C333" s="24"/>
      <c r="D333" s="28"/>
      <c r="E333" s="24"/>
      <c r="F333" s="24"/>
      <c r="G333" s="24"/>
      <c r="H333" s="24"/>
      <c r="I333" s="29" t="str">
        <f aca="false">IF($A333="","",COUNTIFS($H$2:$H$1001,$A333,$D$2:$D$1001,"Reuse"))</f>
        <v/>
      </c>
    </row>
    <row r="334" customFormat="false" ht="15" hidden="false" customHeight="false" outlineLevel="0" collapsed="false">
      <c r="A334" s="24"/>
      <c r="B334" s="27"/>
      <c r="C334" s="24"/>
      <c r="D334" s="28"/>
      <c r="E334" s="24"/>
      <c r="F334" s="24"/>
      <c r="G334" s="24"/>
      <c r="H334" s="24"/>
      <c r="I334" s="29" t="str">
        <f aca="false">IF($A334="","",COUNTIFS($H$2:$H$1001,$A334,$D$2:$D$1001,"Reuse"))</f>
        <v/>
      </c>
    </row>
    <row r="335" customFormat="false" ht="15" hidden="false" customHeight="false" outlineLevel="0" collapsed="false">
      <c r="A335" s="24"/>
      <c r="B335" s="27"/>
      <c r="C335" s="24"/>
      <c r="D335" s="28"/>
      <c r="E335" s="24"/>
      <c r="F335" s="24"/>
      <c r="G335" s="24"/>
      <c r="H335" s="24"/>
      <c r="I335" s="29" t="str">
        <f aca="false">IF($A335="","",COUNTIFS($H$2:$H$1001,$A335,$D$2:$D$1001,"Reuse"))</f>
        <v/>
      </c>
    </row>
    <row r="336" customFormat="false" ht="15" hidden="false" customHeight="false" outlineLevel="0" collapsed="false">
      <c r="A336" s="24"/>
      <c r="B336" s="27"/>
      <c r="C336" s="24"/>
      <c r="D336" s="28"/>
      <c r="E336" s="24"/>
      <c r="F336" s="24"/>
      <c r="G336" s="24"/>
      <c r="H336" s="24"/>
      <c r="I336" s="29" t="str">
        <f aca="false">IF($A336="","",COUNTIFS($H$2:$H$1001,$A336,$D$2:$D$1001,"Reuse"))</f>
        <v/>
      </c>
    </row>
    <row r="337" customFormat="false" ht="15" hidden="false" customHeight="false" outlineLevel="0" collapsed="false">
      <c r="A337" s="24"/>
      <c r="B337" s="27"/>
      <c r="C337" s="24"/>
      <c r="D337" s="28"/>
      <c r="E337" s="24"/>
      <c r="F337" s="24"/>
      <c r="G337" s="24"/>
      <c r="H337" s="24"/>
      <c r="I337" s="29" t="str">
        <f aca="false">IF($A337="","",COUNTIFS($H$2:$H$1001,$A337,$D$2:$D$1001,"Reuse"))</f>
        <v/>
      </c>
    </row>
    <row r="338" customFormat="false" ht="15" hidden="false" customHeight="false" outlineLevel="0" collapsed="false">
      <c r="A338" s="24"/>
      <c r="B338" s="27"/>
      <c r="C338" s="24"/>
      <c r="D338" s="28"/>
      <c r="E338" s="24"/>
      <c r="F338" s="24"/>
      <c r="G338" s="24"/>
      <c r="H338" s="24"/>
      <c r="I338" s="29" t="str">
        <f aca="false">IF($A338="","",COUNTIFS($H$2:$H$1001,$A338,$D$2:$D$1001,"Reuse"))</f>
        <v/>
      </c>
    </row>
    <row r="339" customFormat="false" ht="15" hidden="false" customHeight="false" outlineLevel="0" collapsed="false">
      <c r="A339" s="24"/>
      <c r="B339" s="27"/>
      <c r="C339" s="24"/>
      <c r="D339" s="28"/>
      <c r="E339" s="24"/>
      <c r="F339" s="24"/>
      <c r="G339" s="24"/>
      <c r="H339" s="24"/>
      <c r="I339" s="29" t="str">
        <f aca="false">IF($A339="","",COUNTIFS($H$2:$H$1001,$A339,$D$2:$D$1001,"Reuse"))</f>
        <v/>
      </c>
    </row>
    <row r="340" customFormat="false" ht="15" hidden="false" customHeight="false" outlineLevel="0" collapsed="false">
      <c r="A340" s="24"/>
      <c r="B340" s="27"/>
      <c r="C340" s="24"/>
      <c r="D340" s="28"/>
      <c r="E340" s="24"/>
      <c r="F340" s="24"/>
      <c r="G340" s="24"/>
      <c r="H340" s="24"/>
      <c r="I340" s="29" t="str">
        <f aca="false">IF($A340="","",COUNTIFS($H$2:$H$1001,$A340,$D$2:$D$1001,"Reuse"))</f>
        <v/>
      </c>
    </row>
    <row r="341" customFormat="false" ht="15" hidden="false" customHeight="false" outlineLevel="0" collapsed="false">
      <c r="A341" s="24"/>
      <c r="B341" s="27"/>
      <c r="C341" s="24"/>
      <c r="D341" s="28"/>
      <c r="E341" s="24"/>
      <c r="F341" s="24"/>
      <c r="G341" s="24"/>
      <c r="H341" s="24"/>
      <c r="I341" s="29" t="str">
        <f aca="false">IF($A341="","",COUNTIFS($H$2:$H$1001,$A341,$D$2:$D$1001,"Reuse"))</f>
        <v/>
      </c>
    </row>
    <row r="342" customFormat="false" ht="15" hidden="false" customHeight="false" outlineLevel="0" collapsed="false">
      <c r="A342" s="24"/>
      <c r="B342" s="27"/>
      <c r="C342" s="24"/>
      <c r="D342" s="28"/>
      <c r="E342" s="24"/>
      <c r="F342" s="24"/>
      <c r="G342" s="24"/>
      <c r="H342" s="24"/>
      <c r="I342" s="29" t="str">
        <f aca="false">IF($A342="","",COUNTIFS($H$2:$H$1001,$A342,$D$2:$D$1001,"Reuse"))</f>
        <v/>
      </c>
    </row>
    <row r="343" customFormat="false" ht="15" hidden="false" customHeight="false" outlineLevel="0" collapsed="false">
      <c r="A343" s="24"/>
      <c r="B343" s="27"/>
      <c r="C343" s="24"/>
      <c r="D343" s="28"/>
      <c r="E343" s="24"/>
      <c r="F343" s="24"/>
      <c r="G343" s="24"/>
      <c r="H343" s="24"/>
      <c r="I343" s="29" t="str">
        <f aca="false">IF($A343="","",COUNTIFS($H$2:$H$1001,$A343,$D$2:$D$1001,"Reuse"))</f>
        <v/>
      </c>
    </row>
    <row r="344" customFormat="false" ht="15" hidden="false" customHeight="false" outlineLevel="0" collapsed="false">
      <c r="A344" s="24"/>
      <c r="B344" s="27"/>
      <c r="C344" s="24"/>
      <c r="D344" s="28"/>
      <c r="E344" s="24"/>
      <c r="F344" s="24"/>
      <c r="G344" s="24"/>
      <c r="H344" s="24"/>
      <c r="I344" s="29" t="str">
        <f aca="false">IF($A344="","",COUNTIFS($H$2:$H$1001,$A344,$D$2:$D$1001,"Reuse"))</f>
        <v/>
      </c>
    </row>
    <row r="345" customFormat="false" ht="15" hidden="false" customHeight="false" outlineLevel="0" collapsed="false">
      <c r="A345" s="24"/>
      <c r="B345" s="27"/>
      <c r="C345" s="24"/>
      <c r="D345" s="28"/>
      <c r="E345" s="24"/>
      <c r="F345" s="24"/>
      <c r="G345" s="24"/>
      <c r="H345" s="24"/>
      <c r="I345" s="29" t="str">
        <f aca="false">IF($A345="","",COUNTIFS($H$2:$H$1001,$A345,$D$2:$D$1001,"Reuse"))</f>
        <v/>
      </c>
    </row>
    <row r="346" customFormat="false" ht="15" hidden="false" customHeight="false" outlineLevel="0" collapsed="false">
      <c r="A346" s="24"/>
      <c r="B346" s="27"/>
      <c r="C346" s="24"/>
      <c r="D346" s="28"/>
      <c r="E346" s="24"/>
      <c r="F346" s="24"/>
      <c r="G346" s="24"/>
      <c r="H346" s="24"/>
      <c r="I346" s="29" t="str">
        <f aca="false">IF($A346="","",COUNTIFS($H$2:$H$1001,$A346,$D$2:$D$1001,"Reuse"))</f>
        <v/>
      </c>
    </row>
    <row r="347" customFormat="false" ht="15" hidden="false" customHeight="false" outlineLevel="0" collapsed="false">
      <c r="A347" s="24"/>
      <c r="B347" s="27"/>
      <c r="C347" s="24"/>
      <c r="D347" s="28"/>
      <c r="E347" s="24"/>
      <c r="F347" s="24"/>
      <c r="G347" s="24"/>
      <c r="H347" s="24"/>
      <c r="I347" s="29" t="str">
        <f aca="false">IF($A347="","",COUNTIFS($H$2:$H$1001,$A347,$D$2:$D$1001,"Reuse"))</f>
        <v/>
      </c>
    </row>
    <row r="348" customFormat="false" ht="15" hidden="false" customHeight="false" outlineLevel="0" collapsed="false">
      <c r="A348" s="24"/>
      <c r="B348" s="27"/>
      <c r="C348" s="24"/>
      <c r="D348" s="28"/>
      <c r="E348" s="24"/>
      <c r="F348" s="24"/>
      <c r="G348" s="24"/>
      <c r="H348" s="24"/>
      <c r="I348" s="29" t="str">
        <f aca="false">IF($A348="","",COUNTIFS($H$2:$H$1001,$A348,$D$2:$D$1001,"Reuse"))</f>
        <v/>
      </c>
    </row>
    <row r="349" customFormat="false" ht="15" hidden="false" customHeight="false" outlineLevel="0" collapsed="false">
      <c r="A349" s="24"/>
      <c r="B349" s="27"/>
      <c r="C349" s="24"/>
      <c r="D349" s="28"/>
      <c r="E349" s="24"/>
      <c r="F349" s="24"/>
      <c r="G349" s="24"/>
      <c r="H349" s="24"/>
      <c r="I349" s="29" t="str">
        <f aca="false">IF($A349="","",COUNTIFS($H$2:$H$1001,$A349,$D$2:$D$1001,"Reuse"))</f>
        <v/>
      </c>
    </row>
    <row r="350" customFormat="false" ht="15" hidden="false" customHeight="false" outlineLevel="0" collapsed="false">
      <c r="A350" s="24"/>
      <c r="B350" s="27"/>
      <c r="C350" s="24"/>
      <c r="D350" s="28"/>
      <c r="E350" s="24"/>
      <c r="F350" s="24"/>
      <c r="G350" s="24"/>
      <c r="H350" s="24"/>
      <c r="I350" s="29" t="str">
        <f aca="false">IF($A350="","",COUNTIFS($H$2:$H$1001,$A350,$D$2:$D$1001,"Reuse"))</f>
        <v/>
      </c>
    </row>
    <row r="351" customFormat="false" ht="15" hidden="false" customHeight="false" outlineLevel="0" collapsed="false">
      <c r="A351" s="24"/>
      <c r="B351" s="27"/>
      <c r="C351" s="24"/>
      <c r="D351" s="28"/>
      <c r="E351" s="24"/>
      <c r="F351" s="24"/>
      <c r="G351" s="24"/>
      <c r="H351" s="24"/>
      <c r="I351" s="29" t="str">
        <f aca="false">IF($A351="","",COUNTIFS($H$2:$H$1001,$A351,$D$2:$D$1001,"Reuse"))</f>
        <v/>
      </c>
    </row>
    <row r="352" customFormat="false" ht="15" hidden="false" customHeight="false" outlineLevel="0" collapsed="false">
      <c r="A352" s="24"/>
      <c r="B352" s="27"/>
      <c r="C352" s="24"/>
      <c r="D352" s="28"/>
      <c r="E352" s="24"/>
      <c r="F352" s="24"/>
      <c r="G352" s="24"/>
      <c r="H352" s="24"/>
      <c r="I352" s="29" t="str">
        <f aca="false">IF($A352="","",COUNTIFS($H$2:$H$1001,$A352,$D$2:$D$1001,"Reuse"))</f>
        <v/>
      </c>
    </row>
    <row r="353" customFormat="false" ht="15" hidden="false" customHeight="false" outlineLevel="0" collapsed="false">
      <c r="A353" s="24"/>
      <c r="B353" s="27"/>
      <c r="C353" s="24"/>
      <c r="D353" s="28"/>
      <c r="E353" s="24"/>
      <c r="F353" s="24"/>
      <c r="G353" s="24"/>
      <c r="H353" s="24"/>
      <c r="I353" s="29" t="str">
        <f aca="false">IF($A353="","",COUNTIFS($H$2:$H$1001,$A353,$D$2:$D$1001,"Reuse"))</f>
        <v/>
      </c>
    </row>
    <row r="354" customFormat="false" ht="15" hidden="false" customHeight="false" outlineLevel="0" collapsed="false">
      <c r="A354" s="24"/>
      <c r="B354" s="27"/>
      <c r="C354" s="24"/>
      <c r="D354" s="28"/>
      <c r="E354" s="24"/>
      <c r="F354" s="24"/>
      <c r="G354" s="24"/>
      <c r="H354" s="24"/>
      <c r="I354" s="29" t="str">
        <f aca="false">IF($A354="","",COUNTIFS($H$2:$H$1001,$A354,$D$2:$D$1001,"Reuse"))</f>
        <v/>
      </c>
    </row>
    <row r="355" customFormat="false" ht="15" hidden="false" customHeight="false" outlineLevel="0" collapsed="false">
      <c r="A355" s="24"/>
      <c r="B355" s="27"/>
      <c r="C355" s="24"/>
      <c r="D355" s="28"/>
      <c r="E355" s="24"/>
      <c r="F355" s="24"/>
      <c r="G355" s="24"/>
      <c r="H355" s="24"/>
      <c r="I355" s="29" t="str">
        <f aca="false">IF($A355="","",COUNTIFS($H$2:$H$1001,$A355,$D$2:$D$1001,"Reuse"))</f>
        <v/>
      </c>
    </row>
    <row r="356" customFormat="false" ht="15" hidden="false" customHeight="false" outlineLevel="0" collapsed="false">
      <c r="A356" s="24"/>
      <c r="B356" s="27"/>
      <c r="C356" s="24"/>
      <c r="D356" s="28"/>
      <c r="E356" s="24"/>
      <c r="F356" s="24"/>
      <c r="G356" s="24"/>
      <c r="H356" s="24"/>
      <c r="I356" s="29" t="str">
        <f aca="false">IF($A356="","",COUNTIFS($H$2:$H$1001,$A356,$D$2:$D$1001,"Reuse"))</f>
        <v/>
      </c>
    </row>
    <row r="357" customFormat="false" ht="15" hidden="false" customHeight="false" outlineLevel="0" collapsed="false">
      <c r="A357" s="24"/>
      <c r="B357" s="27"/>
      <c r="C357" s="24"/>
      <c r="D357" s="28"/>
      <c r="E357" s="24"/>
      <c r="F357" s="24"/>
      <c r="G357" s="24"/>
      <c r="H357" s="24"/>
      <c r="I357" s="29" t="str">
        <f aca="false">IF($A357="","",COUNTIFS($H$2:$H$1001,$A357,$D$2:$D$1001,"Reuse"))</f>
        <v/>
      </c>
    </row>
    <row r="358" customFormat="false" ht="15" hidden="false" customHeight="false" outlineLevel="0" collapsed="false">
      <c r="A358" s="24"/>
      <c r="B358" s="27"/>
      <c r="C358" s="24"/>
      <c r="D358" s="28"/>
      <c r="E358" s="24"/>
      <c r="F358" s="24"/>
      <c r="G358" s="24"/>
      <c r="H358" s="24"/>
      <c r="I358" s="29" t="str">
        <f aca="false">IF($A358="","",COUNTIFS($H$2:$H$1001,$A358,$D$2:$D$1001,"Reuse"))</f>
        <v/>
      </c>
    </row>
    <row r="359" customFormat="false" ht="15" hidden="false" customHeight="false" outlineLevel="0" collapsed="false">
      <c r="A359" s="24"/>
      <c r="B359" s="27"/>
      <c r="C359" s="24"/>
      <c r="D359" s="28"/>
      <c r="E359" s="24"/>
      <c r="F359" s="24"/>
      <c r="G359" s="24"/>
      <c r="H359" s="24"/>
      <c r="I359" s="29" t="str">
        <f aca="false">IF($A359="","",COUNTIFS($H$2:$H$1001,$A359,$D$2:$D$1001,"Reuse"))</f>
        <v/>
      </c>
    </row>
    <row r="360" customFormat="false" ht="15" hidden="false" customHeight="false" outlineLevel="0" collapsed="false">
      <c r="A360" s="24"/>
      <c r="B360" s="27"/>
      <c r="C360" s="24"/>
      <c r="D360" s="28"/>
      <c r="E360" s="24"/>
      <c r="F360" s="24"/>
      <c r="G360" s="24"/>
      <c r="H360" s="24"/>
      <c r="I360" s="29" t="str">
        <f aca="false">IF($A360="","",COUNTIFS($H$2:$H$1001,$A360,$D$2:$D$1001,"Reuse"))</f>
        <v/>
      </c>
    </row>
    <row r="361" customFormat="false" ht="15" hidden="false" customHeight="false" outlineLevel="0" collapsed="false">
      <c r="A361" s="24"/>
      <c r="B361" s="27"/>
      <c r="C361" s="24"/>
      <c r="D361" s="28"/>
      <c r="E361" s="24"/>
      <c r="F361" s="24"/>
      <c r="G361" s="24"/>
      <c r="H361" s="24"/>
      <c r="I361" s="29" t="str">
        <f aca="false">IF($A361="","",COUNTIFS($H$2:$H$1001,$A361,$D$2:$D$1001,"Reuse"))</f>
        <v/>
      </c>
    </row>
    <row r="362" customFormat="false" ht="15" hidden="false" customHeight="false" outlineLevel="0" collapsed="false">
      <c r="A362" s="24"/>
      <c r="B362" s="27"/>
      <c r="C362" s="24"/>
      <c r="D362" s="28"/>
      <c r="E362" s="24"/>
      <c r="F362" s="24"/>
      <c r="G362" s="24"/>
      <c r="H362" s="24"/>
      <c r="I362" s="29" t="str">
        <f aca="false">IF($A362="","",COUNTIFS($H$2:$H$1001,$A362,$D$2:$D$1001,"Reuse"))</f>
        <v/>
      </c>
    </row>
    <row r="363" customFormat="false" ht="15" hidden="false" customHeight="false" outlineLevel="0" collapsed="false">
      <c r="A363" s="24"/>
      <c r="B363" s="27"/>
      <c r="C363" s="24"/>
      <c r="D363" s="28"/>
      <c r="E363" s="24"/>
      <c r="F363" s="24"/>
      <c r="G363" s="24"/>
      <c r="H363" s="24"/>
      <c r="I363" s="29" t="str">
        <f aca="false">IF($A363="","",COUNTIFS($H$2:$H$1001,$A363,$D$2:$D$1001,"Reuse"))</f>
        <v/>
      </c>
    </row>
    <row r="364" customFormat="false" ht="15" hidden="false" customHeight="false" outlineLevel="0" collapsed="false">
      <c r="A364" s="24"/>
      <c r="B364" s="27"/>
      <c r="C364" s="24"/>
      <c r="D364" s="28"/>
      <c r="E364" s="24"/>
      <c r="F364" s="24"/>
      <c r="G364" s="24"/>
      <c r="H364" s="24"/>
      <c r="I364" s="29" t="str">
        <f aca="false">IF($A364="","",COUNTIFS($H$2:$H$1001,$A364,$D$2:$D$1001,"Reuse"))</f>
        <v/>
      </c>
    </row>
    <row r="365" customFormat="false" ht="15" hidden="false" customHeight="false" outlineLevel="0" collapsed="false">
      <c r="A365" s="24"/>
      <c r="B365" s="27"/>
      <c r="C365" s="24"/>
      <c r="D365" s="28"/>
      <c r="E365" s="24"/>
      <c r="F365" s="24"/>
      <c r="G365" s="24"/>
      <c r="H365" s="24"/>
      <c r="I365" s="29" t="str">
        <f aca="false">IF($A365="","",COUNTIFS($H$2:$H$1001,$A365,$D$2:$D$1001,"Reuse"))</f>
        <v/>
      </c>
    </row>
    <row r="366" customFormat="false" ht="15" hidden="false" customHeight="false" outlineLevel="0" collapsed="false">
      <c r="A366" s="24"/>
      <c r="B366" s="27"/>
      <c r="C366" s="24"/>
      <c r="D366" s="28"/>
      <c r="E366" s="24"/>
      <c r="F366" s="24"/>
      <c r="G366" s="24"/>
      <c r="H366" s="24"/>
      <c r="I366" s="29" t="str">
        <f aca="false">IF($A366="","",COUNTIFS($H$2:$H$1001,$A366,$D$2:$D$1001,"Reuse"))</f>
        <v/>
      </c>
    </row>
    <row r="367" customFormat="false" ht="15" hidden="false" customHeight="false" outlineLevel="0" collapsed="false">
      <c r="A367" s="24"/>
      <c r="B367" s="27"/>
      <c r="C367" s="24"/>
      <c r="D367" s="28"/>
      <c r="E367" s="24"/>
      <c r="F367" s="24"/>
      <c r="G367" s="24"/>
      <c r="H367" s="24"/>
      <c r="I367" s="29" t="str">
        <f aca="false">IF($A367="","",COUNTIFS($H$2:$H$1001,$A367,$D$2:$D$1001,"Reuse"))</f>
        <v/>
      </c>
    </row>
    <row r="368" customFormat="false" ht="15" hidden="false" customHeight="false" outlineLevel="0" collapsed="false">
      <c r="A368" s="24"/>
      <c r="B368" s="27"/>
      <c r="C368" s="24"/>
      <c r="D368" s="28"/>
      <c r="E368" s="24"/>
      <c r="F368" s="24"/>
      <c r="G368" s="24"/>
      <c r="H368" s="24"/>
      <c r="I368" s="29" t="str">
        <f aca="false">IF($A368="","",COUNTIFS($H$2:$H$1001,$A368,$D$2:$D$1001,"Reuse"))</f>
        <v/>
      </c>
    </row>
    <row r="369" customFormat="false" ht="15" hidden="false" customHeight="false" outlineLevel="0" collapsed="false">
      <c r="A369" s="24"/>
      <c r="B369" s="27"/>
      <c r="C369" s="24"/>
      <c r="D369" s="28"/>
      <c r="E369" s="24"/>
      <c r="F369" s="24"/>
      <c r="G369" s="24"/>
      <c r="H369" s="24"/>
      <c r="I369" s="29" t="str">
        <f aca="false">IF($A369="","",COUNTIFS($H$2:$H$1001,$A369,$D$2:$D$1001,"Reuse"))</f>
        <v/>
      </c>
    </row>
    <row r="370" customFormat="false" ht="15" hidden="false" customHeight="false" outlineLevel="0" collapsed="false">
      <c r="A370" s="24"/>
      <c r="B370" s="27"/>
      <c r="C370" s="24"/>
      <c r="D370" s="28"/>
      <c r="E370" s="24"/>
      <c r="F370" s="24"/>
      <c r="G370" s="24"/>
      <c r="H370" s="24"/>
      <c r="I370" s="29" t="str">
        <f aca="false">IF($A370="","",COUNTIFS($H$2:$H$1001,$A370,$D$2:$D$1001,"Reuse"))</f>
        <v/>
      </c>
    </row>
    <row r="371" customFormat="false" ht="15" hidden="false" customHeight="false" outlineLevel="0" collapsed="false">
      <c r="A371" s="24"/>
      <c r="B371" s="27"/>
      <c r="C371" s="24"/>
      <c r="D371" s="28"/>
      <c r="E371" s="24"/>
      <c r="F371" s="24"/>
      <c r="G371" s="24"/>
      <c r="H371" s="24"/>
      <c r="I371" s="29" t="str">
        <f aca="false">IF($A371="","",COUNTIFS($H$2:$H$1001,$A371,$D$2:$D$1001,"Reuse"))</f>
        <v/>
      </c>
    </row>
    <row r="372" customFormat="false" ht="15" hidden="false" customHeight="false" outlineLevel="0" collapsed="false">
      <c r="A372" s="24"/>
      <c r="B372" s="27"/>
      <c r="C372" s="24"/>
      <c r="D372" s="28"/>
      <c r="E372" s="24"/>
      <c r="F372" s="24"/>
      <c r="G372" s="24"/>
      <c r="H372" s="24"/>
      <c r="I372" s="29" t="str">
        <f aca="false">IF($A372="","",COUNTIFS($H$2:$H$1001,$A372,$D$2:$D$1001,"Reuse"))</f>
        <v/>
      </c>
    </row>
    <row r="373" customFormat="false" ht="15" hidden="false" customHeight="false" outlineLevel="0" collapsed="false">
      <c r="A373" s="24"/>
      <c r="B373" s="27"/>
      <c r="C373" s="24"/>
      <c r="D373" s="28"/>
      <c r="E373" s="24"/>
      <c r="F373" s="24"/>
      <c r="G373" s="24"/>
      <c r="H373" s="24"/>
      <c r="I373" s="29" t="str">
        <f aca="false">IF($A373="","",COUNTIFS($H$2:$H$1001,$A373,$D$2:$D$1001,"Reuse"))</f>
        <v/>
      </c>
    </row>
    <row r="374" customFormat="false" ht="15" hidden="false" customHeight="false" outlineLevel="0" collapsed="false">
      <c r="A374" s="24"/>
      <c r="B374" s="27"/>
      <c r="C374" s="24"/>
      <c r="D374" s="28"/>
      <c r="E374" s="24"/>
      <c r="F374" s="24"/>
      <c r="G374" s="24"/>
      <c r="H374" s="24"/>
      <c r="I374" s="29" t="str">
        <f aca="false">IF($A374="","",COUNTIFS($H$2:$H$1001,$A374,$D$2:$D$1001,"Reuse"))</f>
        <v/>
      </c>
    </row>
    <row r="375" customFormat="false" ht="15" hidden="false" customHeight="false" outlineLevel="0" collapsed="false">
      <c r="A375" s="24"/>
      <c r="B375" s="27"/>
      <c r="C375" s="24"/>
      <c r="D375" s="28"/>
      <c r="E375" s="24"/>
      <c r="F375" s="24"/>
      <c r="G375" s="24"/>
      <c r="H375" s="24"/>
      <c r="I375" s="29" t="str">
        <f aca="false">IF($A375="","",COUNTIFS($H$2:$H$1001,$A375,$D$2:$D$1001,"Reuse"))</f>
        <v/>
      </c>
    </row>
    <row r="376" customFormat="false" ht="15" hidden="false" customHeight="false" outlineLevel="0" collapsed="false">
      <c r="A376" s="24"/>
      <c r="B376" s="27"/>
      <c r="C376" s="24"/>
      <c r="D376" s="28"/>
      <c r="E376" s="24"/>
      <c r="F376" s="24"/>
      <c r="G376" s="24"/>
      <c r="H376" s="24"/>
      <c r="I376" s="29" t="str">
        <f aca="false">IF($A376="","",COUNTIFS($H$2:$H$1001,$A376,$D$2:$D$1001,"Reuse"))</f>
        <v/>
      </c>
    </row>
    <row r="377" customFormat="false" ht="15" hidden="false" customHeight="false" outlineLevel="0" collapsed="false">
      <c r="A377" s="24"/>
      <c r="B377" s="27"/>
      <c r="C377" s="24"/>
      <c r="D377" s="28"/>
      <c r="E377" s="24"/>
      <c r="F377" s="24"/>
      <c r="G377" s="24"/>
      <c r="H377" s="24"/>
      <c r="I377" s="29" t="str">
        <f aca="false">IF($A377="","",COUNTIFS($H$2:$H$1001,$A377,$D$2:$D$1001,"Reuse"))</f>
        <v/>
      </c>
    </row>
    <row r="378" customFormat="false" ht="15" hidden="false" customHeight="false" outlineLevel="0" collapsed="false">
      <c r="A378" s="24"/>
      <c r="B378" s="27"/>
      <c r="C378" s="24"/>
      <c r="D378" s="28"/>
      <c r="E378" s="24"/>
      <c r="F378" s="24"/>
      <c r="G378" s="24"/>
      <c r="H378" s="24"/>
      <c r="I378" s="29" t="str">
        <f aca="false">IF($A378="","",COUNTIFS($H$2:$H$1001,$A378,$D$2:$D$1001,"Reuse"))</f>
        <v/>
      </c>
    </row>
    <row r="379" customFormat="false" ht="15" hidden="false" customHeight="false" outlineLevel="0" collapsed="false">
      <c r="A379" s="24"/>
      <c r="B379" s="27"/>
      <c r="C379" s="24"/>
      <c r="D379" s="28"/>
      <c r="E379" s="24"/>
      <c r="F379" s="24"/>
      <c r="G379" s="24"/>
      <c r="H379" s="24"/>
      <c r="I379" s="29" t="str">
        <f aca="false">IF($A379="","",COUNTIFS($H$2:$H$1001,$A379,$D$2:$D$1001,"Reuse"))</f>
        <v/>
      </c>
    </row>
    <row r="380" customFormat="false" ht="15" hidden="false" customHeight="false" outlineLevel="0" collapsed="false">
      <c r="A380" s="24"/>
      <c r="B380" s="27"/>
      <c r="C380" s="24"/>
      <c r="D380" s="28"/>
      <c r="E380" s="24"/>
      <c r="F380" s="24"/>
      <c r="G380" s="24"/>
      <c r="H380" s="24"/>
      <c r="I380" s="29" t="str">
        <f aca="false">IF($A380="","",COUNTIFS($H$2:$H$1001,$A380,$D$2:$D$1001,"Reuse"))</f>
        <v/>
      </c>
    </row>
    <row r="381" customFormat="false" ht="15" hidden="false" customHeight="false" outlineLevel="0" collapsed="false">
      <c r="A381" s="24"/>
      <c r="B381" s="27"/>
      <c r="C381" s="24"/>
      <c r="D381" s="28"/>
      <c r="E381" s="24"/>
      <c r="F381" s="24"/>
      <c r="G381" s="24"/>
      <c r="H381" s="24"/>
      <c r="I381" s="29" t="str">
        <f aca="false">IF($A381="","",COUNTIFS($H$2:$H$1001,$A381,$D$2:$D$1001,"Reuse"))</f>
        <v/>
      </c>
    </row>
    <row r="382" customFormat="false" ht="15" hidden="false" customHeight="false" outlineLevel="0" collapsed="false">
      <c r="A382" s="24"/>
      <c r="B382" s="27"/>
      <c r="C382" s="24"/>
      <c r="D382" s="28"/>
      <c r="E382" s="24"/>
      <c r="F382" s="24"/>
      <c r="G382" s="24"/>
      <c r="H382" s="24"/>
      <c r="I382" s="29" t="str">
        <f aca="false">IF($A382="","",COUNTIFS($H$2:$H$1001,$A382,$D$2:$D$1001,"Reuse"))</f>
        <v/>
      </c>
    </row>
    <row r="383" customFormat="false" ht="15" hidden="false" customHeight="false" outlineLevel="0" collapsed="false">
      <c r="A383" s="24"/>
      <c r="B383" s="27"/>
      <c r="C383" s="24"/>
      <c r="D383" s="28"/>
      <c r="E383" s="24"/>
      <c r="F383" s="24"/>
      <c r="G383" s="24"/>
      <c r="H383" s="24"/>
      <c r="I383" s="29" t="str">
        <f aca="false">IF($A383="","",COUNTIFS($H$2:$H$1001,$A383,$D$2:$D$1001,"Reuse"))</f>
        <v/>
      </c>
    </row>
    <row r="384" customFormat="false" ht="15" hidden="false" customHeight="false" outlineLevel="0" collapsed="false">
      <c r="A384" s="24"/>
      <c r="B384" s="27"/>
      <c r="C384" s="24"/>
      <c r="D384" s="28"/>
      <c r="E384" s="24"/>
      <c r="F384" s="24"/>
      <c r="G384" s="24"/>
      <c r="H384" s="24"/>
      <c r="I384" s="29" t="str">
        <f aca="false">IF($A384="","",COUNTIFS($H$2:$H$1001,$A384,$D$2:$D$1001,"Reuse"))</f>
        <v/>
      </c>
    </row>
    <row r="385" customFormat="false" ht="15" hidden="false" customHeight="false" outlineLevel="0" collapsed="false">
      <c r="A385" s="24"/>
      <c r="B385" s="27"/>
      <c r="C385" s="24"/>
      <c r="D385" s="28"/>
      <c r="E385" s="24"/>
      <c r="F385" s="24"/>
      <c r="G385" s="24"/>
      <c r="H385" s="24"/>
      <c r="I385" s="29" t="str">
        <f aca="false">IF($A385="","",COUNTIFS($H$2:$H$1001,$A385,$D$2:$D$1001,"Reuse"))</f>
        <v/>
      </c>
    </row>
    <row r="386" customFormat="false" ht="15" hidden="false" customHeight="false" outlineLevel="0" collapsed="false">
      <c r="A386" s="24"/>
      <c r="B386" s="27"/>
      <c r="C386" s="24"/>
      <c r="D386" s="28"/>
      <c r="E386" s="24"/>
      <c r="F386" s="24"/>
      <c r="G386" s="24"/>
      <c r="H386" s="24"/>
      <c r="I386" s="29" t="str">
        <f aca="false">IF($A386="","",COUNTIFS($H$2:$H$1001,$A386,$D$2:$D$1001,"Reuse"))</f>
        <v/>
      </c>
    </row>
    <row r="387" customFormat="false" ht="15" hidden="false" customHeight="false" outlineLevel="0" collapsed="false">
      <c r="A387" s="24"/>
      <c r="B387" s="27"/>
      <c r="C387" s="24"/>
      <c r="D387" s="28"/>
      <c r="E387" s="24"/>
      <c r="F387" s="24"/>
      <c r="G387" s="24"/>
      <c r="H387" s="24"/>
      <c r="I387" s="29" t="str">
        <f aca="false">IF($A387="","",COUNTIFS($H$2:$H$1001,$A387,$D$2:$D$1001,"Reuse"))</f>
        <v/>
      </c>
    </row>
    <row r="388" customFormat="false" ht="15" hidden="false" customHeight="false" outlineLevel="0" collapsed="false">
      <c r="A388" s="24"/>
      <c r="B388" s="27"/>
      <c r="C388" s="24"/>
      <c r="D388" s="28"/>
      <c r="E388" s="24"/>
      <c r="F388" s="24"/>
      <c r="G388" s="24"/>
      <c r="H388" s="24"/>
      <c r="I388" s="29" t="str">
        <f aca="false">IF($A388="","",COUNTIFS($H$2:$H$1001,$A388,$D$2:$D$1001,"Reuse"))</f>
        <v/>
      </c>
    </row>
    <row r="389" customFormat="false" ht="15" hidden="false" customHeight="false" outlineLevel="0" collapsed="false">
      <c r="A389" s="24"/>
      <c r="B389" s="27"/>
      <c r="C389" s="24"/>
      <c r="D389" s="28"/>
      <c r="E389" s="24"/>
      <c r="F389" s="24"/>
      <c r="G389" s="24"/>
      <c r="H389" s="24"/>
      <c r="I389" s="29" t="str">
        <f aca="false">IF($A389="","",COUNTIFS($H$2:$H$1001,$A389,$D$2:$D$1001,"Reuse"))</f>
        <v/>
      </c>
    </row>
    <row r="390" customFormat="false" ht="15" hidden="false" customHeight="false" outlineLevel="0" collapsed="false">
      <c r="A390" s="24"/>
      <c r="B390" s="27"/>
      <c r="C390" s="24"/>
      <c r="D390" s="28"/>
      <c r="E390" s="24"/>
      <c r="F390" s="24"/>
      <c r="G390" s="24"/>
      <c r="H390" s="24"/>
      <c r="I390" s="29" t="str">
        <f aca="false">IF($A390="","",COUNTIFS($H$2:$H$1001,$A390,$D$2:$D$1001,"Reuse"))</f>
        <v/>
      </c>
    </row>
    <row r="391" customFormat="false" ht="15" hidden="false" customHeight="false" outlineLevel="0" collapsed="false">
      <c r="A391" s="24"/>
      <c r="B391" s="27"/>
      <c r="C391" s="24"/>
      <c r="D391" s="28"/>
      <c r="E391" s="24"/>
      <c r="F391" s="24"/>
      <c r="G391" s="24"/>
      <c r="H391" s="24"/>
      <c r="I391" s="29" t="str">
        <f aca="false">IF($A391="","",COUNTIFS($H$2:$H$1001,$A391,$D$2:$D$1001,"Reuse"))</f>
        <v/>
      </c>
    </row>
    <row r="392" customFormat="false" ht="15" hidden="false" customHeight="false" outlineLevel="0" collapsed="false">
      <c r="A392" s="24"/>
      <c r="B392" s="27"/>
      <c r="C392" s="24"/>
      <c r="D392" s="28"/>
      <c r="E392" s="24"/>
      <c r="F392" s="24"/>
      <c r="G392" s="24"/>
      <c r="H392" s="24"/>
      <c r="I392" s="29" t="str">
        <f aca="false">IF($A392="","",COUNTIFS($H$2:$H$1001,$A392,$D$2:$D$1001,"Reuse"))</f>
        <v/>
      </c>
    </row>
    <row r="393" customFormat="false" ht="15" hidden="false" customHeight="false" outlineLevel="0" collapsed="false">
      <c r="A393" s="24"/>
      <c r="B393" s="27"/>
      <c r="C393" s="24"/>
      <c r="D393" s="28"/>
      <c r="E393" s="24"/>
      <c r="F393" s="24"/>
      <c r="G393" s="24"/>
      <c r="H393" s="24"/>
      <c r="I393" s="29" t="str">
        <f aca="false">IF($A393="","",COUNTIFS($H$2:$H$1001,$A393,$D$2:$D$1001,"Reuse"))</f>
        <v/>
      </c>
    </row>
    <row r="394" customFormat="false" ht="15" hidden="false" customHeight="false" outlineLevel="0" collapsed="false">
      <c r="A394" s="24"/>
      <c r="B394" s="27"/>
      <c r="C394" s="24"/>
      <c r="D394" s="28"/>
      <c r="E394" s="24"/>
      <c r="F394" s="24"/>
      <c r="G394" s="24"/>
      <c r="H394" s="24"/>
      <c r="I394" s="29" t="str">
        <f aca="false">IF($A394="","",COUNTIFS($H$2:$H$1001,$A394,$D$2:$D$1001,"Reuse"))</f>
        <v/>
      </c>
    </row>
    <row r="395" customFormat="false" ht="15" hidden="false" customHeight="false" outlineLevel="0" collapsed="false">
      <c r="A395" s="24"/>
      <c r="B395" s="27"/>
      <c r="C395" s="24"/>
      <c r="D395" s="28"/>
      <c r="E395" s="24"/>
      <c r="F395" s="24"/>
      <c r="G395" s="24"/>
      <c r="H395" s="24"/>
      <c r="I395" s="29" t="str">
        <f aca="false">IF($A395="","",COUNTIFS($H$2:$H$1001,$A395,$D$2:$D$1001,"Reuse"))</f>
        <v/>
      </c>
    </row>
    <row r="396" customFormat="false" ht="15" hidden="false" customHeight="false" outlineLevel="0" collapsed="false">
      <c r="A396" s="24"/>
      <c r="B396" s="27"/>
      <c r="C396" s="24"/>
      <c r="D396" s="28"/>
      <c r="E396" s="24"/>
      <c r="F396" s="24"/>
      <c r="G396" s="24"/>
      <c r="H396" s="24"/>
      <c r="I396" s="29" t="str">
        <f aca="false">IF($A396="","",COUNTIFS($H$2:$H$1001,$A396,$D$2:$D$1001,"Reuse"))</f>
        <v/>
      </c>
    </row>
    <row r="397" customFormat="false" ht="15" hidden="false" customHeight="false" outlineLevel="0" collapsed="false">
      <c r="A397" s="24"/>
      <c r="B397" s="27"/>
      <c r="C397" s="24"/>
      <c r="D397" s="28"/>
      <c r="E397" s="24"/>
      <c r="F397" s="24"/>
      <c r="G397" s="24"/>
      <c r="H397" s="24"/>
      <c r="I397" s="29" t="str">
        <f aca="false">IF($A397="","",COUNTIFS($H$2:$H$1001,$A397,$D$2:$D$1001,"Reuse"))</f>
        <v/>
      </c>
    </row>
    <row r="398" customFormat="false" ht="15" hidden="false" customHeight="false" outlineLevel="0" collapsed="false">
      <c r="A398" s="24"/>
      <c r="B398" s="27"/>
      <c r="C398" s="24"/>
      <c r="D398" s="28"/>
      <c r="E398" s="24"/>
      <c r="F398" s="24"/>
      <c r="G398" s="24"/>
      <c r="H398" s="24"/>
      <c r="I398" s="29" t="str">
        <f aca="false">IF($A398="","",COUNTIFS($H$2:$H$1001,$A398,$D$2:$D$1001,"Reuse"))</f>
        <v/>
      </c>
    </row>
    <row r="399" customFormat="false" ht="15" hidden="false" customHeight="false" outlineLevel="0" collapsed="false">
      <c r="A399" s="24"/>
      <c r="B399" s="27"/>
      <c r="C399" s="24"/>
      <c r="D399" s="28"/>
      <c r="E399" s="24"/>
      <c r="F399" s="24"/>
      <c r="G399" s="24"/>
      <c r="H399" s="24"/>
      <c r="I399" s="29" t="str">
        <f aca="false">IF($A399="","",COUNTIFS($H$2:$H$1001,$A399,$D$2:$D$1001,"Reuse"))</f>
        <v/>
      </c>
    </row>
    <row r="400" customFormat="false" ht="15" hidden="false" customHeight="false" outlineLevel="0" collapsed="false">
      <c r="A400" s="24"/>
      <c r="B400" s="27"/>
      <c r="C400" s="24"/>
      <c r="D400" s="28"/>
      <c r="E400" s="24"/>
      <c r="F400" s="24"/>
      <c r="G400" s="24"/>
      <c r="H400" s="24"/>
      <c r="I400" s="29" t="str">
        <f aca="false">IF($A400="","",COUNTIFS($H$2:$H$1001,$A400,$D$2:$D$1001,"Reuse"))</f>
        <v/>
      </c>
    </row>
    <row r="401" customFormat="false" ht="15" hidden="false" customHeight="false" outlineLevel="0" collapsed="false">
      <c r="A401" s="24"/>
      <c r="B401" s="27"/>
      <c r="C401" s="24"/>
      <c r="D401" s="28"/>
      <c r="E401" s="24"/>
      <c r="F401" s="24"/>
      <c r="G401" s="24"/>
      <c r="H401" s="24"/>
      <c r="I401" s="29" t="str">
        <f aca="false">IF($A401="","",COUNTIFS($H$2:$H$1001,$A401,$D$2:$D$1001,"Reuse"))</f>
        <v/>
      </c>
    </row>
    <row r="402" customFormat="false" ht="15" hidden="false" customHeight="false" outlineLevel="0" collapsed="false">
      <c r="A402" s="24"/>
      <c r="B402" s="27"/>
      <c r="C402" s="24"/>
      <c r="D402" s="28"/>
      <c r="E402" s="24"/>
      <c r="F402" s="24"/>
      <c r="G402" s="24"/>
      <c r="H402" s="24"/>
      <c r="I402" s="29" t="str">
        <f aca="false">IF($A402="","",COUNTIFS($H$2:$H$1001,$A402,$D$2:$D$1001,"Reuse"))</f>
        <v/>
      </c>
    </row>
    <row r="403" customFormat="false" ht="15" hidden="false" customHeight="false" outlineLevel="0" collapsed="false">
      <c r="A403" s="24"/>
      <c r="B403" s="27"/>
      <c r="C403" s="24"/>
      <c r="D403" s="28"/>
      <c r="E403" s="24"/>
      <c r="F403" s="24"/>
      <c r="G403" s="24"/>
      <c r="H403" s="24"/>
      <c r="I403" s="29" t="str">
        <f aca="false">IF($A403="","",COUNTIFS($H$2:$H$1001,$A403,$D$2:$D$1001,"Reuse"))</f>
        <v/>
      </c>
    </row>
    <row r="404" customFormat="false" ht="15" hidden="false" customHeight="false" outlineLevel="0" collapsed="false">
      <c r="A404" s="24"/>
      <c r="B404" s="27"/>
      <c r="C404" s="24"/>
      <c r="D404" s="28"/>
      <c r="E404" s="24"/>
      <c r="F404" s="24"/>
      <c r="G404" s="24"/>
      <c r="H404" s="24"/>
      <c r="I404" s="29" t="str">
        <f aca="false">IF($A404="","",COUNTIFS($H$2:$H$1001,$A404,$D$2:$D$1001,"Reuse"))</f>
        <v/>
      </c>
    </row>
    <row r="405" customFormat="false" ht="15" hidden="false" customHeight="false" outlineLevel="0" collapsed="false">
      <c r="A405" s="24"/>
      <c r="B405" s="27"/>
      <c r="C405" s="24"/>
      <c r="D405" s="28"/>
      <c r="E405" s="24"/>
      <c r="F405" s="24"/>
      <c r="G405" s="24"/>
      <c r="H405" s="24"/>
      <c r="I405" s="29" t="str">
        <f aca="false">IF($A405="","",COUNTIFS($H$2:$H$1001,$A405,$D$2:$D$1001,"Reuse"))</f>
        <v/>
      </c>
    </row>
    <row r="406" customFormat="false" ht="15" hidden="false" customHeight="false" outlineLevel="0" collapsed="false">
      <c r="A406" s="24"/>
      <c r="B406" s="27"/>
      <c r="C406" s="24"/>
      <c r="D406" s="28"/>
      <c r="E406" s="24"/>
      <c r="F406" s="24"/>
      <c r="G406" s="24"/>
      <c r="H406" s="24"/>
      <c r="I406" s="29" t="str">
        <f aca="false">IF($A406="","",COUNTIFS($H$2:$H$1001,$A406,$D$2:$D$1001,"Reuse"))</f>
        <v/>
      </c>
    </row>
    <row r="407" customFormat="false" ht="15" hidden="false" customHeight="false" outlineLevel="0" collapsed="false">
      <c r="A407" s="24"/>
      <c r="B407" s="27"/>
      <c r="C407" s="24"/>
      <c r="D407" s="28"/>
      <c r="E407" s="24"/>
      <c r="F407" s="24"/>
      <c r="G407" s="24"/>
      <c r="H407" s="24"/>
      <c r="I407" s="29" t="str">
        <f aca="false">IF($A407="","",COUNTIFS($H$2:$H$1001,$A407,$D$2:$D$1001,"Reuse"))</f>
        <v/>
      </c>
    </row>
    <row r="408" customFormat="false" ht="15" hidden="false" customHeight="false" outlineLevel="0" collapsed="false">
      <c r="A408" s="24"/>
      <c r="B408" s="27"/>
      <c r="C408" s="24"/>
      <c r="D408" s="28"/>
      <c r="E408" s="24"/>
      <c r="F408" s="24"/>
      <c r="G408" s="24"/>
      <c r="H408" s="24"/>
      <c r="I408" s="29" t="str">
        <f aca="false">IF($A408="","",COUNTIFS($H$2:$H$1001,$A408,$D$2:$D$1001,"Reuse"))</f>
        <v/>
      </c>
    </row>
    <row r="409" customFormat="false" ht="15" hidden="false" customHeight="false" outlineLevel="0" collapsed="false">
      <c r="A409" s="24"/>
      <c r="B409" s="27"/>
      <c r="C409" s="24"/>
      <c r="D409" s="28"/>
      <c r="E409" s="24"/>
      <c r="F409" s="24"/>
      <c r="G409" s="24"/>
      <c r="H409" s="24"/>
      <c r="I409" s="29" t="str">
        <f aca="false">IF($A409="","",COUNTIFS($H$2:$H$1001,$A409,$D$2:$D$1001,"Reuse"))</f>
        <v/>
      </c>
    </row>
    <row r="410" customFormat="false" ht="15" hidden="false" customHeight="false" outlineLevel="0" collapsed="false">
      <c r="A410" s="24"/>
      <c r="B410" s="27"/>
      <c r="C410" s="24"/>
      <c r="D410" s="28"/>
      <c r="E410" s="24"/>
      <c r="F410" s="24"/>
      <c r="G410" s="24"/>
      <c r="H410" s="24"/>
      <c r="I410" s="29" t="str">
        <f aca="false">IF($A410="","",COUNTIFS($H$2:$H$1001,$A410,$D$2:$D$1001,"Reuse"))</f>
        <v/>
      </c>
    </row>
    <row r="411" customFormat="false" ht="15" hidden="false" customHeight="false" outlineLevel="0" collapsed="false">
      <c r="A411" s="24"/>
      <c r="B411" s="27"/>
      <c r="C411" s="24"/>
      <c r="D411" s="28"/>
      <c r="E411" s="24"/>
      <c r="F411" s="24"/>
      <c r="G411" s="24"/>
      <c r="H411" s="24"/>
      <c r="I411" s="29" t="str">
        <f aca="false">IF($A411="","",COUNTIFS($H$2:$H$1001,$A411,$D$2:$D$1001,"Reuse"))</f>
        <v/>
      </c>
    </row>
    <row r="412" customFormat="false" ht="15" hidden="false" customHeight="false" outlineLevel="0" collapsed="false">
      <c r="A412" s="24"/>
      <c r="B412" s="27"/>
      <c r="C412" s="24"/>
      <c r="D412" s="28"/>
      <c r="E412" s="24"/>
      <c r="F412" s="24"/>
      <c r="G412" s="24"/>
      <c r="H412" s="24"/>
      <c r="I412" s="29" t="str">
        <f aca="false">IF($A412="","",COUNTIFS($H$2:$H$1001,$A412,$D$2:$D$1001,"Reuse"))</f>
        <v/>
      </c>
    </row>
    <row r="413" customFormat="false" ht="15" hidden="false" customHeight="false" outlineLevel="0" collapsed="false">
      <c r="A413" s="24"/>
      <c r="B413" s="27"/>
      <c r="C413" s="24"/>
      <c r="D413" s="28"/>
      <c r="E413" s="24"/>
      <c r="F413" s="24"/>
      <c r="G413" s="24"/>
      <c r="H413" s="24"/>
      <c r="I413" s="29" t="str">
        <f aca="false">IF($A413="","",COUNTIFS($H$2:$H$1001,$A413,$D$2:$D$1001,"Reuse"))</f>
        <v/>
      </c>
    </row>
    <row r="414" customFormat="false" ht="15" hidden="false" customHeight="false" outlineLevel="0" collapsed="false">
      <c r="A414" s="24"/>
      <c r="B414" s="27"/>
      <c r="C414" s="24"/>
      <c r="D414" s="28"/>
      <c r="E414" s="24"/>
      <c r="F414" s="24"/>
      <c r="G414" s="24"/>
      <c r="H414" s="24"/>
      <c r="I414" s="29" t="str">
        <f aca="false">IF($A414="","",COUNTIFS($H$2:$H$1001,$A414,$D$2:$D$1001,"Reuse"))</f>
        <v/>
      </c>
    </row>
    <row r="415" customFormat="false" ht="15" hidden="false" customHeight="false" outlineLevel="0" collapsed="false">
      <c r="A415" s="24"/>
      <c r="B415" s="27"/>
      <c r="C415" s="24"/>
      <c r="D415" s="28"/>
      <c r="E415" s="24"/>
      <c r="F415" s="24"/>
      <c r="G415" s="24"/>
      <c r="H415" s="24"/>
      <c r="I415" s="29" t="str">
        <f aca="false">IF($A415="","",COUNTIFS($H$2:$H$1001,$A415,$D$2:$D$1001,"Reuse"))</f>
        <v/>
      </c>
    </row>
    <row r="416" customFormat="false" ht="15" hidden="false" customHeight="false" outlineLevel="0" collapsed="false">
      <c r="A416" s="24"/>
      <c r="B416" s="27"/>
      <c r="C416" s="24"/>
      <c r="D416" s="28"/>
      <c r="E416" s="24"/>
      <c r="F416" s="24"/>
      <c r="G416" s="24"/>
      <c r="H416" s="24"/>
      <c r="I416" s="29" t="str">
        <f aca="false">IF($A416="","",COUNTIFS($H$2:$H$1001,$A416,$D$2:$D$1001,"Reuse"))</f>
        <v/>
      </c>
    </row>
    <row r="417" customFormat="false" ht="15" hidden="false" customHeight="false" outlineLevel="0" collapsed="false">
      <c r="A417" s="24"/>
      <c r="B417" s="27"/>
      <c r="C417" s="24"/>
      <c r="D417" s="28"/>
      <c r="E417" s="24"/>
      <c r="F417" s="24"/>
      <c r="G417" s="24"/>
      <c r="H417" s="24"/>
      <c r="I417" s="29" t="str">
        <f aca="false">IF($A417="","",COUNTIFS($H$2:$H$1001,$A417,$D$2:$D$1001,"Reuse"))</f>
        <v/>
      </c>
    </row>
    <row r="418" customFormat="false" ht="15" hidden="false" customHeight="false" outlineLevel="0" collapsed="false">
      <c r="A418" s="24"/>
      <c r="B418" s="27"/>
      <c r="C418" s="24"/>
      <c r="D418" s="28"/>
      <c r="E418" s="24"/>
      <c r="F418" s="24"/>
      <c r="G418" s="24"/>
      <c r="H418" s="24"/>
      <c r="I418" s="29" t="str">
        <f aca="false">IF($A418="","",COUNTIFS($H$2:$H$1001,$A418,$D$2:$D$1001,"Reuse"))</f>
        <v/>
      </c>
    </row>
    <row r="419" customFormat="false" ht="15" hidden="false" customHeight="false" outlineLevel="0" collapsed="false">
      <c r="A419" s="24"/>
      <c r="B419" s="27"/>
      <c r="C419" s="24"/>
      <c r="D419" s="28"/>
      <c r="E419" s="24"/>
      <c r="F419" s="24"/>
      <c r="G419" s="24"/>
      <c r="H419" s="24"/>
      <c r="I419" s="29" t="str">
        <f aca="false">IF($A419="","",COUNTIFS($H$2:$H$1001,$A419,$D$2:$D$1001,"Reuse"))</f>
        <v/>
      </c>
    </row>
    <row r="420" customFormat="false" ht="15" hidden="false" customHeight="false" outlineLevel="0" collapsed="false">
      <c r="A420" s="24"/>
      <c r="B420" s="27"/>
      <c r="C420" s="24"/>
      <c r="D420" s="28"/>
      <c r="E420" s="24"/>
      <c r="F420" s="24"/>
      <c r="G420" s="24"/>
      <c r="H420" s="24"/>
      <c r="I420" s="29" t="str">
        <f aca="false">IF($A420="","",COUNTIFS($H$2:$H$1001,$A420,$D$2:$D$1001,"Reuse"))</f>
        <v/>
      </c>
    </row>
    <row r="421" customFormat="false" ht="15" hidden="false" customHeight="false" outlineLevel="0" collapsed="false">
      <c r="A421" s="24"/>
      <c r="B421" s="27"/>
      <c r="C421" s="24"/>
      <c r="D421" s="28"/>
      <c r="E421" s="24"/>
      <c r="F421" s="24"/>
      <c r="G421" s="24"/>
      <c r="H421" s="24"/>
      <c r="I421" s="29" t="str">
        <f aca="false">IF($A421="","",COUNTIFS($H$2:$H$1001,$A421,$D$2:$D$1001,"Reuse"))</f>
        <v/>
      </c>
    </row>
    <row r="422" customFormat="false" ht="15" hidden="false" customHeight="false" outlineLevel="0" collapsed="false">
      <c r="A422" s="24"/>
      <c r="B422" s="27"/>
      <c r="C422" s="24"/>
      <c r="D422" s="28"/>
      <c r="E422" s="24"/>
      <c r="F422" s="24"/>
      <c r="G422" s="24"/>
      <c r="H422" s="24"/>
      <c r="I422" s="29" t="str">
        <f aca="false">IF($A422="","",COUNTIFS($H$2:$H$1001,$A422,$D$2:$D$1001,"Reuse"))</f>
        <v/>
      </c>
    </row>
    <row r="423" customFormat="false" ht="15" hidden="false" customHeight="false" outlineLevel="0" collapsed="false">
      <c r="A423" s="24"/>
      <c r="B423" s="27"/>
      <c r="C423" s="24"/>
      <c r="D423" s="28"/>
      <c r="E423" s="24"/>
      <c r="F423" s="24"/>
      <c r="G423" s="24"/>
      <c r="H423" s="24"/>
      <c r="I423" s="29" t="str">
        <f aca="false">IF($A423="","",COUNTIFS($H$2:$H$1001,$A423,$D$2:$D$1001,"Reuse"))</f>
        <v/>
      </c>
    </row>
    <row r="424" customFormat="false" ht="15" hidden="false" customHeight="false" outlineLevel="0" collapsed="false">
      <c r="A424" s="24"/>
      <c r="B424" s="27"/>
      <c r="C424" s="24"/>
      <c r="D424" s="28"/>
      <c r="E424" s="24"/>
      <c r="F424" s="24"/>
      <c r="G424" s="24"/>
      <c r="H424" s="24"/>
      <c r="I424" s="29" t="str">
        <f aca="false">IF($A424="","",COUNTIFS($H$2:$H$1001,$A424,$D$2:$D$1001,"Reuse"))</f>
        <v/>
      </c>
    </row>
    <row r="425" customFormat="false" ht="15" hidden="false" customHeight="false" outlineLevel="0" collapsed="false">
      <c r="A425" s="24"/>
      <c r="B425" s="27"/>
      <c r="C425" s="24"/>
      <c r="D425" s="28"/>
      <c r="E425" s="24"/>
      <c r="F425" s="24"/>
      <c r="G425" s="24"/>
      <c r="H425" s="24"/>
      <c r="I425" s="29" t="str">
        <f aca="false">IF($A425="","",COUNTIFS($H$2:$H$1001,$A425,$D$2:$D$1001,"Reuse"))</f>
        <v/>
      </c>
    </row>
    <row r="426" customFormat="false" ht="15" hidden="false" customHeight="false" outlineLevel="0" collapsed="false">
      <c r="A426" s="24"/>
      <c r="B426" s="27"/>
      <c r="C426" s="24"/>
      <c r="D426" s="28"/>
      <c r="E426" s="24"/>
      <c r="F426" s="24"/>
      <c r="G426" s="24"/>
      <c r="H426" s="24"/>
      <c r="I426" s="29" t="str">
        <f aca="false">IF($A426="","",COUNTIFS($H$2:$H$1001,$A426,$D$2:$D$1001,"Reuse"))</f>
        <v/>
      </c>
    </row>
    <row r="427" customFormat="false" ht="15" hidden="false" customHeight="false" outlineLevel="0" collapsed="false">
      <c r="A427" s="24"/>
      <c r="B427" s="27"/>
      <c r="C427" s="24"/>
      <c r="D427" s="28"/>
      <c r="E427" s="24"/>
      <c r="F427" s="24"/>
      <c r="G427" s="24"/>
      <c r="H427" s="24"/>
      <c r="I427" s="29" t="str">
        <f aca="false">IF($A427="","",COUNTIFS($H$2:$H$1001,$A427,$D$2:$D$1001,"Reuse"))</f>
        <v/>
      </c>
    </row>
    <row r="428" customFormat="false" ht="15" hidden="false" customHeight="false" outlineLevel="0" collapsed="false">
      <c r="A428" s="24"/>
      <c r="B428" s="27"/>
      <c r="C428" s="24"/>
      <c r="D428" s="28"/>
      <c r="E428" s="24"/>
      <c r="F428" s="24"/>
      <c r="G428" s="24"/>
      <c r="H428" s="24"/>
      <c r="I428" s="29" t="str">
        <f aca="false">IF($A428="","",COUNTIFS($H$2:$H$1001,$A428,$D$2:$D$1001,"Reuse"))</f>
        <v/>
      </c>
    </row>
    <row r="429" customFormat="false" ht="15" hidden="false" customHeight="false" outlineLevel="0" collapsed="false">
      <c r="A429" s="24"/>
      <c r="B429" s="27"/>
      <c r="C429" s="24"/>
      <c r="D429" s="28"/>
      <c r="E429" s="24"/>
      <c r="F429" s="24"/>
      <c r="G429" s="24"/>
      <c r="H429" s="24"/>
      <c r="I429" s="29" t="str">
        <f aca="false">IF($A429="","",COUNTIFS($H$2:$H$1001,$A429,$D$2:$D$1001,"Reuse"))</f>
        <v/>
      </c>
    </row>
    <row r="430" customFormat="false" ht="15" hidden="false" customHeight="false" outlineLevel="0" collapsed="false">
      <c r="A430" s="24"/>
      <c r="B430" s="27"/>
      <c r="C430" s="24"/>
      <c r="D430" s="28"/>
      <c r="E430" s="24"/>
      <c r="F430" s="24"/>
      <c r="G430" s="24"/>
      <c r="H430" s="24"/>
      <c r="I430" s="29" t="str">
        <f aca="false">IF($A430="","",COUNTIFS($H$2:$H$1001,$A430,$D$2:$D$1001,"Reuse"))</f>
        <v/>
      </c>
    </row>
    <row r="431" customFormat="false" ht="15" hidden="false" customHeight="false" outlineLevel="0" collapsed="false">
      <c r="A431" s="24"/>
      <c r="B431" s="27"/>
      <c r="C431" s="24"/>
      <c r="D431" s="28"/>
      <c r="E431" s="24"/>
      <c r="F431" s="24"/>
      <c r="G431" s="24"/>
      <c r="H431" s="24"/>
      <c r="I431" s="29" t="str">
        <f aca="false">IF($A431="","",COUNTIFS($H$2:$H$1001,$A431,$D$2:$D$1001,"Reuse"))</f>
        <v/>
      </c>
    </row>
    <row r="432" customFormat="false" ht="15" hidden="false" customHeight="false" outlineLevel="0" collapsed="false">
      <c r="A432" s="24"/>
      <c r="B432" s="27"/>
      <c r="C432" s="24"/>
      <c r="D432" s="28"/>
      <c r="E432" s="24"/>
      <c r="F432" s="24"/>
      <c r="G432" s="24"/>
      <c r="H432" s="24"/>
      <c r="I432" s="29" t="str">
        <f aca="false">IF($A432="","",COUNTIFS($H$2:$H$1001,$A432,$D$2:$D$1001,"Reuse"))</f>
        <v/>
      </c>
    </row>
    <row r="433" customFormat="false" ht="15" hidden="false" customHeight="false" outlineLevel="0" collapsed="false">
      <c r="A433" s="24"/>
      <c r="B433" s="27"/>
      <c r="C433" s="24"/>
      <c r="D433" s="28"/>
      <c r="E433" s="24"/>
      <c r="F433" s="24"/>
      <c r="G433" s="24"/>
      <c r="H433" s="24"/>
      <c r="I433" s="29" t="str">
        <f aca="false">IF($A433="","",COUNTIFS($H$2:$H$1001,$A433,$D$2:$D$1001,"Reuse"))</f>
        <v/>
      </c>
    </row>
    <row r="434" customFormat="false" ht="15" hidden="false" customHeight="false" outlineLevel="0" collapsed="false">
      <c r="A434" s="24"/>
      <c r="B434" s="27"/>
      <c r="C434" s="24"/>
      <c r="D434" s="28"/>
      <c r="E434" s="24"/>
      <c r="F434" s="24"/>
      <c r="G434" s="24"/>
      <c r="H434" s="24"/>
      <c r="I434" s="29" t="str">
        <f aca="false">IF($A434="","",COUNTIFS($H$2:$H$1001,$A434,$D$2:$D$1001,"Reuse"))</f>
        <v/>
      </c>
    </row>
    <row r="435" customFormat="false" ht="15" hidden="false" customHeight="false" outlineLevel="0" collapsed="false">
      <c r="A435" s="24"/>
      <c r="B435" s="27"/>
      <c r="C435" s="24"/>
      <c r="D435" s="28"/>
      <c r="E435" s="24"/>
      <c r="F435" s="24"/>
      <c r="G435" s="24"/>
      <c r="H435" s="24"/>
      <c r="I435" s="29" t="str">
        <f aca="false">IF($A435="","",COUNTIFS($H$2:$H$1001,$A435,$D$2:$D$1001,"Reuse"))</f>
        <v/>
      </c>
    </row>
    <row r="436" customFormat="false" ht="15" hidden="false" customHeight="false" outlineLevel="0" collapsed="false">
      <c r="A436" s="24"/>
      <c r="B436" s="27"/>
      <c r="C436" s="24"/>
      <c r="D436" s="28"/>
      <c r="E436" s="24"/>
      <c r="F436" s="24"/>
      <c r="G436" s="24"/>
      <c r="H436" s="24"/>
      <c r="I436" s="29" t="str">
        <f aca="false">IF($A436="","",COUNTIFS($H$2:$H$1001,$A436,$D$2:$D$1001,"Reuse"))</f>
        <v/>
      </c>
    </row>
    <row r="437" customFormat="false" ht="15" hidden="false" customHeight="false" outlineLevel="0" collapsed="false">
      <c r="A437" s="24"/>
      <c r="B437" s="27"/>
      <c r="C437" s="24"/>
      <c r="D437" s="28"/>
      <c r="E437" s="24"/>
      <c r="F437" s="24"/>
      <c r="G437" s="24"/>
      <c r="H437" s="24"/>
      <c r="I437" s="29" t="str">
        <f aca="false">IF($A437="","",COUNTIFS($H$2:$H$1001,$A437,$D$2:$D$1001,"Reuse"))</f>
        <v/>
      </c>
    </row>
    <row r="438" customFormat="false" ht="15" hidden="false" customHeight="false" outlineLevel="0" collapsed="false">
      <c r="A438" s="24"/>
      <c r="B438" s="27"/>
      <c r="C438" s="24"/>
      <c r="D438" s="28"/>
      <c r="E438" s="24"/>
      <c r="F438" s="24"/>
      <c r="G438" s="24"/>
      <c r="H438" s="24"/>
      <c r="I438" s="29" t="str">
        <f aca="false">IF($A438="","",COUNTIFS($H$2:$H$1001,$A438,$D$2:$D$1001,"Reuse"))</f>
        <v/>
      </c>
    </row>
    <row r="439" customFormat="false" ht="15" hidden="false" customHeight="false" outlineLevel="0" collapsed="false">
      <c r="A439" s="24"/>
      <c r="B439" s="27"/>
      <c r="C439" s="24"/>
      <c r="D439" s="28"/>
      <c r="E439" s="24"/>
      <c r="F439" s="24"/>
      <c r="G439" s="24"/>
      <c r="H439" s="24"/>
      <c r="I439" s="29" t="str">
        <f aca="false">IF($A439="","",COUNTIFS($H$2:$H$1001,$A439,$D$2:$D$1001,"Reuse"))</f>
        <v/>
      </c>
    </row>
    <row r="440" customFormat="false" ht="15" hidden="false" customHeight="false" outlineLevel="0" collapsed="false">
      <c r="A440" s="24"/>
      <c r="B440" s="27"/>
      <c r="C440" s="24"/>
      <c r="D440" s="28"/>
      <c r="E440" s="24"/>
      <c r="F440" s="24"/>
      <c r="G440" s="24"/>
      <c r="H440" s="24"/>
      <c r="I440" s="29" t="str">
        <f aca="false">IF($A440="","",COUNTIFS($H$2:$H$1001,$A440,$D$2:$D$1001,"Reuse"))</f>
        <v/>
      </c>
    </row>
    <row r="441" customFormat="false" ht="15" hidden="false" customHeight="false" outlineLevel="0" collapsed="false">
      <c r="A441" s="24"/>
      <c r="B441" s="27"/>
      <c r="C441" s="24"/>
      <c r="D441" s="28"/>
      <c r="E441" s="24"/>
      <c r="F441" s="24"/>
      <c r="G441" s="24"/>
      <c r="H441" s="24"/>
      <c r="I441" s="29" t="str">
        <f aca="false">IF($A441="","",COUNTIFS($H$2:$H$1001,$A441,$D$2:$D$1001,"Reuse"))</f>
        <v/>
      </c>
    </row>
    <row r="442" customFormat="false" ht="15" hidden="false" customHeight="false" outlineLevel="0" collapsed="false">
      <c r="A442" s="24"/>
      <c r="B442" s="27"/>
      <c r="C442" s="24"/>
      <c r="D442" s="28"/>
      <c r="E442" s="24"/>
      <c r="F442" s="24"/>
      <c r="G442" s="24"/>
      <c r="H442" s="24"/>
      <c r="I442" s="29" t="str">
        <f aca="false">IF($A442="","",COUNTIFS($H$2:$H$1001,$A442,$D$2:$D$1001,"Reuse"))</f>
        <v/>
      </c>
    </row>
    <row r="443" customFormat="false" ht="15" hidden="false" customHeight="false" outlineLevel="0" collapsed="false">
      <c r="A443" s="24"/>
      <c r="B443" s="27"/>
      <c r="C443" s="24"/>
      <c r="D443" s="28"/>
      <c r="E443" s="24"/>
      <c r="F443" s="24"/>
      <c r="G443" s="24"/>
      <c r="H443" s="24"/>
      <c r="I443" s="29" t="str">
        <f aca="false">IF($A443="","",COUNTIFS($H$2:$H$1001,$A443,$D$2:$D$1001,"Reuse"))</f>
        <v/>
      </c>
    </row>
    <row r="444" customFormat="false" ht="15" hidden="false" customHeight="false" outlineLevel="0" collapsed="false">
      <c r="A444" s="24"/>
      <c r="B444" s="27"/>
      <c r="C444" s="24"/>
      <c r="D444" s="28"/>
      <c r="E444" s="24"/>
      <c r="F444" s="24"/>
      <c r="G444" s="24"/>
      <c r="H444" s="24"/>
      <c r="I444" s="29" t="str">
        <f aca="false">IF($A444="","",COUNTIFS($H$2:$H$1001,$A444,$D$2:$D$1001,"Reuse"))</f>
        <v/>
      </c>
    </row>
    <row r="445" customFormat="false" ht="15" hidden="false" customHeight="false" outlineLevel="0" collapsed="false">
      <c r="A445" s="24"/>
      <c r="B445" s="27"/>
      <c r="C445" s="24"/>
      <c r="D445" s="28"/>
      <c r="E445" s="24"/>
      <c r="F445" s="24"/>
      <c r="G445" s="24"/>
      <c r="H445" s="24"/>
      <c r="I445" s="29" t="str">
        <f aca="false">IF($A445="","",COUNTIFS($H$2:$H$1001,$A445,$D$2:$D$1001,"Reuse"))</f>
        <v/>
      </c>
    </row>
    <row r="446" customFormat="false" ht="15" hidden="false" customHeight="false" outlineLevel="0" collapsed="false">
      <c r="A446" s="24"/>
      <c r="B446" s="27"/>
      <c r="C446" s="24"/>
      <c r="D446" s="28"/>
      <c r="E446" s="24"/>
      <c r="F446" s="24"/>
      <c r="G446" s="24"/>
      <c r="H446" s="24"/>
      <c r="I446" s="29" t="str">
        <f aca="false">IF($A446="","",COUNTIFS($H$2:$H$1001,$A446,$D$2:$D$1001,"Reuse"))</f>
        <v/>
      </c>
    </row>
    <row r="447" customFormat="false" ht="15" hidden="false" customHeight="false" outlineLevel="0" collapsed="false">
      <c r="A447" s="24"/>
      <c r="B447" s="27"/>
      <c r="C447" s="24"/>
      <c r="D447" s="28"/>
      <c r="E447" s="24"/>
      <c r="F447" s="24"/>
      <c r="G447" s="24"/>
      <c r="H447" s="24"/>
      <c r="I447" s="29" t="str">
        <f aca="false">IF($A447="","",COUNTIFS($H$2:$H$1001,$A447,$D$2:$D$1001,"Reuse"))</f>
        <v/>
      </c>
    </row>
    <row r="448" customFormat="false" ht="15" hidden="false" customHeight="false" outlineLevel="0" collapsed="false">
      <c r="A448" s="24"/>
      <c r="B448" s="27"/>
      <c r="C448" s="24"/>
      <c r="D448" s="28"/>
      <c r="E448" s="24"/>
      <c r="F448" s="24"/>
      <c r="G448" s="24"/>
      <c r="H448" s="24"/>
      <c r="I448" s="29" t="str">
        <f aca="false">IF($A448="","",COUNTIFS($H$2:$H$1001,$A448,$D$2:$D$1001,"Reuse"))</f>
        <v/>
      </c>
    </row>
    <row r="449" customFormat="false" ht="15" hidden="false" customHeight="false" outlineLevel="0" collapsed="false">
      <c r="A449" s="24"/>
      <c r="B449" s="27"/>
      <c r="C449" s="24"/>
      <c r="D449" s="28"/>
      <c r="E449" s="24"/>
      <c r="F449" s="24"/>
      <c r="G449" s="24"/>
      <c r="H449" s="24"/>
      <c r="I449" s="29" t="str">
        <f aca="false">IF($A449="","",COUNTIFS($H$2:$H$1001,$A449,$D$2:$D$1001,"Reuse"))</f>
        <v/>
      </c>
    </row>
    <row r="450" customFormat="false" ht="15" hidden="false" customHeight="false" outlineLevel="0" collapsed="false">
      <c r="A450" s="24"/>
      <c r="B450" s="27"/>
      <c r="C450" s="24"/>
      <c r="D450" s="28"/>
      <c r="E450" s="24"/>
      <c r="F450" s="24"/>
      <c r="G450" s="24"/>
      <c r="H450" s="24"/>
      <c r="I450" s="29" t="str">
        <f aca="false">IF($A450="","",COUNTIFS($H$2:$H$1001,$A450,$D$2:$D$1001,"Reuse"))</f>
        <v/>
      </c>
    </row>
    <row r="451" customFormat="false" ht="15" hidden="false" customHeight="false" outlineLevel="0" collapsed="false">
      <c r="A451" s="24"/>
      <c r="B451" s="27"/>
      <c r="C451" s="24"/>
      <c r="D451" s="28"/>
      <c r="E451" s="24"/>
      <c r="F451" s="24"/>
      <c r="G451" s="24"/>
      <c r="H451" s="24"/>
      <c r="I451" s="29" t="str">
        <f aca="false">IF($A451="","",COUNTIFS($H$2:$H$1001,$A451,$D$2:$D$1001,"Reuse"))</f>
        <v/>
      </c>
    </row>
    <row r="452" customFormat="false" ht="15" hidden="false" customHeight="false" outlineLevel="0" collapsed="false">
      <c r="A452" s="24"/>
      <c r="B452" s="27"/>
      <c r="C452" s="24"/>
      <c r="D452" s="28"/>
      <c r="E452" s="24"/>
      <c r="F452" s="24"/>
      <c r="G452" s="24"/>
      <c r="H452" s="24"/>
      <c r="I452" s="29" t="str">
        <f aca="false">IF($A452="","",COUNTIFS($H$2:$H$1001,$A452,$D$2:$D$1001,"Reuse"))</f>
        <v/>
      </c>
    </row>
    <row r="453" customFormat="false" ht="15" hidden="false" customHeight="false" outlineLevel="0" collapsed="false">
      <c r="A453" s="24"/>
      <c r="B453" s="27"/>
      <c r="C453" s="24"/>
      <c r="D453" s="28"/>
      <c r="E453" s="24"/>
      <c r="F453" s="24"/>
      <c r="G453" s="24"/>
      <c r="H453" s="24"/>
      <c r="I453" s="29" t="str">
        <f aca="false">IF($A453="","",COUNTIFS($H$2:$H$1001,$A453,$D$2:$D$1001,"Reuse"))</f>
        <v/>
      </c>
    </row>
    <row r="454" customFormat="false" ht="15" hidden="false" customHeight="false" outlineLevel="0" collapsed="false">
      <c r="A454" s="24"/>
      <c r="B454" s="27"/>
      <c r="C454" s="24"/>
      <c r="D454" s="28"/>
      <c r="E454" s="24"/>
      <c r="F454" s="24"/>
      <c r="G454" s="24"/>
      <c r="H454" s="24"/>
      <c r="I454" s="29" t="str">
        <f aca="false">IF($A454="","",COUNTIFS($H$2:$H$1001,$A454,$D$2:$D$1001,"Reuse"))</f>
        <v/>
      </c>
    </row>
    <row r="455" customFormat="false" ht="15" hidden="false" customHeight="false" outlineLevel="0" collapsed="false">
      <c r="A455" s="24"/>
      <c r="B455" s="27"/>
      <c r="C455" s="24"/>
      <c r="D455" s="28"/>
      <c r="E455" s="24"/>
      <c r="F455" s="24"/>
      <c r="G455" s="24"/>
      <c r="H455" s="24"/>
      <c r="I455" s="29" t="str">
        <f aca="false">IF($A455="","",COUNTIFS($H$2:$H$1001,$A455,$D$2:$D$1001,"Reuse"))</f>
        <v/>
      </c>
    </row>
    <row r="456" customFormat="false" ht="15" hidden="false" customHeight="false" outlineLevel="0" collapsed="false">
      <c r="A456" s="24"/>
      <c r="B456" s="27"/>
      <c r="C456" s="24"/>
      <c r="D456" s="28"/>
      <c r="E456" s="24"/>
      <c r="F456" s="24"/>
      <c r="G456" s="24"/>
      <c r="H456" s="24"/>
      <c r="I456" s="29" t="str">
        <f aca="false">IF($A456="","",COUNTIFS($H$2:$H$1001,$A456,$D$2:$D$1001,"Reuse"))</f>
        <v/>
      </c>
    </row>
    <row r="457" customFormat="false" ht="15" hidden="false" customHeight="false" outlineLevel="0" collapsed="false">
      <c r="A457" s="24"/>
      <c r="B457" s="27"/>
      <c r="C457" s="24"/>
      <c r="D457" s="28"/>
      <c r="E457" s="24"/>
      <c r="F457" s="24"/>
      <c r="G457" s="24"/>
      <c r="H457" s="24"/>
      <c r="I457" s="29" t="str">
        <f aca="false">IF($A457="","",COUNTIFS($H$2:$H$1001,$A457,$D$2:$D$1001,"Reuse"))</f>
        <v/>
      </c>
    </row>
    <row r="458" customFormat="false" ht="15" hidden="false" customHeight="false" outlineLevel="0" collapsed="false">
      <c r="A458" s="24"/>
      <c r="B458" s="27"/>
      <c r="C458" s="24"/>
      <c r="D458" s="28"/>
      <c r="E458" s="24"/>
      <c r="F458" s="24"/>
      <c r="G458" s="24"/>
      <c r="H458" s="24"/>
      <c r="I458" s="29" t="str">
        <f aca="false">IF($A458="","",COUNTIFS($H$2:$H$1001,$A458,$D$2:$D$1001,"Reuse"))</f>
        <v/>
      </c>
    </row>
    <row r="459" customFormat="false" ht="15" hidden="false" customHeight="false" outlineLevel="0" collapsed="false">
      <c r="A459" s="24"/>
      <c r="B459" s="27"/>
      <c r="C459" s="24"/>
      <c r="D459" s="28"/>
      <c r="E459" s="24"/>
      <c r="F459" s="24"/>
      <c r="G459" s="24"/>
      <c r="H459" s="24"/>
      <c r="I459" s="29" t="str">
        <f aca="false">IF($A459="","",COUNTIFS($H$2:$H$1001,$A459,$D$2:$D$1001,"Reuse"))</f>
        <v/>
      </c>
    </row>
    <row r="460" customFormat="false" ht="15" hidden="false" customHeight="false" outlineLevel="0" collapsed="false">
      <c r="A460" s="24"/>
      <c r="B460" s="27"/>
      <c r="C460" s="24"/>
      <c r="D460" s="28"/>
      <c r="E460" s="24"/>
      <c r="F460" s="24"/>
      <c r="G460" s="24"/>
      <c r="H460" s="24"/>
      <c r="I460" s="29" t="str">
        <f aca="false">IF($A460="","",COUNTIFS($H$2:$H$1001,$A460,$D$2:$D$1001,"Reuse"))</f>
        <v/>
      </c>
    </row>
    <row r="461" customFormat="false" ht="15" hidden="false" customHeight="false" outlineLevel="0" collapsed="false">
      <c r="A461" s="24"/>
      <c r="B461" s="27"/>
      <c r="C461" s="24"/>
      <c r="D461" s="28"/>
      <c r="E461" s="24"/>
      <c r="F461" s="24"/>
      <c r="G461" s="24"/>
      <c r="H461" s="24"/>
      <c r="I461" s="29" t="str">
        <f aca="false">IF($A461="","",COUNTIFS($H$2:$H$1001,$A461,$D$2:$D$1001,"Reuse"))</f>
        <v/>
      </c>
    </row>
    <row r="462" customFormat="false" ht="15" hidden="false" customHeight="false" outlineLevel="0" collapsed="false">
      <c r="A462" s="24"/>
      <c r="B462" s="27"/>
      <c r="C462" s="24"/>
      <c r="D462" s="28"/>
      <c r="E462" s="24"/>
      <c r="F462" s="24"/>
      <c r="G462" s="24"/>
      <c r="H462" s="24"/>
      <c r="I462" s="29" t="str">
        <f aca="false">IF($A462="","",COUNTIFS($H$2:$H$1001,$A462,$D$2:$D$1001,"Reuse"))</f>
        <v/>
      </c>
    </row>
    <row r="463" customFormat="false" ht="15" hidden="false" customHeight="false" outlineLevel="0" collapsed="false">
      <c r="A463" s="24"/>
      <c r="B463" s="27"/>
      <c r="C463" s="24"/>
      <c r="D463" s="28"/>
      <c r="E463" s="24"/>
      <c r="F463" s="24"/>
      <c r="G463" s="24"/>
      <c r="H463" s="24"/>
      <c r="I463" s="29" t="str">
        <f aca="false">IF($A463="","",COUNTIFS($H$2:$H$1001,$A463,$D$2:$D$1001,"Reuse"))</f>
        <v/>
      </c>
    </row>
    <row r="464" customFormat="false" ht="15" hidden="false" customHeight="false" outlineLevel="0" collapsed="false">
      <c r="A464" s="24"/>
      <c r="B464" s="27"/>
      <c r="C464" s="24"/>
      <c r="D464" s="28"/>
      <c r="E464" s="24"/>
      <c r="F464" s="24"/>
      <c r="G464" s="24"/>
      <c r="H464" s="24"/>
      <c r="I464" s="29" t="str">
        <f aca="false">IF($A464="","",COUNTIFS($H$2:$H$1001,$A464,$D$2:$D$1001,"Reuse"))</f>
        <v/>
      </c>
    </row>
    <row r="465" customFormat="false" ht="15" hidden="false" customHeight="false" outlineLevel="0" collapsed="false">
      <c r="A465" s="24"/>
      <c r="B465" s="27"/>
      <c r="C465" s="24"/>
      <c r="D465" s="28"/>
      <c r="E465" s="24"/>
      <c r="F465" s="24"/>
      <c r="G465" s="24"/>
      <c r="H465" s="24"/>
      <c r="I465" s="29" t="str">
        <f aca="false">IF($A465="","",COUNTIFS($H$2:$H$1001,$A465,$D$2:$D$1001,"Reuse"))</f>
        <v/>
      </c>
    </row>
    <row r="466" customFormat="false" ht="15" hidden="false" customHeight="false" outlineLevel="0" collapsed="false">
      <c r="A466" s="24"/>
      <c r="B466" s="27"/>
      <c r="C466" s="24"/>
      <c r="D466" s="28"/>
      <c r="E466" s="24"/>
      <c r="F466" s="24"/>
      <c r="G466" s="24"/>
      <c r="H466" s="24"/>
      <c r="I466" s="29" t="str">
        <f aca="false">IF($A466="","",COUNTIFS($H$2:$H$1001,$A466,$D$2:$D$1001,"Reuse"))</f>
        <v/>
      </c>
    </row>
    <row r="467" customFormat="false" ht="15" hidden="false" customHeight="false" outlineLevel="0" collapsed="false">
      <c r="A467" s="24"/>
      <c r="B467" s="27"/>
      <c r="C467" s="24"/>
      <c r="D467" s="28"/>
      <c r="E467" s="24"/>
      <c r="F467" s="24"/>
      <c r="G467" s="24"/>
      <c r="H467" s="24"/>
      <c r="I467" s="29" t="str">
        <f aca="false">IF($A467="","",COUNTIFS($H$2:$H$1001,$A467,$D$2:$D$1001,"Reuse"))</f>
        <v/>
      </c>
    </row>
    <row r="468" customFormat="false" ht="15" hidden="false" customHeight="false" outlineLevel="0" collapsed="false">
      <c r="A468" s="24"/>
      <c r="B468" s="27"/>
      <c r="C468" s="24"/>
      <c r="D468" s="28"/>
      <c r="E468" s="24"/>
      <c r="F468" s="24"/>
      <c r="G468" s="24"/>
      <c r="H468" s="24"/>
      <c r="I468" s="29" t="str">
        <f aca="false">IF($A468="","",COUNTIFS($H$2:$H$1001,$A468,$D$2:$D$1001,"Reuse"))</f>
        <v/>
      </c>
    </row>
    <row r="469" customFormat="false" ht="15" hidden="false" customHeight="false" outlineLevel="0" collapsed="false">
      <c r="A469" s="24"/>
      <c r="B469" s="27"/>
      <c r="C469" s="24"/>
      <c r="D469" s="28"/>
      <c r="E469" s="24"/>
      <c r="F469" s="24"/>
      <c r="G469" s="24"/>
      <c r="H469" s="24"/>
      <c r="I469" s="29" t="str">
        <f aca="false">IF($A469="","",COUNTIFS($H$2:$H$1001,$A469,$D$2:$D$1001,"Reuse"))</f>
        <v/>
      </c>
    </row>
    <row r="470" customFormat="false" ht="15" hidden="false" customHeight="false" outlineLevel="0" collapsed="false">
      <c r="A470" s="24"/>
      <c r="B470" s="27"/>
      <c r="C470" s="24"/>
      <c r="D470" s="28"/>
      <c r="E470" s="24"/>
      <c r="F470" s="24"/>
      <c r="G470" s="24"/>
      <c r="H470" s="24"/>
      <c r="I470" s="29" t="str">
        <f aca="false">IF($A470="","",COUNTIFS($H$2:$H$1001,$A470,$D$2:$D$1001,"Reuse"))</f>
        <v/>
      </c>
    </row>
    <row r="471" customFormat="false" ht="15" hidden="false" customHeight="false" outlineLevel="0" collapsed="false">
      <c r="A471" s="24"/>
      <c r="B471" s="27"/>
      <c r="C471" s="24"/>
      <c r="D471" s="28"/>
      <c r="E471" s="24"/>
      <c r="F471" s="24"/>
      <c r="G471" s="24"/>
      <c r="H471" s="24"/>
      <c r="I471" s="29" t="str">
        <f aca="false">IF($A471="","",COUNTIFS($H$2:$H$1001,$A471,$D$2:$D$1001,"Reuse"))</f>
        <v/>
      </c>
    </row>
    <row r="472" customFormat="false" ht="15" hidden="false" customHeight="false" outlineLevel="0" collapsed="false">
      <c r="A472" s="24"/>
      <c r="B472" s="27"/>
      <c r="C472" s="24"/>
      <c r="D472" s="28"/>
      <c r="E472" s="24"/>
      <c r="F472" s="24"/>
      <c r="G472" s="24"/>
      <c r="H472" s="24"/>
      <c r="I472" s="29" t="str">
        <f aca="false">IF($A472="","",COUNTIFS($H$2:$H$1001,$A472,$D$2:$D$1001,"Reuse"))</f>
        <v/>
      </c>
    </row>
    <row r="473" customFormat="false" ht="15" hidden="false" customHeight="false" outlineLevel="0" collapsed="false">
      <c r="A473" s="24"/>
      <c r="B473" s="27"/>
      <c r="C473" s="24"/>
      <c r="D473" s="28"/>
      <c r="E473" s="24"/>
      <c r="F473" s="24"/>
      <c r="G473" s="24"/>
      <c r="H473" s="24"/>
      <c r="I473" s="29" t="str">
        <f aca="false">IF($A473="","",COUNTIFS($H$2:$H$1001,$A473,$D$2:$D$1001,"Reuse"))</f>
        <v/>
      </c>
    </row>
    <row r="474" customFormat="false" ht="15" hidden="false" customHeight="false" outlineLevel="0" collapsed="false">
      <c r="A474" s="24"/>
      <c r="B474" s="27"/>
      <c r="C474" s="24"/>
      <c r="D474" s="28"/>
      <c r="E474" s="24"/>
      <c r="F474" s="24"/>
      <c r="G474" s="24"/>
      <c r="H474" s="24"/>
      <c r="I474" s="29" t="str">
        <f aca="false">IF($A474="","",COUNTIFS($H$2:$H$1001,$A474,$D$2:$D$1001,"Reuse"))</f>
        <v/>
      </c>
    </row>
    <row r="475" customFormat="false" ht="15" hidden="false" customHeight="false" outlineLevel="0" collapsed="false">
      <c r="A475" s="24"/>
      <c r="B475" s="27"/>
      <c r="C475" s="24"/>
      <c r="D475" s="28"/>
      <c r="E475" s="24"/>
      <c r="F475" s="24"/>
      <c r="G475" s="24"/>
      <c r="H475" s="24"/>
      <c r="I475" s="29" t="str">
        <f aca="false">IF($A475="","",COUNTIFS($H$2:$H$1001,$A475,$D$2:$D$1001,"Reuse"))</f>
        <v/>
      </c>
    </row>
    <row r="476" customFormat="false" ht="15" hidden="false" customHeight="false" outlineLevel="0" collapsed="false">
      <c r="A476" s="24"/>
      <c r="B476" s="27"/>
      <c r="C476" s="24"/>
      <c r="D476" s="28"/>
      <c r="E476" s="24"/>
      <c r="F476" s="24"/>
      <c r="G476" s="24"/>
      <c r="H476" s="24"/>
      <c r="I476" s="29" t="str">
        <f aca="false">IF($A476="","",COUNTIFS($H$2:$H$1001,$A476,$D$2:$D$1001,"Reuse"))</f>
        <v/>
      </c>
    </row>
    <row r="477" customFormat="false" ht="15" hidden="false" customHeight="false" outlineLevel="0" collapsed="false">
      <c r="A477" s="24"/>
      <c r="B477" s="27"/>
      <c r="C477" s="24"/>
      <c r="D477" s="28"/>
      <c r="E477" s="24"/>
      <c r="F477" s="24"/>
      <c r="G477" s="24"/>
      <c r="H477" s="24"/>
      <c r="I477" s="29" t="str">
        <f aca="false">IF($A477="","",COUNTIFS($H$2:$H$1001,$A477,$D$2:$D$1001,"Reuse"))</f>
        <v/>
      </c>
    </row>
    <row r="478" customFormat="false" ht="15" hidden="false" customHeight="false" outlineLevel="0" collapsed="false">
      <c r="A478" s="24"/>
      <c r="B478" s="27"/>
      <c r="C478" s="24"/>
      <c r="D478" s="28"/>
      <c r="E478" s="24"/>
      <c r="F478" s="24"/>
      <c r="G478" s="24"/>
      <c r="H478" s="24"/>
      <c r="I478" s="29" t="str">
        <f aca="false">IF($A478="","",COUNTIFS($H$2:$H$1001,$A478,$D$2:$D$1001,"Reuse"))</f>
        <v/>
      </c>
    </row>
    <row r="479" customFormat="false" ht="15" hidden="false" customHeight="false" outlineLevel="0" collapsed="false">
      <c r="A479" s="24"/>
      <c r="B479" s="27"/>
      <c r="C479" s="24"/>
      <c r="D479" s="28"/>
      <c r="E479" s="24"/>
      <c r="F479" s="24"/>
      <c r="G479" s="24"/>
      <c r="H479" s="24"/>
      <c r="I479" s="29" t="str">
        <f aca="false">IF($A479="","",COUNTIFS($H$2:$H$1001,$A479,$D$2:$D$1001,"Reuse"))</f>
        <v/>
      </c>
    </row>
    <row r="480" customFormat="false" ht="15" hidden="false" customHeight="false" outlineLevel="0" collapsed="false">
      <c r="A480" s="24"/>
      <c r="B480" s="27"/>
      <c r="C480" s="24"/>
      <c r="D480" s="28"/>
      <c r="E480" s="24"/>
      <c r="F480" s="24"/>
      <c r="G480" s="24"/>
      <c r="H480" s="24"/>
      <c r="I480" s="29" t="str">
        <f aca="false">IF($A480="","",COUNTIFS($H$2:$H$1001,$A480,$D$2:$D$1001,"Reuse"))</f>
        <v/>
      </c>
    </row>
    <row r="481" customFormat="false" ht="15" hidden="false" customHeight="false" outlineLevel="0" collapsed="false">
      <c r="A481" s="24"/>
      <c r="B481" s="27"/>
      <c r="C481" s="24"/>
      <c r="D481" s="28"/>
      <c r="E481" s="24"/>
      <c r="F481" s="24"/>
      <c r="G481" s="24"/>
      <c r="H481" s="24"/>
      <c r="I481" s="29" t="str">
        <f aca="false">IF($A481="","",COUNTIFS($H$2:$H$1001,$A481,$D$2:$D$1001,"Reuse"))</f>
        <v/>
      </c>
    </row>
    <row r="482" customFormat="false" ht="15" hidden="false" customHeight="false" outlineLevel="0" collapsed="false">
      <c r="A482" s="24"/>
      <c r="B482" s="27"/>
      <c r="C482" s="24"/>
      <c r="D482" s="28"/>
      <c r="E482" s="24"/>
      <c r="F482" s="24"/>
      <c r="G482" s="24"/>
      <c r="H482" s="24"/>
      <c r="I482" s="29" t="str">
        <f aca="false">IF($A482="","",COUNTIFS($H$2:$H$1001,$A482,$D$2:$D$1001,"Reuse"))</f>
        <v/>
      </c>
    </row>
    <row r="483" customFormat="false" ht="15" hidden="false" customHeight="false" outlineLevel="0" collapsed="false">
      <c r="A483" s="24"/>
      <c r="B483" s="27"/>
      <c r="C483" s="24"/>
      <c r="D483" s="28"/>
      <c r="E483" s="24"/>
      <c r="F483" s="24"/>
      <c r="G483" s="24"/>
      <c r="H483" s="24"/>
      <c r="I483" s="29" t="str">
        <f aca="false">IF($A483="","",COUNTIFS($H$2:$H$1001,$A483,$D$2:$D$1001,"Reuse"))</f>
        <v/>
      </c>
    </row>
    <row r="484" customFormat="false" ht="15" hidden="false" customHeight="false" outlineLevel="0" collapsed="false">
      <c r="A484" s="24"/>
      <c r="B484" s="27"/>
      <c r="C484" s="24"/>
      <c r="D484" s="28"/>
      <c r="E484" s="24"/>
      <c r="F484" s="24"/>
      <c r="G484" s="24"/>
      <c r="H484" s="24"/>
      <c r="I484" s="29" t="str">
        <f aca="false">IF($A484="","",COUNTIFS($H$2:$H$1001,$A484,$D$2:$D$1001,"Reuse"))</f>
        <v/>
      </c>
    </row>
    <row r="485" customFormat="false" ht="15" hidden="false" customHeight="false" outlineLevel="0" collapsed="false">
      <c r="A485" s="24"/>
      <c r="B485" s="27"/>
      <c r="C485" s="24"/>
      <c r="D485" s="28"/>
      <c r="E485" s="24"/>
      <c r="F485" s="24"/>
      <c r="G485" s="24"/>
      <c r="H485" s="24"/>
      <c r="I485" s="29" t="str">
        <f aca="false">IF($A485="","",COUNTIFS($H$2:$H$1001,$A485,$D$2:$D$1001,"Reuse"))</f>
        <v/>
      </c>
    </row>
    <row r="486" customFormat="false" ht="15" hidden="false" customHeight="false" outlineLevel="0" collapsed="false">
      <c r="A486" s="24"/>
      <c r="B486" s="27"/>
      <c r="C486" s="24"/>
      <c r="D486" s="28"/>
      <c r="E486" s="24"/>
      <c r="F486" s="24"/>
      <c r="G486" s="24"/>
      <c r="H486" s="24"/>
      <c r="I486" s="29" t="str">
        <f aca="false">IF($A486="","",COUNTIFS($H$2:$H$1001,$A486,$D$2:$D$1001,"Reuse"))</f>
        <v/>
      </c>
    </row>
    <row r="487" customFormat="false" ht="15" hidden="false" customHeight="false" outlineLevel="0" collapsed="false">
      <c r="A487" s="24"/>
      <c r="B487" s="27"/>
      <c r="C487" s="24"/>
      <c r="D487" s="28"/>
      <c r="E487" s="24"/>
      <c r="F487" s="24"/>
      <c r="G487" s="24"/>
      <c r="H487" s="24"/>
      <c r="I487" s="29" t="str">
        <f aca="false">IF($A487="","",COUNTIFS($H$2:$H$1001,$A487,$D$2:$D$1001,"Reuse"))</f>
        <v/>
      </c>
    </row>
    <row r="488" customFormat="false" ht="15" hidden="false" customHeight="false" outlineLevel="0" collapsed="false">
      <c r="A488" s="24"/>
      <c r="B488" s="27"/>
      <c r="C488" s="24"/>
      <c r="D488" s="28"/>
      <c r="E488" s="24"/>
      <c r="F488" s="24"/>
      <c r="G488" s="24"/>
      <c r="H488" s="24"/>
      <c r="I488" s="29" t="str">
        <f aca="false">IF($A488="","",COUNTIFS($H$2:$H$1001,$A488,$D$2:$D$1001,"Reuse"))</f>
        <v/>
      </c>
    </row>
    <row r="489" customFormat="false" ht="15" hidden="false" customHeight="false" outlineLevel="0" collapsed="false">
      <c r="A489" s="24"/>
      <c r="B489" s="27"/>
      <c r="C489" s="24"/>
      <c r="D489" s="28"/>
      <c r="E489" s="24"/>
      <c r="F489" s="24"/>
      <c r="G489" s="24"/>
      <c r="H489" s="24"/>
      <c r="I489" s="29" t="str">
        <f aca="false">IF($A489="","",COUNTIFS($H$2:$H$1001,$A489,$D$2:$D$1001,"Reuse"))</f>
        <v/>
      </c>
    </row>
    <row r="490" customFormat="false" ht="15" hidden="false" customHeight="false" outlineLevel="0" collapsed="false">
      <c r="A490" s="24"/>
      <c r="B490" s="27"/>
      <c r="C490" s="24"/>
      <c r="D490" s="28"/>
      <c r="E490" s="24"/>
      <c r="F490" s="24"/>
      <c r="G490" s="24"/>
      <c r="H490" s="24"/>
      <c r="I490" s="29" t="str">
        <f aca="false">IF($A490="","",COUNTIFS($H$2:$H$1001,$A490,$D$2:$D$1001,"Reuse"))</f>
        <v/>
      </c>
    </row>
    <row r="491" customFormat="false" ht="15" hidden="false" customHeight="false" outlineLevel="0" collapsed="false">
      <c r="A491" s="24"/>
      <c r="B491" s="27"/>
      <c r="C491" s="24"/>
      <c r="D491" s="28"/>
      <c r="E491" s="24"/>
      <c r="F491" s="24"/>
      <c r="G491" s="24"/>
      <c r="H491" s="24"/>
      <c r="I491" s="29" t="str">
        <f aca="false">IF($A491="","",COUNTIFS($H$2:$H$1001,$A491,$D$2:$D$1001,"Reuse"))</f>
        <v/>
      </c>
    </row>
    <row r="492" customFormat="false" ht="15" hidden="false" customHeight="false" outlineLevel="0" collapsed="false">
      <c r="A492" s="24"/>
      <c r="B492" s="27"/>
      <c r="C492" s="24"/>
      <c r="D492" s="28"/>
      <c r="E492" s="24"/>
      <c r="F492" s="24"/>
      <c r="G492" s="24"/>
      <c r="H492" s="24"/>
      <c r="I492" s="29" t="str">
        <f aca="false">IF($A492="","",COUNTIFS($H$2:$H$1001,$A492,$D$2:$D$1001,"Reuse"))</f>
        <v/>
      </c>
    </row>
    <row r="493" customFormat="false" ht="15" hidden="false" customHeight="false" outlineLevel="0" collapsed="false">
      <c r="A493" s="24"/>
      <c r="B493" s="27"/>
      <c r="C493" s="24"/>
      <c r="D493" s="28"/>
      <c r="E493" s="24"/>
      <c r="F493" s="24"/>
      <c r="G493" s="24"/>
      <c r="H493" s="24"/>
      <c r="I493" s="29" t="str">
        <f aca="false">IF($A493="","",COUNTIFS($H$2:$H$1001,$A493,$D$2:$D$1001,"Reuse"))</f>
        <v/>
      </c>
    </row>
    <row r="494" customFormat="false" ht="15" hidden="false" customHeight="false" outlineLevel="0" collapsed="false">
      <c r="A494" s="24"/>
      <c r="B494" s="27"/>
      <c r="C494" s="24"/>
      <c r="D494" s="28"/>
      <c r="E494" s="24"/>
      <c r="F494" s="24"/>
      <c r="G494" s="24"/>
      <c r="H494" s="24"/>
      <c r="I494" s="29" t="str">
        <f aca="false">IF($A494="","",COUNTIFS($H$2:$H$1001,$A494,$D$2:$D$1001,"Reuse"))</f>
        <v/>
      </c>
    </row>
    <row r="495" customFormat="false" ht="15" hidden="false" customHeight="false" outlineLevel="0" collapsed="false">
      <c r="A495" s="24"/>
      <c r="B495" s="27"/>
      <c r="C495" s="24"/>
      <c r="D495" s="28"/>
      <c r="E495" s="24"/>
      <c r="F495" s="24"/>
      <c r="G495" s="24"/>
      <c r="H495" s="24"/>
      <c r="I495" s="29" t="str">
        <f aca="false">IF($A495="","",COUNTIFS($H$2:$H$1001,$A495,$D$2:$D$1001,"Reuse"))</f>
        <v/>
      </c>
    </row>
    <row r="496" customFormat="false" ht="15" hidden="false" customHeight="false" outlineLevel="0" collapsed="false">
      <c r="A496" s="24"/>
      <c r="B496" s="27"/>
      <c r="C496" s="24"/>
      <c r="D496" s="28"/>
      <c r="E496" s="24"/>
      <c r="F496" s="24"/>
      <c r="G496" s="24"/>
      <c r="H496" s="24"/>
      <c r="I496" s="29" t="str">
        <f aca="false">IF($A496="","",COUNTIFS($H$2:$H$1001,$A496,$D$2:$D$1001,"Reuse"))</f>
        <v/>
      </c>
    </row>
    <row r="497" customFormat="false" ht="15" hidden="false" customHeight="false" outlineLevel="0" collapsed="false">
      <c r="A497" s="24"/>
      <c r="B497" s="27"/>
      <c r="C497" s="24"/>
      <c r="D497" s="28"/>
      <c r="E497" s="24"/>
      <c r="F497" s="24"/>
      <c r="G497" s="24"/>
      <c r="H497" s="24"/>
      <c r="I497" s="29" t="str">
        <f aca="false">IF($A497="","",COUNTIFS($H$2:$H$1001,$A497,$D$2:$D$1001,"Reuse"))</f>
        <v/>
      </c>
    </row>
    <row r="498" customFormat="false" ht="15" hidden="false" customHeight="false" outlineLevel="0" collapsed="false">
      <c r="A498" s="24"/>
      <c r="B498" s="27"/>
      <c r="C498" s="24"/>
      <c r="D498" s="28"/>
      <c r="E498" s="24"/>
      <c r="F498" s="24"/>
      <c r="G498" s="24"/>
      <c r="H498" s="24"/>
      <c r="I498" s="29" t="str">
        <f aca="false">IF($A498="","",COUNTIFS($H$2:$H$1001,$A498,$D$2:$D$1001,"Reuse"))</f>
        <v/>
      </c>
    </row>
    <row r="499" customFormat="false" ht="15" hidden="false" customHeight="false" outlineLevel="0" collapsed="false">
      <c r="A499" s="24"/>
      <c r="B499" s="27"/>
      <c r="C499" s="24"/>
      <c r="D499" s="28"/>
      <c r="E499" s="24"/>
      <c r="F499" s="24"/>
      <c r="G499" s="24"/>
      <c r="H499" s="24"/>
      <c r="I499" s="29" t="str">
        <f aca="false">IF($A499="","",COUNTIFS($H$2:$H$1001,$A499,$D$2:$D$1001,"Reuse"))</f>
        <v/>
      </c>
    </row>
    <row r="500" customFormat="false" ht="15" hidden="false" customHeight="false" outlineLevel="0" collapsed="false">
      <c r="A500" s="24"/>
      <c r="B500" s="27"/>
      <c r="C500" s="24"/>
      <c r="D500" s="28"/>
      <c r="E500" s="24"/>
      <c r="F500" s="24"/>
      <c r="G500" s="24"/>
      <c r="H500" s="24"/>
      <c r="I500" s="29" t="str">
        <f aca="false">IF($A500="","",COUNTIFS($H$2:$H$1001,$A500,$D$2:$D$1001,"Reuse"))</f>
        <v/>
      </c>
    </row>
    <row r="501" customFormat="false" ht="15" hidden="false" customHeight="false" outlineLevel="0" collapsed="false">
      <c r="A501" s="24"/>
      <c r="B501" s="27"/>
      <c r="C501" s="24"/>
      <c r="D501" s="28"/>
      <c r="E501" s="24"/>
      <c r="F501" s="24"/>
      <c r="G501" s="24"/>
      <c r="H501" s="24"/>
      <c r="I501" s="29" t="str">
        <f aca="false">IF($A501="","",COUNTIFS($H$2:$H$1001,$A501,$D$2:$D$1001,"Reuse"))</f>
        <v/>
      </c>
    </row>
    <row r="502" customFormat="false" ht="15" hidden="false" customHeight="false" outlineLevel="0" collapsed="false">
      <c r="A502" s="24"/>
      <c r="B502" s="27"/>
      <c r="C502" s="24"/>
      <c r="D502" s="28"/>
      <c r="E502" s="24"/>
      <c r="F502" s="24"/>
      <c r="G502" s="24"/>
      <c r="H502" s="24"/>
      <c r="I502" s="29" t="str">
        <f aca="false">IF($A502="","",COUNTIFS($H$2:$H$1001,$A502,$D$2:$D$1001,"Reuse"))</f>
        <v/>
      </c>
    </row>
    <row r="503" customFormat="false" ht="15" hidden="false" customHeight="false" outlineLevel="0" collapsed="false">
      <c r="A503" s="24"/>
      <c r="B503" s="27"/>
      <c r="C503" s="24"/>
      <c r="D503" s="28"/>
      <c r="E503" s="24"/>
      <c r="F503" s="24"/>
      <c r="G503" s="24"/>
      <c r="H503" s="24"/>
      <c r="I503" s="29" t="str">
        <f aca="false">IF($A503="","",COUNTIFS($H$2:$H$1001,$A503,$D$2:$D$1001,"Reuse"))</f>
        <v/>
      </c>
    </row>
    <row r="504" customFormat="false" ht="15" hidden="false" customHeight="false" outlineLevel="0" collapsed="false">
      <c r="A504" s="24"/>
      <c r="B504" s="27"/>
      <c r="C504" s="24"/>
      <c r="D504" s="28"/>
      <c r="E504" s="24"/>
      <c r="F504" s="24"/>
      <c r="G504" s="24"/>
      <c r="H504" s="24"/>
      <c r="I504" s="29" t="str">
        <f aca="false">IF($A504="","",COUNTIFS($H$2:$H$1001,$A504,$D$2:$D$1001,"Reuse"))</f>
        <v/>
      </c>
    </row>
    <row r="505" customFormat="false" ht="15" hidden="false" customHeight="false" outlineLevel="0" collapsed="false">
      <c r="A505" s="24"/>
      <c r="B505" s="27"/>
      <c r="C505" s="24"/>
      <c r="D505" s="28"/>
      <c r="E505" s="24"/>
      <c r="F505" s="24"/>
      <c r="G505" s="24"/>
      <c r="H505" s="24"/>
      <c r="I505" s="29" t="str">
        <f aca="false">IF($A505="","",COUNTIFS($H$2:$H$1001,$A505,$D$2:$D$1001,"Reuse"))</f>
        <v/>
      </c>
    </row>
    <row r="506" customFormat="false" ht="15" hidden="false" customHeight="false" outlineLevel="0" collapsed="false">
      <c r="A506" s="24"/>
      <c r="B506" s="27"/>
      <c r="C506" s="24"/>
      <c r="D506" s="28"/>
      <c r="E506" s="24"/>
      <c r="F506" s="24"/>
      <c r="G506" s="24"/>
      <c r="H506" s="24"/>
      <c r="I506" s="29" t="str">
        <f aca="false">IF($A506="","",COUNTIFS($H$2:$H$1001,$A506,$D$2:$D$1001,"Reuse"))</f>
        <v/>
      </c>
    </row>
    <row r="507" customFormat="false" ht="15" hidden="false" customHeight="false" outlineLevel="0" collapsed="false">
      <c r="A507" s="24"/>
      <c r="B507" s="27"/>
      <c r="C507" s="24"/>
      <c r="D507" s="28"/>
      <c r="E507" s="24"/>
      <c r="F507" s="24"/>
      <c r="G507" s="24"/>
      <c r="H507" s="24"/>
      <c r="I507" s="29" t="str">
        <f aca="false">IF($A507="","",COUNTIFS($H$2:$H$1001,$A507,$D$2:$D$1001,"Reuse"))</f>
        <v/>
      </c>
    </row>
    <row r="508" customFormat="false" ht="15" hidden="false" customHeight="false" outlineLevel="0" collapsed="false">
      <c r="A508" s="24"/>
      <c r="B508" s="27"/>
      <c r="C508" s="24"/>
      <c r="D508" s="28"/>
      <c r="E508" s="24"/>
      <c r="F508" s="24"/>
      <c r="G508" s="24"/>
      <c r="H508" s="24"/>
      <c r="I508" s="29" t="str">
        <f aca="false">IF($A508="","",COUNTIFS($H$2:$H$1001,$A508,$D$2:$D$1001,"Reuse"))</f>
        <v/>
      </c>
    </row>
    <row r="509" customFormat="false" ht="15" hidden="false" customHeight="false" outlineLevel="0" collapsed="false">
      <c r="A509" s="24"/>
      <c r="B509" s="27"/>
      <c r="C509" s="24"/>
      <c r="D509" s="28"/>
      <c r="E509" s="24"/>
      <c r="F509" s="24"/>
      <c r="G509" s="24"/>
      <c r="H509" s="24"/>
      <c r="I509" s="29" t="str">
        <f aca="false">IF($A509="","",COUNTIFS($H$2:$H$1001,$A509,$D$2:$D$1001,"Reuse"))</f>
        <v/>
      </c>
    </row>
    <row r="510" customFormat="false" ht="15" hidden="false" customHeight="false" outlineLevel="0" collapsed="false">
      <c r="A510" s="24"/>
      <c r="B510" s="27"/>
      <c r="C510" s="24"/>
      <c r="D510" s="28"/>
      <c r="E510" s="24"/>
      <c r="F510" s="24"/>
      <c r="G510" s="24"/>
      <c r="H510" s="24"/>
      <c r="I510" s="29" t="str">
        <f aca="false">IF($A510="","",COUNTIFS($H$2:$H$1001,$A510,$D$2:$D$1001,"Reuse"))</f>
        <v/>
      </c>
    </row>
    <row r="511" customFormat="false" ht="15" hidden="false" customHeight="false" outlineLevel="0" collapsed="false">
      <c r="A511" s="24"/>
      <c r="B511" s="27"/>
      <c r="C511" s="24"/>
      <c r="D511" s="28"/>
      <c r="E511" s="24"/>
      <c r="F511" s="24"/>
      <c r="G511" s="24"/>
      <c r="H511" s="24"/>
      <c r="I511" s="29" t="str">
        <f aca="false">IF($A511="","",COUNTIFS($H$2:$H$1001,$A511,$D$2:$D$1001,"Reuse"))</f>
        <v/>
      </c>
    </row>
    <row r="512" customFormat="false" ht="15" hidden="false" customHeight="false" outlineLevel="0" collapsed="false">
      <c r="A512" s="24"/>
      <c r="B512" s="27"/>
      <c r="C512" s="24"/>
      <c r="D512" s="28"/>
      <c r="E512" s="24"/>
      <c r="F512" s="24"/>
      <c r="G512" s="24"/>
      <c r="H512" s="24"/>
      <c r="I512" s="29" t="str">
        <f aca="false">IF($A512="","",COUNTIFS($H$2:$H$1001,$A512,$D$2:$D$1001,"Reuse"))</f>
        <v/>
      </c>
    </row>
    <row r="513" customFormat="false" ht="15" hidden="false" customHeight="false" outlineLevel="0" collapsed="false">
      <c r="A513" s="24"/>
      <c r="B513" s="27"/>
      <c r="C513" s="24"/>
      <c r="D513" s="28"/>
      <c r="E513" s="24"/>
      <c r="F513" s="24"/>
      <c r="G513" s="24"/>
      <c r="H513" s="24"/>
      <c r="I513" s="29" t="str">
        <f aca="false">IF($A513="","",COUNTIFS($H$2:$H$1001,$A513,$D$2:$D$1001,"Reuse"))</f>
        <v/>
      </c>
    </row>
    <row r="514" customFormat="false" ht="15" hidden="false" customHeight="false" outlineLevel="0" collapsed="false">
      <c r="A514" s="24"/>
      <c r="B514" s="27"/>
      <c r="C514" s="24"/>
      <c r="D514" s="28"/>
      <c r="E514" s="24"/>
      <c r="F514" s="24"/>
      <c r="G514" s="24"/>
      <c r="H514" s="24"/>
      <c r="I514" s="29" t="str">
        <f aca="false">IF($A514="","",COUNTIFS($H$2:$H$1001,$A514,$D$2:$D$1001,"Reuse"))</f>
        <v/>
      </c>
    </row>
    <row r="515" customFormat="false" ht="15" hidden="false" customHeight="false" outlineLevel="0" collapsed="false">
      <c r="A515" s="24"/>
      <c r="B515" s="27"/>
      <c r="C515" s="24"/>
      <c r="D515" s="28"/>
      <c r="E515" s="24"/>
      <c r="F515" s="24"/>
      <c r="G515" s="24"/>
      <c r="H515" s="24"/>
      <c r="I515" s="29" t="str">
        <f aca="false">IF($A515="","",COUNTIFS($H$2:$H$1001,$A515,$D$2:$D$1001,"Reuse"))</f>
        <v/>
      </c>
    </row>
    <row r="516" customFormat="false" ht="15" hidden="false" customHeight="false" outlineLevel="0" collapsed="false">
      <c r="A516" s="24"/>
      <c r="B516" s="27"/>
      <c r="C516" s="24"/>
      <c r="D516" s="28"/>
      <c r="E516" s="24"/>
      <c r="F516" s="24"/>
      <c r="G516" s="24"/>
      <c r="H516" s="24"/>
      <c r="I516" s="29" t="str">
        <f aca="false">IF($A516="","",COUNTIFS($H$2:$H$1001,$A516,$D$2:$D$1001,"Reuse"))</f>
        <v/>
      </c>
    </row>
    <row r="517" customFormat="false" ht="15" hidden="false" customHeight="false" outlineLevel="0" collapsed="false">
      <c r="A517" s="24"/>
      <c r="B517" s="27"/>
      <c r="C517" s="24"/>
      <c r="D517" s="28"/>
      <c r="E517" s="24"/>
      <c r="F517" s="24"/>
      <c r="G517" s="24"/>
      <c r="H517" s="24"/>
      <c r="I517" s="29" t="str">
        <f aca="false">IF($A517="","",COUNTIFS($H$2:$H$1001,$A517,$D$2:$D$1001,"Reuse"))</f>
        <v/>
      </c>
    </row>
    <row r="518" customFormat="false" ht="15" hidden="false" customHeight="false" outlineLevel="0" collapsed="false">
      <c r="A518" s="24"/>
      <c r="B518" s="27"/>
      <c r="C518" s="24"/>
      <c r="D518" s="28"/>
      <c r="E518" s="24"/>
      <c r="F518" s="24"/>
      <c r="G518" s="24"/>
      <c r="H518" s="24"/>
      <c r="I518" s="29" t="str">
        <f aca="false">IF($A518="","",COUNTIFS($H$2:$H$1001,$A518,$D$2:$D$1001,"Reuse"))</f>
        <v/>
      </c>
    </row>
    <row r="519" customFormat="false" ht="15" hidden="false" customHeight="false" outlineLevel="0" collapsed="false">
      <c r="A519" s="24"/>
      <c r="B519" s="27"/>
      <c r="C519" s="24"/>
      <c r="D519" s="28"/>
      <c r="E519" s="24"/>
      <c r="F519" s="24"/>
      <c r="G519" s="24"/>
      <c r="H519" s="24"/>
      <c r="I519" s="29" t="str">
        <f aca="false">IF($A519="","",COUNTIFS($H$2:$H$1001,$A519,$D$2:$D$1001,"Reuse"))</f>
        <v/>
      </c>
    </row>
    <row r="520" customFormat="false" ht="15" hidden="false" customHeight="false" outlineLevel="0" collapsed="false">
      <c r="A520" s="24"/>
      <c r="B520" s="27"/>
      <c r="C520" s="24"/>
      <c r="D520" s="28"/>
      <c r="E520" s="24"/>
      <c r="F520" s="24"/>
      <c r="G520" s="24"/>
      <c r="H520" s="24"/>
      <c r="I520" s="29" t="str">
        <f aca="false">IF($A520="","",COUNTIFS($H$2:$H$1001,$A520,$D$2:$D$1001,"Reuse"))</f>
        <v/>
      </c>
    </row>
    <row r="521" customFormat="false" ht="15" hidden="false" customHeight="false" outlineLevel="0" collapsed="false">
      <c r="A521" s="24"/>
      <c r="B521" s="27"/>
      <c r="C521" s="24"/>
      <c r="D521" s="28"/>
      <c r="E521" s="24"/>
      <c r="F521" s="24"/>
      <c r="G521" s="24"/>
      <c r="H521" s="24"/>
      <c r="I521" s="29" t="str">
        <f aca="false">IF($A521="","",COUNTIFS($H$2:$H$1001,$A521,$D$2:$D$1001,"Reuse"))</f>
        <v/>
      </c>
    </row>
    <row r="522" customFormat="false" ht="15" hidden="false" customHeight="false" outlineLevel="0" collapsed="false">
      <c r="A522" s="24"/>
      <c r="B522" s="27"/>
      <c r="C522" s="24"/>
      <c r="D522" s="28"/>
      <c r="E522" s="24"/>
      <c r="F522" s="24"/>
      <c r="G522" s="24"/>
      <c r="H522" s="24"/>
      <c r="I522" s="29" t="str">
        <f aca="false">IF($A522="","",COUNTIFS($H$2:$H$1001,$A522,$D$2:$D$1001,"Reuse"))</f>
        <v/>
      </c>
    </row>
    <row r="523" customFormat="false" ht="15" hidden="false" customHeight="false" outlineLevel="0" collapsed="false">
      <c r="A523" s="24"/>
      <c r="B523" s="27"/>
      <c r="C523" s="24"/>
      <c r="D523" s="28"/>
      <c r="E523" s="24"/>
      <c r="F523" s="24"/>
      <c r="G523" s="24"/>
      <c r="H523" s="24"/>
      <c r="I523" s="29" t="str">
        <f aca="false">IF($A523="","",COUNTIFS($H$2:$H$1001,$A523,$D$2:$D$1001,"Reuse"))</f>
        <v/>
      </c>
    </row>
    <row r="524" customFormat="false" ht="15" hidden="false" customHeight="false" outlineLevel="0" collapsed="false">
      <c r="A524" s="24"/>
      <c r="B524" s="27"/>
      <c r="C524" s="24"/>
      <c r="D524" s="28"/>
      <c r="E524" s="24"/>
      <c r="F524" s="24"/>
      <c r="G524" s="24"/>
      <c r="H524" s="24"/>
      <c r="I524" s="29" t="str">
        <f aca="false">IF($A524="","",COUNTIFS($H$2:$H$1001,$A524,$D$2:$D$1001,"Reuse"))</f>
        <v/>
      </c>
    </row>
    <row r="525" customFormat="false" ht="15" hidden="false" customHeight="false" outlineLevel="0" collapsed="false">
      <c r="A525" s="24"/>
      <c r="B525" s="27"/>
      <c r="C525" s="24"/>
      <c r="D525" s="28"/>
      <c r="E525" s="24"/>
      <c r="F525" s="24"/>
      <c r="G525" s="24"/>
      <c r="H525" s="24"/>
      <c r="I525" s="29" t="str">
        <f aca="false">IF($A525="","",COUNTIFS($H$2:$H$1001,$A525,$D$2:$D$1001,"Reuse"))</f>
        <v/>
      </c>
    </row>
    <row r="526" customFormat="false" ht="15" hidden="false" customHeight="false" outlineLevel="0" collapsed="false">
      <c r="A526" s="24"/>
      <c r="B526" s="27"/>
      <c r="C526" s="24"/>
      <c r="D526" s="28"/>
      <c r="E526" s="24"/>
      <c r="F526" s="24"/>
      <c r="G526" s="24"/>
      <c r="H526" s="24"/>
      <c r="I526" s="29" t="str">
        <f aca="false">IF($A526="","",COUNTIFS($H$2:$H$1001,$A526,$D$2:$D$1001,"Reuse"))</f>
        <v/>
      </c>
    </row>
    <row r="527" customFormat="false" ht="15" hidden="false" customHeight="false" outlineLevel="0" collapsed="false">
      <c r="A527" s="24"/>
      <c r="B527" s="27"/>
      <c r="C527" s="24"/>
      <c r="D527" s="28"/>
      <c r="E527" s="24"/>
      <c r="F527" s="24"/>
      <c r="G527" s="24"/>
      <c r="H527" s="24"/>
      <c r="I527" s="29" t="str">
        <f aca="false">IF($A527="","",COUNTIFS($H$2:$H$1001,$A527,$D$2:$D$1001,"Reuse"))</f>
        <v/>
      </c>
    </row>
    <row r="528" customFormat="false" ht="15" hidden="false" customHeight="false" outlineLevel="0" collapsed="false">
      <c r="A528" s="24"/>
      <c r="B528" s="27"/>
      <c r="C528" s="24"/>
      <c r="D528" s="28"/>
      <c r="E528" s="24"/>
      <c r="F528" s="24"/>
      <c r="G528" s="24"/>
      <c r="H528" s="24"/>
      <c r="I528" s="29" t="str">
        <f aca="false">IF($A528="","",COUNTIFS($H$2:$H$1001,$A528,$D$2:$D$1001,"Reuse"))</f>
        <v/>
      </c>
    </row>
    <row r="529" customFormat="false" ht="15" hidden="false" customHeight="false" outlineLevel="0" collapsed="false">
      <c r="A529" s="24"/>
      <c r="B529" s="27"/>
      <c r="C529" s="24"/>
      <c r="D529" s="28"/>
      <c r="E529" s="24"/>
      <c r="F529" s="24"/>
      <c r="G529" s="24"/>
      <c r="H529" s="24"/>
      <c r="I529" s="29" t="str">
        <f aca="false">IF($A529="","",COUNTIFS($H$2:$H$1001,$A529,$D$2:$D$1001,"Reuse"))</f>
        <v/>
      </c>
    </row>
    <row r="530" customFormat="false" ht="15" hidden="false" customHeight="false" outlineLevel="0" collapsed="false">
      <c r="A530" s="24"/>
      <c r="B530" s="27"/>
      <c r="C530" s="24"/>
      <c r="D530" s="28"/>
      <c r="E530" s="24"/>
      <c r="F530" s="24"/>
      <c r="G530" s="24"/>
      <c r="H530" s="24"/>
      <c r="I530" s="29" t="str">
        <f aca="false">IF($A530="","",COUNTIFS($H$2:$H$1001,$A530,$D$2:$D$1001,"Reuse"))</f>
        <v/>
      </c>
    </row>
    <row r="531" customFormat="false" ht="15" hidden="false" customHeight="false" outlineLevel="0" collapsed="false">
      <c r="A531" s="24"/>
      <c r="B531" s="27"/>
      <c r="C531" s="24"/>
      <c r="D531" s="28"/>
      <c r="E531" s="24"/>
      <c r="F531" s="24"/>
      <c r="G531" s="24"/>
      <c r="H531" s="24"/>
      <c r="I531" s="29" t="str">
        <f aca="false">IF($A531="","",COUNTIFS($H$2:$H$1001,$A531,$D$2:$D$1001,"Reuse"))</f>
        <v/>
      </c>
    </row>
    <row r="532" customFormat="false" ht="15" hidden="false" customHeight="false" outlineLevel="0" collapsed="false">
      <c r="A532" s="24"/>
      <c r="B532" s="27"/>
      <c r="C532" s="24"/>
      <c r="D532" s="28"/>
      <c r="E532" s="24"/>
      <c r="F532" s="24"/>
      <c r="G532" s="24"/>
      <c r="H532" s="24"/>
      <c r="I532" s="29" t="str">
        <f aca="false">IF($A532="","",COUNTIFS($H$2:$H$1001,$A532,$D$2:$D$1001,"Reuse"))</f>
        <v/>
      </c>
    </row>
    <row r="533" customFormat="false" ht="15" hidden="false" customHeight="false" outlineLevel="0" collapsed="false">
      <c r="A533" s="24"/>
      <c r="B533" s="27"/>
      <c r="C533" s="24"/>
      <c r="D533" s="28"/>
      <c r="E533" s="24"/>
      <c r="F533" s="24"/>
      <c r="G533" s="24"/>
      <c r="H533" s="24"/>
      <c r="I533" s="29" t="str">
        <f aca="false">IF($A533="","",COUNTIFS($H$2:$H$1001,$A533,$D$2:$D$1001,"Reuse"))</f>
        <v/>
      </c>
    </row>
    <row r="534" customFormat="false" ht="15" hidden="false" customHeight="false" outlineLevel="0" collapsed="false">
      <c r="A534" s="24"/>
      <c r="B534" s="27"/>
      <c r="C534" s="24"/>
      <c r="D534" s="28"/>
      <c r="E534" s="24"/>
      <c r="F534" s="24"/>
      <c r="G534" s="24"/>
      <c r="H534" s="24"/>
      <c r="I534" s="29" t="str">
        <f aca="false">IF($A534="","",COUNTIFS($H$2:$H$1001,$A534,$D$2:$D$1001,"Reuse"))</f>
        <v/>
      </c>
    </row>
    <row r="535" customFormat="false" ht="15" hidden="false" customHeight="false" outlineLevel="0" collapsed="false">
      <c r="A535" s="24"/>
      <c r="B535" s="27"/>
      <c r="C535" s="24"/>
      <c r="D535" s="28"/>
      <c r="E535" s="24"/>
      <c r="F535" s="24"/>
      <c r="G535" s="24"/>
      <c r="H535" s="24"/>
      <c r="I535" s="29" t="str">
        <f aca="false">IF($A535="","",COUNTIFS($H$2:$H$1001,$A535,$D$2:$D$1001,"Reuse"))</f>
        <v/>
      </c>
    </row>
    <row r="536" customFormat="false" ht="15" hidden="false" customHeight="false" outlineLevel="0" collapsed="false">
      <c r="A536" s="24"/>
      <c r="B536" s="27"/>
      <c r="C536" s="24"/>
      <c r="D536" s="28"/>
      <c r="E536" s="24"/>
      <c r="F536" s="24"/>
      <c r="G536" s="24"/>
      <c r="H536" s="24"/>
      <c r="I536" s="29" t="str">
        <f aca="false">IF($A536="","",COUNTIFS($H$2:$H$1001,$A536,$D$2:$D$1001,"Reuse"))</f>
        <v/>
      </c>
    </row>
    <row r="537" customFormat="false" ht="15" hidden="false" customHeight="false" outlineLevel="0" collapsed="false">
      <c r="A537" s="24"/>
      <c r="B537" s="27"/>
      <c r="C537" s="24"/>
      <c r="D537" s="28"/>
      <c r="E537" s="24"/>
      <c r="F537" s="24"/>
      <c r="G537" s="24"/>
      <c r="H537" s="24"/>
      <c r="I537" s="29" t="str">
        <f aca="false">IF($A537="","",COUNTIFS($H$2:$H$1001,$A537,$D$2:$D$1001,"Reuse"))</f>
        <v/>
      </c>
    </row>
    <row r="538" customFormat="false" ht="15" hidden="false" customHeight="false" outlineLevel="0" collapsed="false">
      <c r="A538" s="24"/>
      <c r="B538" s="27"/>
      <c r="C538" s="24"/>
      <c r="D538" s="28"/>
      <c r="E538" s="24"/>
      <c r="F538" s="24"/>
      <c r="G538" s="24"/>
      <c r="H538" s="24"/>
      <c r="I538" s="29" t="str">
        <f aca="false">IF($A538="","",COUNTIFS($H$2:$H$1001,$A538,$D$2:$D$1001,"Reuse"))</f>
        <v/>
      </c>
    </row>
    <row r="539" customFormat="false" ht="15" hidden="false" customHeight="false" outlineLevel="0" collapsed="false">
      <c r="A539" s="24"/>
      <c r="B539" s="27"/>
      <c r="C539" s="24"/>
      <c r="D539" s="28"/>
      <c r="E539" s="24"/>
      <c r="F539" s="24"/>
      <c r="G539" s="24"/>
      <c r="H539" s="24"/>
      <c r="I539" s="29" t="str">
        <f aca="false">IF($A539="","",COUNTIFS($H$2:$H$1001,$A539,$D$2:$D$1001,"Reuse"))</f>
        <v/>
      </c>
    </row>
    <row r="540" customFormat="false" ht="15" hidden="false" customHeight="false" outlineLevel="0" collapsed="false">
      <c r="A540" s="24"/>
      <c r="B540" s="27"/>
      <c r="C540" s="24"/>
      <c r="D540" s="28"/>
      <c r="E540" s="24"/>
      <c r="F540" s="24"/>
      <c r="G540" s="24"/>
      <c r="H540" s="24"/>
      <c r="I540" s="29" t="str">
        <f aca="false">IF($A540="","",COUNTIFS($H$2:$H$1001,$A540,$D$2:$D$1001,"Reuse"))</f>
        <v/>
      </c>
    </row>
    <row r="541" customFormat="false" ht="15" hidden="false" customHeight="false" outlineLevel="0" collapsed="false">
      <c r="A541" s="24"/>
      <c r="B541" s="27"/>
      <c r="C541" s="24"/>
      <c r="D541" s="28"/>
      <c r="E541" s="24"/>
      <c r="F541" s="24"/>
      <c r="G541" s="24"/>
      <c r="H541" s="24"/>
      <c r="I541" s="29" t="str">
        <f aca="false">IF($A541="","",COUNTIFS($H$2:$H$1001,$A541,$D$2:$D$1001,"Reuse"))</f>
        <v/>
      </c>
    </row>
    <row r="542" customFormat="false" ht="15" hidden="false" customHeight="false" outlineLevel="0" collapsed="false">
      <c r="A542" s="24"/>
      <c r="B542" s="27"/>
      <c r="C542" s="24"/>
      <c r="D542" s="28"/>
      <c r="E542" s="24"/>
      <c r="F542" s="24"/>
      <c r="G542" s="24"/>
      <c r="H542" s="24"/>
      <c r="I542" s="29" t="str">
        <f aca="false">IF($A542="","",COUNTIFS($H$2:$H$1001,$A542,$D$2:$D$1001,"Reuse"))</f>
        <v/>
      </c>
    </row>
    <row r="543" customFormat="false" ht="15" hidden="false" customHeight="false" outlineLevel="0" collapsed="false">
      <c r="A543" s="24"/>
      <c r="B543" s="27"/>
      <c r="C543" s="24"/>
      <c r="D543" s="28"/>
      <c r="E543" s="24"/>
      <c r="F543" s="24"/>
      <c r="G543" s="24"/>
      <c r="H543" s="24"/>
      <c r="I543" s="29" t="str">
        <f aca="false">IF($A543="","",COUNTIFS($H$2:$H$1001,$A543,$D$2:$D$1001,"Reuse"))</f>
        <v/>
      </c>
    </row>
    <row r="544" customFormat="false" ht="15" hidden="false" customHeight="false" outlineLevel="0" collapsed="false">
      <c r="A544" s="24"/>
      <c r="B544" s="27"/>
      <c r="C544" s="24"/>
      <c r="D544" s="28"/>
      <c r="E544" s="24"/>
      <c r="F544" s="24"/>
      <c r="G544" s="24"/>
      <c r="H544" s="24"/>
      <c r="I544" s="29" t="str">
        <f aca="false">IF($A544="","",COUNTIFS($H$2:$H$1001,$A544,$D$2:$D$1001,"Reuse"))</f>
        <v/>
      </c>
    </row>
    <row r="545" customFormat="false" ht="15" hidden="false" customHeight="false" outlineLevel="0" collapsed="false">
      <c r="A545" s="24"/>
      <c r="B545" s="27"/>
      <c r="C545" s="24"/>
      <c r="D545" s="28"/>
      <c r="E545" s="24"/>
      <c r="F545" s="24"/>
      <c r="G545" s="24"/>
      <c r="H545" s="24"/>
      <c r="I545" s="29" t="str">
        <f aca="false">IF($A545="","",COUNTIFS($H$2:$H$1001,$A545,$D$2:$D$1001,"Reuse"))</f>
        <v/>
      </c>
    </row>
    <row r="546" customFormat="false" ht="15" hidden="false" customHeight="false" outlineLevel="0" collapsed="false">
      <c r="A546" s="24"/>
      <c r="B546" s="27"/>
      <c r="C546" s="24"/>
      <c r="D546" s="28"/>
      <c r="E546" s="24"/>
      <c r="F546" s="24"/>
      <c r="G546" s="24"/>
      <c r="H546" s="24"/>
      <c r="I546" s="29" t="str">
        <f aca="false">IF($A546="","",COUNTIFS($H$2:$H$1001,$A546,$D$2:$D$1001,"Reuse"))</f>
        <v/>
      </c>
    </row>
    <row r="547" customFormat="false" ht="15" hidden="false" customHeight="false" outlineLevel="0" collapsed="false">
      <c r="A547" s="24"/>
      <c r="B547" s="27"/>
      <c r="C547" s="24"/>
      <c r="D547" s="28"/>
      <c r="E547" s="24"/>
      <c r="F547" s="24"/>
      <c r="G547" s="24"/>
      <c r="H547" s="24"/>
      <c r="I547" s="29" t="str">
        <f aca="false">IF($A547="","",COUNTIFS($H$2:$H$1001,$A547,$D$2:$D$1001,"Reuse"))</f>
        <v/>
      </c>
    </row>
    <row r="548" customFormat="false" ht="15" hidden="false" customHeight="false" outlineLevel="0" collapsed="false">
      <c r="A548" s="24"/>
      <c r="B548" s="27"/>
      <c r="C548" s="24"/>
      <c r="D548" s="28"/>
      <c r="E548" s="24"/>
      <c r="F548" s="24"/>
      <c r="G548" s="24"/>
      <c r="H548" s="24"/>
      <c r="I548" s="29" t="str">
        <f aca="false">IF($A548="","",COUNTIFS($H$2:$H$1001,$A548,$D$2:$D$1001,"Reuse"))</f>
        <v/>
      </c>
    </row>
    <row r="549" customFormat="false" ht="15" hidden="false" customHeight="false" outlineLevel="0" collapsed="false">
      <c r="A549" s="24"/>
      <c r="B549" s="27"/>
      <c r="C549" s="24"/>
      <c r="D549" s="28"/>
      <c r="E549" s="24"/>
      <c r="F549" s="24"/>
      <c r="G549" s="24"/>
      <c r="H549" s="24"/>
      <c r="I549" s="29" t="str">
        <f aca="false">IF($A549="","",COUNTIFS($H$2:$H$1001,$A549,$D$2:$D$1001,"Reuse"))</f>
        <v/>
      </c>
    </row>
    <row r="550" customFormat="false" ht="15" hidden="false" customHeight="false" outlineLevel="0" collapsed="false">
      <c r="A550" s="24"/>
      <c r="B550" s="27"/>
      <c r="C550" s="24"/>
      <c r="D550" s="28"/>
      <c r="E550" s="24"/>
      <c r="F550" s="24"/>
      <c r="G550" s="24"/>
      <c r="H550" s="24"/>
      <c r="I550" s="29" t="str">
        <f aca="false">IF($A550="","",COUNTIFS($H$2:$H$1001,$A550,$D$2:$D$1001,"Reuse"))</f>
        <v/>
      </c>
    </row>
    <row r="551" customFormat="false" ht="15" hidden="false" customHeight="false" outlineLevel="0" collapsed="false">
      <c r="A551" s="24"/>
      <c r="B551" s="27"/>
      <c r="C551" s="24"/>
      <c r="D551" s="28"/>
      <c r="E551" s="24"/>
      <c r="F551" s="24"/>
      <c r="G551" s="24"/>
      <c r="H551" s="24"/>
      <c r="I551" s="29" t="str">
        <f aca="false">IF($A551="","",COUNTIFS($H$2:$H$1001,$A551,$D$2:$D$1001,"Reuse"))</f>
        <v/>
      </c>
    </row>
    <row r="552" customFormat="false" ht="15" hidden="false" customHeight="false" outlineLevel="0" collapsed="false">
      <c r="A552" s="24"/>
      <c r="B552" s="27"/>
      <c r="C552" s="24"/>
      <c r="D552" s="28"/>
      <c r="E552" s="24"/>
      <c r="F552" s="24"/>
      <c r="G552" s="24"/>
      <c r="H552" s="24"/>
      <c r="I552" s="29" t="str">
        <f aca="false">IF($A552="","",COUNTIFS($H$2:$H$1001,$A552,$D$2:$D$1001,"Reuse"))</f>
        <v/>
      </c>
    </row>
    <row r="553" customFormat="false" ht="15" hidden="false" customHeight="false" outlineLevel="0" collapsed="false">
      <c r="A553" s="24"/>
      <c r="B553" s="27"/>
      <c r="C553" s="24"/>
      <c r="D553" s="28"/>
      <c r="E553" s="24"/>
      <c r="F553" s="24"/>
      <c r="G553" s="24"/>
      <c r="H553" s="24"/>
      <c r="I553" s="29" t="str">
        <f aca="false">IF($A553="","",COUNTIFS($H$2:$H$1001,$A553,$D$2:$D$1001,"Reuse"))</f>
        <v/>
      </c>
    </row>
    <row r="554" customFormat="false" ht="15" hidden="false" customHeight="false" outlineLevel="0" collapsed="false">
      <c r="A554" s="24"/>
      <c r="B554" s="27"/>
      <c r="C554" s="24"/>
      <c r="D554" s="28"/>
      <c r="E554" s="24"/>
      <c r="F554" s="24"/>
      <c r="G554" s="24"/>
      <c r="H554" s="24"/>
      <c r="I554" s="29" t="str">
        <f aca="false">IF($A554="","",COUNTIFS($H$2:$H$1001,$A554,$D$2:$D$1001,"Reuse"))</f>
        <v/>
      </c>
    </row>
    <row r="555" customFormat="false" ht="15" hidden="false" customHeight="false" outlineLevel="0" collapsed="false">
      <c r="A555" s="24"/>
      <c r="B555" s="27"/>
      <c r="C555" s="24"/>
      <c r="D555" s="28"/>
      <c r="E555" s="24"/>
      <c r="F555" s="24"/>
      <c r="G555" s="24"/>
      <c r="H555" s="24"/>
      <c r="I555" s="29" t="str">
        <f aca="false">IF($A555="","",COUNTIFS($H$2:$H$1001,$A555,$D$2:$D$1001,"Reuse"))</f>
        <v/>
      </c>
    </row>
    <row r="556" customFormat="false" ht="15" hidden="false" customHeight="false" outlineLevel="0" collapsed="false">
      <c r="A556" s="24"/>
      <c r="B556" s="27"/>
      <c r="C556" s="24"/>
      <c r="D556" s="28"/>
      <c r="E556" s="24"/>
      <c r="F556" s="24"/>
      <c r="G556" s="24"/>
      <c r="H556" s="24"/>
      <c r="I556" s="29" t="str">
        <f aca="false">IF($A556="","",COUNTIFS($H$2:$H$1001,$A556,$D$2:$D$1001,"Reuse"))</f>
        <v/>
      </c>
    </row>
    <row r="557" customFormat="false" ht="15" hidden="false" customHeight="false" outlineLevel="0" collapsed="false">
      <c r="A557" s="24"/>
      <c r="B557" s="27"/>
      <c r="C557" s="24"/>
      <c r="D557" s="28"/>
      <c r="E557" s="24"/>
      <c r="F557" s="24"/>
      <c r="G557" s="24"/>
      <c r="H557" s="24"/>
      <c r="I557" s="29" t="str">
        <f aca="false">IF($A557="","",COUNTIFS($H$2:$H$1001,$A557,$D$2:$D$1001,"Reuse"))</f>
        <v/>
      </c>
    </row>
    <row r="558" customFormat="false" ht="15" hidden="false" customHeight="false" outlineLevel="0" collapsed="false">
      <c r="A558" s="24"/>
      <c r="B558" s="27"/>
      <c r="C558" s="24"/>
      <c r="D558" s="28"/>
      <c r="E558" s="24"/>
      <c r="F558" s="24"/>
      <c r="G558" s="24"/>
      <c r="H558" s="24"/>
      <c r="I558" s="29" t="str">
        <f aca="false">IF($A558="","",COUNTIFS($H$2:$H$1001,$A558,$D$2:$D$1001,"Reuse"))</f>
        <v/>
      </c>
    </row>
    <row r="559" customFormat="false" ht="15" hidden="false" customHeight="false" outlineLevel="0" collapsed="false">
      <c r="A559" s="24"/>
      <c r="B559" s="27"/>
      <c r="C559" s="24"/>
      <c r="D559" s="28"/>
      <c r="E559" s="24"/>
      <c r="F559" s="24"/>
      <c r="G559" s="24"/>
      <c r="H559" s="24"/>
      <c r="I559" s="29" t="str">
        <f aca="false">IF($A559="","",COUNTIFS($H$2:$H$1001,$A559,$D$2:$D$1001,"Reuse"))</f>
        <v/>
      </c>
    </row>
    <row r="560" customFormat="false" ht="15" hidden="false" customHeight="false" outlineLevel="0" collapsed="false">
      <c r="A560" s="24"/>
      <c r="B560" s="27"/>
      <c r="C560" s="24"/>
      <c r="D560" s="28"/>
      <c r="E560" s="24"/>
      <c r="F560" s="24"/>
      <c r="G560" s="24"/>
      <c r="H560" s="24"/>
      <c r="I560" s="29" t="str">
        <f aca="false">IF($A560="","",COUNTIFS($H$2:$H$1001,$A560,$D$2:$D$1001,"Reuse"))</f>
        <v/>
      </c>
    </row>
    <row r="561" customFormat="false" ht="15" hidden="false" customHeight="false" outlineLevel="0" collapsed="false">
      <c r="A561" s="24"/>
      <c r="B561" s="27"/>
      <c r="C561" s="24"/>
      <c r="D561" s="28"/>
      <c r="E561" s="24"/>
      <c r="F561" s="24"/>
      <c r="G561" s="24"/>
      <c r="H561" s="24"/>
      <c r="I561" s="29" t="str">
        <f aca="false">IF($A561="","",COUNTIFS($H$2:$H$1001,$A561,$D$2:$D$1001,"Reuse"))</f>
        <v/>
      </c>
    </row>
    <row r="562" customFormat="false" ht="15" hidden="false" customHeight="false" outlineLevel="0" collapsed="false">
      <c r="A562" s="24"/>
      <c r="B562" s="27"/>
      <c r="C562" s="24"/>
      <c r="D562" s="28"/>
      <c r="E562" s="24"/>
      <c r="F562" s="24"/>
      <c r="G562" s="24"/>
      <c r="H562" s="24"/>
      <c r="I562" s="29" t="str">
        <f aca="false">IF($A562="","",COUNTIFS($H$2:$H$1001,$A562,$D$2:$D$1001,"Reuse"))</f>
        <v/>
      </c>
    </row>
    <row r="563" customFormat="false" ht="15" hidden="false" customHeight="false" outlineLevel="0" collapsed="false">
      <c r="A563" s="24"/>
      <c r="B563" s="27"/>
      <c r="C563" s="24"/>
      <c r="D563" s="28"/>
      <c r="E563" s="24"/>
      <c r="F563" s="24"/>
      <c r="G563" s="24"/>
      <c r="H563" s="24"/>
      <c r="I563" s="29" t="str">
        <f aca="false">IF($A563="","",COUNTIFS($H$2:$H$1001,$A563,$D$2:$D$1001,"Reuse"))</f>
        <v/>
      </c>
    </row>
    <row r="564" customFormat="false" ht="15" hidden="false" customHeight="false" outlineLevel="0" collapsed="false">
      <c r="A564" s="24"/>
      <c r="B564" s="27"/>
      <c r="C564" s="24"/>
      <c r="D564" s="28"/>
      <c r="E564" s="24"/>
      <c r="F564" s="24"/>
      <c r="G564" s="24"/>
      <c r="H564" s="24"/>
      <c r="I564" s="29" t="str">
        <f aca="false">IF($A564="","",COUNTIFS($H$2:$H$1001,$A564,$D$2:$D$1001,"Reuse"))</f>
        <v/>
      </c>
    </row>
    <row r="565" customFormat="false" ht="15" hidden="false" customHeight="false" outlineLevel="0" collapsed="false">
      <c r="A565" s="24"/>
      <c r="B565" s="27"/>
      <c r="C565" s="24"/>
      <c r="D565" s="28"/>
      <c r="E565" s="24"/>
      <c r="F565" s="24"/>
      <c r="G565" s="24"/>
      <c r="H565" s="24"/>
      <c r="I565" s="29" t="str">
        <f aca="false">IF($A565="","",COUNTIFS($H$2:$H$1001,$A565,$D$2:$D$1001,"Reuse"))</f>
        <v/>
      </c>
    </row>
    <row r="566" customFormat="false" ht="15" hidden="false" customHeight="false" outlineLevel="0" collapsed="false">
      <c r="A566" s="24"/>
      <c r="B566" s="27"/>
      <c r="C566" s="24"/>
      <c r="D566" s="28"/>
      <c r="E566" s="24"/>
      <c r="F566" s="24"/>
      <c r="G566" s="24"/>
      <c r="H566" s="24"/>
      <c r="I566" s="29" t="str">
        <f aca="false">IF($A566="","",COUNTIFS($H$2:$H$1001,$A566,$D$2:$D$1001,"Reuse"))</f>
        <v/>
      </c>
    </row>
    <row r="567" customFormat="false" ht="15" hidden="false" customHeight="false" outlineLevel="0" collapsed="false">
      <c r="A567" s="24"/>
      <c r="B567" s="27"/>
      <c r="C567" s="24"/>
      <c r="D567" s="28"/>
      <c r="E567" s="24"/>
      <c r="F567" s="24"/>
      <c r="G567" s="24"/>
      <c r="H567" s="24"/>
      <c r="I567" s="29" t="str">
        <f aca="false">IF($A567="","",COUNTIFS($H$2:$H$1001,$A567,$D$2:$D$1001,"Reuse"))</f>
        <v/>
      </c>
    </row>
    <row r="568" customFormat="false" ht="15" hidden="false" customHeight="false" outlineLevel="0" collapsed="false">
      <c r="A568" s="24"/>
      <c r="B568" s="27"/>
      <c r="C568" s="24"/>
      <c r="D568" s="28"/>
      <c r="E568" s="24"/>
      <c r="F568" s="24"/>
      <c r="G568" s="24"/>
      <c r="H568" s="24"/>
      <c r="I568" s="29" t="str">
        <f aca="false">IF($A568="","",COUNTIFS($H$2:$H$1001,$A568,$D$2:$D$1001,"Reuse"))</f>
        <v/>
      </c>
    </row>
    <row r="569" customFormat="false" ht="15" hidden="false" customHeight="false" outlineLevel="0" collapsed="false">
      <c r="A569" s="24"/>
      <c r="B569" s="27"/>
      <c r="C569" s="24"/>
      <c r="D569" s="28"/>
      <c r="E569" s="24"/>
      <c r="F569" s="24"/>
      <c r="G569" s="24"/>
      <c r="H569" s="24"/>
      <c r="I569" s="29" t="str">
        <f aca="false">IF($A569="","",COUNTIFS($H$2:$H$1001,$A569,$D$2:$D$1001,"Reuse"))</f>
        <v/>
      </c>
    </row>
    <row r="570" customFormat="false" ht="15" hidden="false" customHeight="false" outlineLevel="0" collapsed="false">
      <c r="A570" s="24"/>
      <c r="B570" s="27"/>
      <c r="C570" s="24"/>
      <c r="D570" s="28"/>
      <c r="E570" s="24"/>
      <c r="F570" s="24"/>
      <c r="G570" s="24"/>
      <c r="H570" s="24"/>
      <c r="I570" s="29" t="str">
        <f aca="false">IF($A570="","",COUNTIFS($H$2:$H$1001,$A570,$D$2:$D$1001,"Reuse"))</f>
        <v/>
      </c>
    </row>
    <row r="571" customFormat="false" ht="15" hidden="false" customHeight="false" outlineLevel="0" collapsed="false">
      <c r="A571" s="24"/>
      <c r="B571" s="27"/>
      <c r="C571" s="24"/>
      <c r="D571" s="28"/>
      <c r="E571" s="24"/>
      <c r="F571" s="24"/>
      <c r="G571" s="24"/>
      <c r="H571" s="24"/>
      <c r="I571" s="29" t="str">
        <f aca="false">IF($A571="","",COUNTIFS($H$2:$H$1001,$A571,$D$2:$D$1001,"Reuse"))</f>
        <v/>
      </c>
    </row>
    <row r="572" customFormat="false" ht="15" hidden="false" customHeight="false" outlineLevel="0" collapsed="false">
      <c r="A572" s="24"/>
      <c r="B572" s="27"/>
      <c r="C572" s="24"/>
      <c r="D572" s="28"/>
      <c r="E572" s="24"/>
      <c r="F572" s="24"/>
      <c r="G572" s="24"/>
      <c r="H572" s="24"/>
      <c r="I572" s="29" t="str">
        <f aca="false">IF($A572="","",COUNTIFS($H$2:$H$1001,$A572,$D$2:$D$1001,"Reuse"))</f>
        <v/>
      </c>
    </row>
    <row r="573" customFormat="false" ht="15" hidden="false" customHeight="false" outlineLevel="0" collapsed="false">
      <c r="A573" s="24"/>
      <c r="B573" s="27"/>
      <c r="C573" s="24"/>
      <c r="D573" s="28"/>
      <c r="E573" s="24"/>
      <c r="F573" s="24"/>
      <c r="G573" s="24"/>
      <c r="H573" s="24"/>
      <c r="I573" s="29" t="str">
        <f aca="false">IF($A573="","",COUNTIFS($H$2:$H$1001,$A573,$D$2:$D$1001,"Reuse"))</f>
        <v/>
      </c>
    </row>
    <row r="574" customFormat="false" ht="15" hidden="false" customHeight="false" outlineLevel="0" collapsed="false">
      <c r="A574" s="24"/>
      <c r="B574" s="27"/>
      <c r="C574" s="24"/>
      <c r="D574" s="28"/>
      <c r="E574" s="24"/>
      <c r="F574" s="24"/>
      <c r="G574" s="24"/>
      <c r="H574" s="24"/>
      <c r="I574" s="29" t="str">
        <f aca="false">IF($A574="","",COUNTIFS($H$2:$H$1001,$A574,$D$2:$D$1001,"Reuse"))</f>
        <v/>
      </c>
    </row>
    <row r="575" customFormat="false" ht="15" hidden="false" customHeight="false" outlineLevel="0" collapsed="false">
      <c r="A575" s="24"/>
      <c r="B575" s="27"/>
      <c r="C575" s="24"/>
      <c r="D575" s="28"/>
      <c r="E575" s="24"/>
      <c r="F575" s="24"/>
      <c r="G575" s="24"/>
      <c r="H575" s="24"/>
      <c r="I575" s="29" t="str">
        <f aca="false">IF($A575="","",COUNTIFS($H$2:$H$1001,$A575,$D$2:$D$1001,"Reuse"))</f>
        <v/>
      </c>
    </row>
    <row r="576" customFormat="false" ht="15" hidden="false" customHeight="false" outlineLevel="0" collapsed="false">
      <c r="A576" s="24"/>
      <c r="B576" s="27"/>
      <c r="C576" s="24"/>
      <c r="D576" s="28"/>
      <c r="E576" s="24"/>
      <c r="F576" s="24"/>
      <c r="G576" s="24"/>
      <c r="H576" s="24"/>
      <c r="I576" s="29" t="str">
        <f aca="false">IF($A576="","",COUNTIFS($H$2:$H$1001,$A576,$D$2:$D$1001,"Reuse"))</f>
        <v/>
      </c>
    </row>
    <row r="577" customFormat="false" ht="15" hidden="false" customHeight="false" outlineLevel="0" collapsed="false">
      <c r="A577" s="24"/>
      <c r="B577" s="27"/>
      <c r="C577" s="24"/>
      <c r="D577" s="28"/>
      <c r="E577" s="24"/>
      <c r="F577" s="24"/>
      <c r="G577" s="24"/>
      <c r="H577" s="24"/>
      <c r="I577" s="29" t="str">
        <f aca="false">IF($A577="","",COUNTIFS($H$2:$H$1001,$A577,$D$2:$D$1001,"Reuse"))</f>
        <v/>
      </c>
    </row>
    <row r="578" customFormat="false" ht="15" hidden="false" customHeight="false" outlineLevel="0" collapsed="false">
      <c r="A578" s="24"/>
      <c r="B578" s="27"/>
      <c r="C578" s="24"/>
      <c r="D578" s="28"/>
      <c r="E578" s="24"/>
      <c r="F578" s="24"/>
      <c r="G578" s="24"/>
      <c r="H578" s="24"/>
      <c r="I578" s="29" t="str">
        <f aca="false">IF($A578="","",COUNTIFS($H$2:$H$1001,$A578,$D$2:$D$1001,"Reuse"))</f>
        <v/>
      </c>
    </row>
    <row r="579" customFormat="false" ht="15" hidden="false" customHeight="false" outlineLevel="0" collapsed="false">
      <c r="A579" s="24"/>
      <c r="B579" s="27"/>
      <c r="C579" s="24"/>
      <c r="D579" s="28"/>
      <c r="E579" s="24"/>
      <c r="F579" s="24"/>
      <c r="G579" s="24"/>
      <c r="H579" s="24"/>
      <c r="I579" s="29" t="str">
        <f aca="false">IF($A579="","",COUNTIFS($H$2:$H$1001,$A579,$D$2:$D$1001,"Reuse"))</f>
        <v/>
      </c>
    </row>
    <row r="580" customFormat="false" ht="15" hidden="false" customHeight="false" outlineLevel="0" collapsed="false">
      <c r="A580" s="24"/>
      <c r="B580" s="27"/>
      <c r="C580" s="24"/>
      <c r="D580" s="28"/>
      <c r="E580" s="24"/>
      <c r="F580" s="24"/>
      <c r="G580" s="24"/>
      <c r="H580" s="24"/>
      <c r="I580" s="29" t="str">
        <f aca="false">IF($A580="","",COUNTIFS($H$2:$H$1001,$A580,$D$2:$D$1001,"Reuse"))</f>
        <v/>
      </c>
    </row>
    <row r="581" customFormat="false" ht="15" hidden="false" customHeight="false" outlineLevel="0" collapsed="false">
      <c r="A581" s="24"/>
      <c r="B581" s="27"/>
      <c r="C581" s="24"/>
      <c r="D581" s="28"/>
      <c r="E581" s="24"/>
      <c r="F581" s="24"/>
      <c r="G581" s="24"/>
      <c r="H581" s="24"/>
      <c r="I581" s="29" t="str">
        <f aca="false">IF($A581="","",COUNTIFS($H$2:$H$1001,$A581,$D$2:$D$1001,"Reuse"))</f>
        <v/>
      </c>
    </row>
    <row r="582" customFormat="false" ht="15" hidden="false" customHeight="false" outlineLevel="0" collapsed="false">
      <c r="A582" s="24"/>
      <c r="B582" s="27"/>
      <c r="C582" s="24"/>
      <c r="D582" s="28"/>
      <c r="E582" s="24"/>
      <c r="F582" s="24"/>
      <c r="G582" s="24"/>
      <c r="H582" s="24"/>
      <c r="I582" s="29" t="str">
        <f aca="false">IF($A582="","",COUNTIFS($H$2:$H$1001,$A582,$D$2:$D$1001,"Reuse"))</f>
        <v/>
      </c>
    </row>
    <row r="583" customFormat="false" ht="15" hidden="false" customHeight="false" outlineLevel="0" collapsed="false">
      <c r="A583" s="24"/>
      <c r="B583" s="27"/>
      <c r="C583" s="24"/>
      <c r="D583" s="28"/>
      <c r="E583" s="24"/>
      <c r="F583" s="24"/>
      <c r="G583" s="24"/>
      <c r="H583" s="24"/>
      <c r="I583" s="29" t="str">
        <f aca="false">IF($A583="","",COUNTIFS($H$2:$H$1001,$A583,$D$2:$D$1001,"Reuse"))</f>
        <v/>
      </c>
    </row>
    <row r="584" customFormat="false" ht="15" hidden="false" customHeight="false" outlineLevel="0" collapsed="false">
      <c r="A584" s="24"/>
      <c r="B584" s="27"/>
      <c r="C584" s="24"/>
      <c r="D584" s="28"/>
      <c r="E584" s="24"/>
      <c r="F584" s="24"/>
      <c r="G584" s="24"/>
      <c r="H584" s="24"/>
      <c r="I584" s="29" t="str">
        <f aca="false">IF($A584="","",COUNTIFS($H$2:$H$1001,$A584,$D$2:$D$1001,"Reuse"))</f>
        <v/>
      </c>
    </row>
    <row r="585" customFormat="false" ht="15" hidden="false" customHeight="false" outlineLevel="0" collapsed="false">
      <c r="A585" s="24"/>
      <c r="B585" s="27"/>
      <c r="C585" s="24"/>
      <c r="D585" s="28"/>
      <c r="E585" s="24"/>
      <c r="F585" s="24"/>
      <c r="G585" s="24"/>
      <c r="H585" s="24"/>
      <c r="I585" s="29" t="str">
        <f aca="false">IF($A585="","",COUNTIFS($H$2:$H$1001,$A585,$D$2:$D$1001,"Reuse"))</f>
        <v/>
      </c>
    </row>
    <row r="586" customFormat="false" ht="15" hidden="false" customHeight="false" outlineLevel="0" collapsed="false">
      <c r="A586" s="24"/>
      <c r="B586" s="27"/>
      <c r="C586" s="24"/>
      <c r="D586" s="28"/>
      <c r="E586" s="24"/>
      <c r="F586" s="24"/>
      <c r="G586" s="24"/>
      <c r="H586" s="24"/>
      <c r="I586" s="29" t="str">
        <f aca="false">IF($A586="","",COUNTIFS($H$2:$H$1001,$A586,$D$2:$D$1001,"Reuse"))</f>
        <v/>
      </c>
    </row>
    <row r="587" customFormat="false" ht="15" hidden="false" customHeight="false" outlineLevel="0" collapsed="false">
      <c r="A587" s="24"/>
      <c r="B587" s="27"/>
      <c r="C587" s="24"/>
      <c r="D587" s="28"/>
      <c r="E587" s="24"/>
      <c r="F587" s="24"/>
      <c r="G587" s="24"/>
      <c r="H587" s="24"/>
      <c r="I587" s="29" t="str">
        <f aca="false">IF($A587="","",COUNTIFS($H$2:$H$1001,$A587,$D$2:$D$1001,"Reuse"))</f>
        <v/>
      </c>
    </row>
    <row r="588" customFormat="false" ht="15" hidden="false" customHeight="false" outlineLevel="0" collapsed="false">
      <c r="A588" s="24"/>
      <c r="B588" s="27"/>
      <c r="C588" s="24"/>
      <c r="D588" s="28"/>
      <c r="E588" s="24"/>
      <c r="F588" s="24"/>
      <c r="G588" s="24"/>
      <c r="H588" s="24"/>
      <c r="I588" s="29" t="str">
        <f aca="false">IF($A588="","",COUNTIFS($H$2:$H$1001,$A588,$D$2:$D$1001,"Reuse"))</f>
        <v/>
      </c>
    </row>
    <row r="589" customFormat="false" ht="15" hidden="false" customHeight="false" outlineLevel="0" collapsed="false">
      <c r="A589" s="24"/>
      <c r="B589" s="27"/>
      <c r="C589" s="24"/>
      <c r="D589" s="28"/>
      <c r="E589" s="24"/>
      <c r="F589" s="24"/>
      <c r="G589" s="24"/>
      <c r="H589" s="24"/>
      <c r="I589" s="29" t="str">
        <f aca="false">IF($A589="","",COUNTIFS($H$2:$H$1001,$A589,$D$2:$D$1001,"Reuse"))</f>
        <v/>
      </c>
    </row>
    <row r="590" customFormat="false" ht="15" hidden="false" customHeight="false" outlineLevel="0" collapsed="false">
      <c r="A590" s="24"/>
      <c r="B590" s="27"/>
      <c r="C590" s="24"/>
      <c r="D590" s="28"/>
      <c r="E590" s="24"/>
      <c r="F590" s="24"/>
      <c r="G590" s="24"/>
      <c r="H590" s="24"/>
      <c r="I590" s="29" t="str">
        <f aca="false">IF($A590="","",COUNTIFS($H$2:$H$1001,$A590,$D$2:$D$1001,"Reuse"))</f>
        <v/>
      </c>
    </row>
    <row r="591" customFormat="false" ht="15" hidden="false" customHeight="false" outlineLevel="0" collapsed="false">
      <c r="A591" s="24"/>
      <c r="B591" s="27"/>
      <c r="C591" s="24"/>
      <c r="D591" s="28"/>
      <c r="E591" s="24"/>
      <c r="F591" s="24"/>
      <c r="G591" s="24"/>
      <c r="H591" s="24"/>
      <c r="I591" s="29" t="str">
        <f aca="false">IF($A591="","",COUNTIFS($H$2:$H$1001,$A591,$D$2:$D$1001,"Reuse"))</f>
        <v/>
      </c>
    </row>
    <row r="592" customFormat="false" ht="15" hidden="false" customHeight="false" outlineLevel="0" collapsed="false">
      <c r="A592" s="24"/>
      <c r="B592" s="27"/>
      <c r="C592" s="24"/>
      <c r="D592" s="28"/>
      <c r="E592" s="24"/>
      <c r="F592" s="24"/>
      <c r="G592" s="24"/>
      <c r="H592" s="24"/>
      <c r="I592" s="29" t="str">
        <f aca="false">IF($A592="","",COUNTIFS($H$2:$H$1001,$A592,$D$2:$D$1001,"Reuse"))</f>
        <v/>
      </c>
    </row>
    <row r="593" customFormat="false" ht="15" hidden="false" customHeight="false" outlineLevel="0" collapsed="false">
      <c r="A593" s="24"/>
      <c r="B593" s="27"/>
      <c r="C593" s="24"/>
      <c r="D593" s="28"/>
      <c r="E593" s="24"/>
      <c r="F593" s="24"/>
      <c r="G593" s="24"/>
      <c r="H593" s="24"/>
      <c r="I593" s="29" t="str">
        <f aca="false">IF($A593="","",COUNTIFS($H$2:$H$1001,$A593,$D$2:$D$1001,"Reuse"))</f>
        <v/>
      </c>
    </row>
    <row r="594" customFormat="false" ht="15" hidden="false" customHeight="false" outlineLevel="0" collapsed="false">
      <c r="A594" s="24"/>
      <c r="B594" s="27"/>
      <c r="C594" s="24"/>
      <c r="D594" s="28"/>
      <c r="E594" s="24"/>
      <c r="F594" s="24"/>
      <c r="G594" s="24"/>
      <c r="H594" s="24"/>
      <c r="I594" s="29" t="str">
        <f aca="false">IF($A594="","",COUNTIFS($H$2:$H$1001,$A594,$D$2:$D$1001,"Reuse"))</f>
        <v/>
      </c>
    </row>
    <row r="595" customFormat="false" ht="15" hidden="false" customHeight="false" outlineLevel="0" collapsed="false">
      <c r="A595" s="24"/>
      <c r="B595" s="27"/>
      <c r="C595" s="24"/>
      <c r="D595" s="28"/>
      <c r="E595" s="24"/>
      <c r="F595" s="24"/>
      <c r="G595" s="24"/>
      <c r="H595" s="24"/>
      <c r="I595" s="29" t="str">
        <f aca="false">IF($A595="","",COUNTIFS($H$2:$H$1001,$A595,$D$2:$D$1001,"Reuse"))</f>
        <v/>
      </c>
    </row>
    <row r="596" customFormat="false" ht="15" hidden="false" customHeight="false" outlineLevel="0" collapsed="false">
      <c r="A596" s="24"/>
      <c r="B596" s="27"/>
      <c r="C596" s="24"/>
      <c r="D596" s="28"/>
      <c r="E596" s="24"/>
      <c r="F596" s="24"/>
      <c r="G596" s="24"/>
      <c r="H596" s="24"/>
      <c r="I596" s="29" t="str">
        <f aca="false">IF($A596="","",COUNTIFS($H$2:$H$1001,$A596,$D$2:$D$1001,"Reuse"))</f>
        <v/>
      </c>
    </row>
    <row r="597" customFormat="false" ht="15" hidden="false" customHeight="false" outlineLevel="0" collapsed="false">
      <c r="A597" s="24"/>
      <c r="B597" s="27"/>
      <c r="C597" s="24"/>
      <c r="D597" s="28"/>
      <c r="E597" s="24"/>
      <c r="F597" s="24"/>
      <c r="G597" s="24"/>
      <c r="H597" s="24"/>
      <c r="I597" s="29" t="str">
        <f aca="false">IF($A597="","",COUNTIFS($H$2:$H$1001,$A597,$D$2:$D$1001,"Reuse"))</f>
        <v/>
      </c>
    </row>
    <row r="598" customFormat="false" ht="15" hidden="false" customHeight="false" outlineLevel="0" collapsed="false">
      <c r="A598" s="24"/>
      <c r="B598" s="27"/>
      <c r="C598" s="24"/>
      <c r="D598" s="28"/>
      <c r="E598" s="24"/>
      <c r="F598" s="24"/>
      <c r="G598" s="24"/>
      <c r="H598" s="24"/>
      <c r="I598" s="29" t="str">
        <f aca="false">IF($A598="","",COUNTIFS($H$2:$H$1001,$A598,$D$2:$D$1001,"Reuse"))</f>
        <v/>
      </c>
    </row>
    <row r="599" customFormat="false" ht="15" hidden="false" customHeight="false" outlineLevel="0" collapsed="false">
      <c r="A599" s="24"/>
      <c r="B599" s="27"/>
      <c r="C599" s="24"/>
      <c r="D599" s="28"/>
      <c r="E599" s="24"/>
      <c r="F599" s="24"/>
      <c r="G599" s="24"/>
      <c r="H599" s="24"/>
      <c r="I599" s="29" t="str">
        <f aca="false">IF($A599="","",COUNTIFS($H$2:$H$1001,$A599,$D$2:$D$1001,"Reuse"))</f>
        <v/>
      </c>
    </row>
    <row r="600" customFormat="false" ht="15" hidden="false" customHeight="false" outlineLevel="0" collapsed="false">
      <c r="A600" s="24"/>
      <c r="B600" s="27"/>
      <c r="C600" s="24"/>
      <c r="D600" s="28"/>
      <c r="E600" s="24"/>
      <c r="F600" s="24"/>
      <c r="G600" s="24"/>
      <c r="H600" s="24"/>
      <c r="I600" s="29" t="str">
        <f aca="false">IF($A600="","",COUNTIFS($H$2:$H$1001,$A600,$D$2:$D$1001,"Reuse"))</f>
        <v/>
      </c>
    </row>
    <row r="601" customFormat="false" ht="15" hidden="false" customHeight="false" outlineLevel="0" collapsed="false">
      <c r="A601" s="24"/>
      <c r="B601" s="27"/>
      <c r="C601" s="24"/>
      <c r="D601" s="28"/>
      <c r="E601" s="24"/>
      <c r="F601" s="24"/>
      <c r="G601" s="24"/>
      <c r="H601" s="24"/>
      <c r="I601" s="29" t="str">
        <f aca="false">IF($A601="","",COUNTIFS($H$2:$H$1001,$A601,$D$2:$D$1001,"Reuse"))</f>
        <v/>
      </c>
    </row>
    <row r="602" customFormat="false" ht="15" hidden="false" customHeight="false" outlineLevel="0" collapsed="false">
      <c r="A602" s="24"/>
      <c r="B602" s="27"/>
      <c r="C602" s="24"/>
      <c r="D602" s="28"/>
      <c r="E602" s="24"/>
      <c r="F602" s="24"/>
      <c r="G602" s="24"/>
      <c r="H602" s="24"/>
      <c r="I602" s="29" t="str">
        <f aca="false">IF($A602="","",COUNTIFS($H$2:$H$1001,$A602,$D$2:$D$1001,"Reuse"))</f>
        <v/>
      </c>
    </row>
    <row r="603" customFormat="false" ht="15" hidden="false" customHeight="false" outlineLevel="0" collapsed="false">
      <c r="A603" s="24"/>
      <c r="B603" s="27"/>
      <c r="C603" s="24"/>
      <c r="D603" s="28"/>
      <c r="E603" s="24"/>
      <c r="F603" s="24"/>
      <c r="G603" s="24"/>
      <c r="H603" s="24"/>
      <c r="I603" s="29" t="str">
        <f aca="false">IF($A603="","",COUNTIFS($H$2:$H$1001,$A603,$D$2:$D$1001,"Reuse"))</f>
        <v/>
      </c>
    </row>
    <row r="604" customFormat="false" ht="15" hidden="false" customHeight="false" outlineLevel="0" collapsed="false">
      <c r="A604" s="24"/>
      <c r="B604" s="27"/>
      <c r="C604" s="24"/>
      <c r="D604" s="28"/>
      <c r="E604" s="24"/>
      <c r="F604" s="24"/>
      <c r="G604" s="24"/>
      <c r="H604" s="24"/>
      <c r="I604" s="29" t="str">
        <f aca="false">IF($A604="","",COUNTIFS($H$2:$H$1001,$A604,$D$2:$D$1001,"Reuse"))</f>
        <v/>
      </c>
    </row>
    <row r="605" customFormat="false" ht="15" hidden="false" customHeight="false" outlineLevel="0" collapsed="false">
      <c r="A605" s="24"/>
      <c r="B605" s="27"/>
      <c r="C605" s="24"/>
      <c r="D605" s="28"/>
      <c r="E605" s="24"/>
      <c r="F605" s="24"/>
      <c r="G605" s="24"/>
      <c r="H605" s="24"/>
      <c r="I605" s="29" t="str">
        <f aca="false">IF($A605="","",COUNTIFS($H$2:$H$1001,$A605,$D$2:$D$1001,"Reuse"))</f>
        <v/>
      </c>
    </row>
    <row r="606" customFormat="false" ht="15" hidden="false" customHeight="false" outlineLevel="0" collapsed="false">
      <c r="A606" s="24"/>
      <c r="B606" s="27"/>
      <c r="C606" s="24"/>
      <c r="D606" s="28"/>
      <c r="E606" s="24"/>
      <c r="F606" s="24"/>
      <c r="G606" s="24"/>
      <c r="H606" s="24"/>
      <c r="I606" s="29" t="str">
        <f aca="false">IF($A606="","",COUNTIFS($H$2:$H$1001,$A606,$D$2:$D$1001,"Reuse"))</f>
        <v/>
      </c>
    </row>
    <row r="607" customFormat="false" ht="15" hidden="false" customHeight="false" outlineLevel="0" collapsed="false">
      <c r="A607" s="24"/>
      <c r="B607" s="27"/>
      <c r="C607" s="24"/>
      <c r="D607" s="28"/>
      <c r="E607" s="24"/>
      <c r="F607" s="24"/>
      <c r="G607" s="24"/>
      <c r="H607" s="24"/>
      <c r="I607" s="29" t="str">
        <f aca="false">IF($A607="","",COUNTIFS($H$2:$H$1001,$A607,$D$2:$D$1001,"Reuse"))</f>
        <v/>
      </c>
    </row>
    <row r="608" customFormat="false" ht="15" hidden="false" customHeight="false" outlineLevel="0" collapsed="false">
      <c r="A608" s="24"/>
      <c r="B608" s="27"/>
      <c r="C608" s="24"/>
      <c r="D608" s="28"/>
      <c r="E608" s="24"/>
      <c r="F608" s="24"/>
      <c r="G608" s="24"/>
      <c r="H608" s="24"/>
      <c r="I608" s="29" t="str">
        <f aca="false">IF($A608="","",COUNTIFS($H$2:$H$1001,$A608,$D$2:$D$1001,"Reuse"))</f>
        <v/>
      </c>
    </row>
    <row r="609" customFormat="false" ht="15" hidden="false" customHeight="false" outlineLevel="0" collapsed="false">
      <c r="A609" s="24"/>
      <c r="B609" s="27"/>
      <c r="C609" s="24"/>
      <c r="D609" s="28"/>
      <c r="E609" s="24"/>
      <c r="F609" s="24"/>
      <c r="G609" s="24"/>
      <c r="H609" s="24"/>
      <c r="I609" s="29" t="str">
        <f aca="false">IF($A609="","",COUNTIFS($H$2:$H$1001,$A609,$D$2:$D$1001,"Reuse"))</f>
        <v/>
      </c>
    </row>
    <row r="610" customFormat="false" ht="15" hidden="false" customHeight="false" outlineLevel="0" collapsed="false">
      <c r="A610" s="24"/>
      <c r="B610" s="27"/>
      <c r="C610" s="24"/>
      <c r="D610" s="28"/>
      <c r="E610" s="24"/>
      <c r="F610" s="24"/>
      <c r="G610" s="24"/>
      <c r="H610" s="24"/>
      <c r="I610" s="29" t="str">
        <f aca="false">IF($A610="","",COUNTIFS($H$2:$H$1001,$A610,$D$2:$D$1001,"Reuse"))</f>
        <v/>
      </c>
    </row>
    <row r="611" customFormat="false" ht="15" hidden="false" customHeight="false" outlineLevel="0" collapsed="false">
      <c r="A611" s="24"/>
      <c r="B611" s="27"/>
      <c r="C611" s="24"/>
      <c r="D611" s="28"/>
      <c r="E611" s="24"/>
      <c r="F611" s="24"/>
      <c r="G611" s="24"/>
      <c r="H611" s="24"/>
      <c r="I611" s="29" t="str">
        <f aca="false">IF($A611="","",COUNTIFS($H$2:$H$1001,$A611,$D$2:$D$1001,"Reuse"))</f>
        <v/>
      </c>
    </row>
    <row r="612" customFormat="false" ht="15" hidden="false" customHeight="false" outlineLevel="0" collapsed="false">
      <c r="A612" s="24"/>
      <c r="B612" s="27"/>
      <c r="C612" s="24"/>
      <c r="D612" s="28"/>
      <c r="E612" s="24"/>
      <c r="F612" s="24"/>
      <c r="G612" s="24"/>
      <c r="H612" s="24"/>
      <c r="I612" s="29" t="str">
        <f aca="false">IF($A612="","",COUNTIFS($H$2:$H$1001,$A612,$D$2:$D$1001,"Reuse"))</f>
        <v/>
      </c>
    </row>
    <row r="613" customFormat="false" ht="15" hidden="false" customHeight="false" outlineLevel="0" collapsed="false">
      <c r="A613" s="24"/>
      <c r="B613" s="27"/>
      <c r="C613" s="24"/>
      <c r="D613" s="28"/>
      <c r="E613" s="24"/>
      <c r="F613" s="24"/>
      <c r="G613" s="24"/>
      <c r="H613" s="24"/>
      <c r="I613" s="29" t="str">
        <f aca="false">IF($A613="","",COUNTIFS($H$2:$H$1001,$A613,$D$2:$D$1001,"Reuse"))</f>
        <v/>
      </c>
    </row>
    <row r="614" customFormat="false" ht="15" hidden="false" customHeight="false" outlineLevel="0" collapsed="false">
      <c r="A614" s="24"/>
      <c r="B614" s="27"/>
      <c r="C614" s="24"/>
      <c r="D614" s="28"/>
      <c r="E614" s="24"/>
      <c r="F614" s="24"/>
      <c r="G614" s="24"/>
      <c r="H614" s="24"/>
      <c r="I614" s="29" t="str">
        <f aca="false">IF($A614="","",COUNTIFS($H$2:$H$1001,$A614,$D$2:$D$1001,"Reuse"))</f>
        <v/>
      </c>
    </row>
    <row r="615" customFormat="false" ht="15" hidden="false" customHeight="false" outlineLevel="0" collapsed="false">
      <c r="A615" s="24"/>
      <c r="B615" s="27"/>
      <c r="C615" s="24"/>
      <c r="D615" s="28"/>
      <c r="E615" s="24"/>
      <c r="F615" s="24"/>
      <c r="G615" s="24"/>
      <c r="H615" s="24"/>
      <c r="I615" s="29" t="str">
        <f aca="false">IF($A615="","",COUNTIFS($H$2:$H$1001,$A615,$D$2:$D$1001,"Reuse"))</f>
        <v/>
      </c>
    </row>
    <row r="616" customFormat="false" ht="15" hidden="false" customHeight="false" outlineLevel="0" collapsed="false">
      <c r="A616" s="24"/>
      <c r="B616" s="27"/>
      <c r="C616" s="24"/>
      <c r="D616" s="28"/>
      <c r="E616" s="24"/>
      <c r="F616" s="24"/>
      <c r="G616" s="24"/>
      <c r="H616" s="24"/>
      <c r="I616" s="29" t="str">
        <f aca="false">IF($A616="","",COUNTIFS($H$2:$H$1001,$A616,$D$2:$D$1001,"Reuse"))</f>
        <v/>
      </c>
    </row>
    <row r="617" customFormat="false" ht="15" hidden="false" customHeight="false" outlineLevel="0" collapsed="false">
      <c r="A617" s="24"/>
      <c r="B617" s="27"/>
      <c r="C617" s="24"/>
      <c r="D617" s="28"/>
      <c r="E617" s="24"/>
      <c r="F617" s="24"/>
      <c r="G617" s="24"/>
      <c r="H617" s="24"/>
      <c r="I617" s="29" t="str">
        <f aca="false">IF($A617="","",COUNTIFS($H$2:$H$1001,$A617,$D$2:$D$1001,"Reuse"))</f>
        <v/>
      </c>
    </row>
    <row r="618" customFormat="false" ht="15" hidden="false" customHeight="false" outlineLevel="0" collapsed="false">
      <c r="A618" s="24"/>
      <c r="B618" s="27"/>
      <c r="C618" s="24"/>
      <c r="D618" s="28"/>
      <c r="E618" s="24"/>
      <c r="F618" s="24"/>
      <c r="G618" s="24"/>
      <c r="H618" s="24"/>
      <c r="I618" s="29" t="str">
        <f aca="false">IF($A618="","",COUNTIFS($H$2:$H$1001,$A618,$D$2:$D$1001,"Reuse"))</f>
        <v/>
      </c>
    </row>
    <row r="619" customFormat="false" ht="15" hidden="false" customHeight="false" outlineLevel="0" collapsed="false">
      <c r="A619" s="24"/>
      <c r="B619" s="27"/>
      <c r="C619" s="24"/>
      <c r="D619" s="28"/>
      <c r="E619" s="24"/>
      <c r="F619" s="24"/>
      <c r="G619" s="24"/>
      <c r="H619" s="24"/>
      <c r="I619" s="29" t="str">
        <f aca="false">IF($A619="","",COUNTIFS($H$2:$H$1001,$A619,$D$2:$D$1001,"Reuse"))</f>
        <v/>
      </c>
    </row>
    <row r="620" customFormat="false" ht="15" hidden="false" customHeight="false" outlineLevel="0" collapsed="false">
      <c r="A620" s="24"/>
      <c r="B620" s="27"/>
      <c r="C620" s="24"/>
      <c r="D620" s="28"/>
      <c r="E620" s="24"/>
      <c r="F620" s="24"/>
      <c r="G620" s="24"/>
      <c r="H620" s="24"/>
      <c r="I620" s="29" t="str">
        <f aca="false">IF($A620="","",COUNTIFS($H$2:$H$1001,$A620,$D$2:$D$1001,"Reuse"))</f>
        <v/>
      </c>
    </row>
    <row r="621" customFormat="false" ht="15" hidden="false" customHeight="false" outlineLevel="0" collapsed="false">
      <c r="A621" s="24"/>
      <c r="B621" s="27"/>
      <c r="C621" s="24"/>
      <c r="D621" s="28"/>
      <c r="E621" s="24"/>
      <c r="F621" s="24"/>
      <c r="G621" s="24"/>
      <c r="H621" s="24"/>
      <c r="I621" s="29" t="str">
        <f aca="false">IF($A621="","",COUNTIFS($H$2:$H$1001,$A621,$D$2:$D$1001,"Reuse"))</f>
        <v/>
      </c>
    </row>
    <row r="622" customFormat="false" ht="15" hidden="false" customHeight="false" outlineLevel="0" collapsed="false">
      <c r="A622" s="24"/>
      <c r="B622" s="27"/>
      <c r="C622" s="24"/>
      <c r="D622" s="28"/>
      <c r="E622" s="24"/>
      <c r="F622" s="24"/>
      <c r="G622" s="24"/>
      <c r="H622" s="24"/>
      <c r="I622" s="29" t="str">
        <f aca="false">IF($A622="","",COUNTIFS($H$2:$H$1001,$A622,$D$2:$D$1001,"Reuse"))</f>
        <v/>
      </c>
    </row>
    <row r="623" customFormat="false" ht="15" hidden="false" customHeight="false" outlineLevel="0" collapsed="false">
      <c r="A623" s="24"/>
      <c r="B623" s="27"/>
      <c r="C623" s="24"/>
      <c r="D623" s="28"/>
      <c r="E623" s="24"/>
      <c r="F623" s="24"/>
      <c r="G623" s="24"/>
      <c r="H623" s="24"/>
      <c r="I623" s="29" t="str">
        <f aca="false">IF($A623="","",COUNTIFS($H$2:$H$1001,$A623,$D$2:$D$1001,"Reuse"))</f>
        <v/>
      </c>
    </row>
    <row r="624" customFormat="false" ht="15" hidden="false" customHeight="false" outlineLevel="0" collapsed="false">
      <c r="A624" s="24"/>
      <c r="B624" s="27"/>
      <c r="C624" s="24"/>
      <c r="D624" s="28"/>
      <c r="E624" s="24"/>
      <c r="F624" s="24"/>
      <c r="G624" s="24"/>
      <c r="H624" s="24"/>
      <c r="I624" s="29" t="str">
        <f aca="false">IF($A624="","",COUNTIFS($H$2:$H$1001,$A624,$D$2:$D$1001,"Reuse"))</f>
        <v/>
      </c>
    </row>
    <row r="625" customFormat="false" ht="15" hidden="false" customHeight="false" outlineLevel="0" collapsed="false">
      <c r="A625" s="24"/>
      <c r="B625" s="27"/>
      <c r="C625" s="24"/>
      <c r="D625" s="28"/>
      <c r="E625" s="24"/>
      <c r="F625" s="24"/>
      <c r="G625" s="24"/>
      <c r="H625" s="24"/>
      <c r="I625" s="29" t="str">
        <f aca="false">IF($A625="","",COUNTIFS($H$2:$H$1001,$A625,$D$2:$D$1001,"Reuse"))</f>
        <v/>
      </c>
    </row>
    <row r="626" customFormat="false" ht="15" hidden="false" customHeight="false" outlineLevel="0" collapsed="false">
      <c r="A626" s="24"/>
      <c r="B626" s="27"/>
      <c r="C626" s="24"/>
      <c r="D626" s="28"/>
      <c r="E626" s="24"/>
      <c r="F626" s="24"/>
      <c r="G626" s="24"/>
      <c r="H626" s="24"/>
      <c r="I626" s="29" t="str">
        <f aca="false">IF($A626="","",COUNTIFS($H$2:$H$1001,$A626,$D$2:$D$1001,"Reuse"))</f>
        <v/>
      </c>
    </row>
    <row r="627" customFormat="false" ht="15" hidden="false" customHeight="false" outlineLevel="0" collapsed="false">
      <c r="A627" s="24"/>
      <c r="B627" s="27"/>
      <c r="C627" s="24"/>
      <c r="D627" s="28"/>
      <c r="E627" s="24"/>
      <c r="F627" s="24"/>
      <c r="G627" s="24"/>
      <c r="H627" s="24"/>
      <c r="I627" s="29" t="str">
        <f aca="false">IF($A627="","",COUNTIFS($H$2:$H$1001,$A627,$D$2:$D$1001,"Reuse"))</f>
        <v/>
      </c>
    </row>
    <row r="628" customFormat="false" ht="15" hidden="false" customHeight="false" outlineLevel="0" collapsed="false">
      <c r="A628" s="24"/>
      <c r="B628" s="27"/>
      <c r="C628" s="24"/>
      <c r="D628" s="28"/>
      <c r="E628" s="24"/>
      <c r="F628" s="24"/>
      <c r="G628" s="24"/>
      <c r="H628" s="24"/>
      <c r="I628" s="29" t="str">
        <f aca="false">IF($A628="","",COUNTIFS($H$2:$H$1001,$A628,$D$2:$D$1001,"Reuse"))</f>
        <v/>
      </c>
    </row>
    <row r="629" customFormat="false" ht="15" hidden="false" customHeight="false" outlineLevel="0" collapsed="false">
      <c r="A629" s="24"/>
      <c r="B629" s="27"/>
      <c r="C629" s="24"/>
      <c r="D629" s="28"/>
      <c r="E629" s="24"/>
      <c r="F629" s="24"/>
      <c r="G629" s="24"/>
      <c r="H629" s="24"/>
      <c r="I629" s="29" t="str">
        <f aca="false">IF($A629="","",COUNTIFS($H$2:$H$1001,$A629,$D$2:$D$1001,"Reuse"))</f>
        <v/>
      </c>
    </row>
    <row r="630" customFormat="false" ht="15" hidden="false" customHeight="false" outlineLevel="0" collapsed="false">
      <c r="A630" s="24"/>
      <c r="B630" s="27"/>
      <c r="C630" s="24"/>
      <c r="D630" s="28"/>
      <c r="E630" s="24"/>
      <c r="F630" s="24"/>
      <c r="G630" s="24"/>
      <c r="H630" s="24"/>
      <c r="I630" s="29" t="str">
        <f aca="false">IF($A630="","",COUNTIFS($H$2:$H$1001,$A630,$D$2:$D$1001,"Reuse"))</f>
        <v/>
      </c>
    </row>
    <row r="631" customFormat="false" ht="15" hidden="false" customHeight="false" outlineLevel="0" collapsed="false">
      <c r="A631" s="24"/>
      <c r="B631" s="27"/>
      <c r="C631" s="24"/>
      <c r="D631" s="28"/>
      <c r="E631" s="24"/>
      <c r="F631" s="24"/>
      <c r="G631" s="24"/>
      <c r="H631" s="24"/>
      <c r="I631" s="29" t="str">
        <f aca="false">IF($A631="","",COUNTIFS($H$2:$H$1001,$A631,$D$2:$D$1001,"Reuse"))</f>
        <v/>
      </c>
    </row>
    <row r="632" customFormat="false" ht="15" hidden="false" customHeight="false" outlineLevel="0" collapsed="false">
      <c r="A632" s="24"/>
      <c r="B632" s="27"/>
      <c r="C632" s="24"/>
      <c r="D632" s="28"/>
      <c r="E632" s="24"/>
      <c r="F632" s="24"/>
      <c r="G632" s="24"/>
      <c r="H632" s="24"/>
      <c r="I632" s="29" t="str">
        <f aca="false">IF($A632="","",COUNTIFS($H$2:$H$1001,$A632,$D$2:$D$1001,"Reuse"))</f>
        <v/>
      </c>
    </row>
    <row r="633" customFormat="false" ht="15" hidden="false" customHeight="false" outlineLevel="0" collapsed="false">
      <c r="A633" s="24"/>
      <c r="B633" s="27"/>
      <c r="C633" s="24"/>
      <c r="D633" s="28"/>
      <c r="E633" s="24"/>
      <c r="F633" s="24"/>
      <c r="G633" s="24"/>
      <c r="H633" s="24"/>
      <c r="I633" s="29" t="str">
        <f aca="false">IF($A633="","",COUNTIFS($H$2:$H$1001,$A633,$D$2:$D$1001,"Reuse"))</f>
        <v/>
      </c>
    </row>
    <row r="634" customFormat="false" ht="15" hidden="false" customHeight="false" outlineLevel="0" collapsed="false">
      <c r="A634" s="24"/>
      <c r="B634" s="27"/>
      <c r="C634" s="24"/>
      <c r="D634" s="28"/>
      <c r="E634" s="24"/>
      <c r="F634" s="24"/>
      <c r="G634" s="24"/>
      <c r="H634" s="24"/>
      <c r="I634" s="29" t="str">
        <f aca="false">IF($A634="","",COUNTIFS($H$2:$H$1001,$A634,$D$2:$D$1001,"Reuse"))</f>
        <v/>
      </c>
    </row>
    <row r="635" customFormat="false" ht="15" hidden="false" customHeight="false" outlineLevel="0" collapsed="false">
      <c r="A635" s="24"/>
      <c r="B635" s="27"/>
      <c r="C635" s="24"/>
      <c r="D635" s="28"/>
      <c r="E635" s="24"/>
      <c r="F635" s="24"/>
      <c r="G635" s="24"/>
      <c r="H635" s="24"/>
      <c r="I635" s="29" t="str">
        <f aca="false">IF($A635="","",COUNTIFS($H$2:$H$1001,$A635,$D$2:$D$1001,"Reuse"))</f>
        <v/>
      </c>
    </row>
    <row r="636" customFormat="false" ht="15" hidden="false" customHeight="false" outlineLevel="0" collapsed="false">
      <c r="A636" s="24"/>
      <c r="B636" s="27"/>
      <c r="C636" s="24"/>
      <c r="D636" s="28"/>
      <c r="E636" s="24"/>
      <c r="F636" s="24"/>
      <c r="G636" s="24"/>
      <c r="H636" s="24"/>
      <c r="I636" s="29" t="str">
        <f aca="false">IF($A636="","",COUNTIFS($H$2:$H$1001,$A636,$D$2:$D$1001,"Reuse"))</f>
        <v/>
      </c>
    </row>
    <row r="637" customFormat="false" ht="15" hidden="false" customHeight="false" outlineLevel="0" collapsed="false">
      <c r="A637" s="24"/>
      <c r="B637" s="27"/>
      <c r="C637" s="24"/>
      <c r="D637" s="28"/>
      <c r="E637" s="24"/>
      <c r="F637" s="24"/>
      <c r="G637" s="24"/>
      <c r="H637" s="24"/>
      <c r="I637" s="29" t="str">
        <f aca="false">IF($A637="","",COUNTIFS($H$2:$H$1001,$A637,$D$2:$D$1001,"Reuse"))</f>
        <v/>
      </c>
    </row>
    <row r="638" customFormat="false" ht="15" hidden="false" customHeight="false" outlineLevel="0" collapsed="false">
      <c r="A638" s="24"/>
      <c r="B638" s="27"/>
      <c r="C638" s="24"/>
      <c r="D638" s="28"/>
      <c r="E638" s="24"/>
      <c r="F638" s="24"/>
      <c r="G638" s="24"/>
      <c r="H638" s="24"/>
      <c r="I638" s="29" t="str">
        <f aca="false">IF($A638="","",COUNTIFS($H$2:$H$1001,$A638,$D$2:$D$1001,"Reuse"))</f>
        <v/>
      </c>
    </row>
    <row r="639" customFormat="false" ht="15" hidden="false" customHeight="false" outlineLevel="0" collapsed="false">
      <c r="A639" s="24"/>
      <c r="B639" s="27"/>
      <c r="C639" s="24"/>
      <c r="D639" s="28"/>
      <c r="E639" s="24"/>
      <c r="F639" s="24"/>
      <c r="G639" s="24"/>
      <c r="H639" s="24"/>
      <c r="I639" s="29" t="str">
        <f aca="false">IF($A639="","",COUNTIFS($H$2:$H$1001,$A639,$D$2:$D$1001,"Reuse"))</f>
        <v/>
      </c>
    </row>
    <row r="640" customFormat="false" ht="15" hidden="false" customHeight="false" outlineLevel="0" collapsed="false">
      <c r="A640" s="24"/>
      <c r="B640" s="27"/>
      <c r="C640" s="24"/>
      <c r="D640" s="28"/>
      <c r="E640" s="24"/>
      <c r="F640" s="24"/>
      <c r="G640" s="24"/>
      <c r="H640" s="24"/>
      <c r="I640" s="29" t="str">
        <f aca="false">IF($A640="","",COUNTIFS($H$2:$H$1001,$A640,$D$2:$D$1001,"Reuse"))</f>
        <v/>
      </c>
    </row>
    <row r="641" customFormat="false" ht="15" hidden="false" customHeight="false" outlineLevel="0" collapsed="false">
      <c r="A641" s="24"/>
      <c r="B641" s="27"/>
      <c r="C641" s="24"/>
      <c r="D641" s="28"/>
      <c r="E641" s="24"/>
      <c r="F641" s="24"/>
      <c r="G641" s="24"/>
      <c r="H641" s="24"/>
      <c r="I641" s="29" t="str">
        <f aca="false">IF($A641="","",COUNTIFS($H$2:$H$1001,$A641,$D$2:$D$1001,"Reuse"))</f>
        <v/>
      </c>
    </row>
    <row r="642" customFormat="false" ht="15" hidden="false" customHeight="false" outlineLevel="0" collapsed="false">
      <c r="A642" s="24"/>
      <c r="B642" s="27"/>
      <c r="C642" s="24"/>
      <c r="D642" s="28"/>
      <c r="E642" s="24"/>
      <c r="F642" s="24"/>
      <c r="G642" s="24"/>
      <c r="H642" s="24"/>
      <c r="I642" s="29" t="str">
        <f aca="false">IF($A642="","",COUNTIFS($H$2:$H$1001,$A642,$D$2:$D$1001,"Reuse"))</f>
        <v/>
      </c>
    </row>
    <row r="643" customFormat="false" ht="15" hidden="false" customHeight="false" outlineLevel="0" collapsed="false">
      <c r="A643" s="24"/>
      <c r="B643" s="27"/>
      <c r="C643" s="24"/>
      <c r="D643" s="28"/>
      <c r="E643" s="24"/>
      <c r="F643" s="24"/>
      <c r="G643" s="24"/>
      <c r="H643" s="24"/>
      <c r="I643" s="29" t="str">
        <f aca="false">IF($A643="","",COUNTIFS($H$2:$H$1001,$A643,$D$2:$D$1001,"Reuse"))</f>
        <v/>
      </c>
    </row>
    <row r="644" customFormat="false" ht="15" hidden="false" customHeight="false" outlineLevel="0" collapsed="false">
      <c r="A644" s="24"/>
      <c r="B644" s="27"/>
      <c r="C644" s="24"/>
      <c r="D644" s="28"/>
      <c r="E644" s="24"/>
      <c r="F644" s="24"/>
      <c r="G644" s="24"/>
      <c r="H644" s="24"/>
      <c r="I644" s="29" t="str">
        <f aca="false">IF($A644="","",COUNTIFS($H$2:$H$1001,$A644,$D$2:$D$1001,"Reuse"))</f>
        <v/>
      </c>
    </row>
    <row r="645" customFormat="false" ht="15" hidden="false" customHeight="false" outlineLevel="0" collapsed="false">
      <c r="A645" s="24"/>
      <c r="B645" s="27"/>
      <c r="C645" s="24"/>
      <c r="D645" s="28"/>
      <c r="E645" s="24"/>
      <c r="F645" s="24"/>
      <c r="G645" s="24"/>
      <c r="H645" s="24"/>
      <c r="I645" s="29" t="str">
        <f aca="false">IF($A645="","",COUNTIFS($H$2:$H$1001,$A645,$D$2:$D$1001,"Reuse"))</f>
        <v/>
      </c>
    </row>
    <row r="646" customFormat="false" ht="15" hidden="false" customHeight="false" outlineLevel="0" collapsed="false">
      <c r="A646" s="24"/>
      <c r="B646" s="27"/>
      <c r="C646" s="24"/>
      <c r="D646" s="28"/>
      <c r="E646" s="24"/>
      <c r="F646" s="24"/>
      <c r="G646" s="24"/>
      <c r="H646" s="24"/>
      <c r="I646" s="29" t="str">
        <f aca="false">IF($A646="","",COUNTIFS($H$2:$H$1001,$A646,$D$2:$D$1001,"Reuse"))</f>
        <v/>
      </c>
    </row>
    <row r="647" customFormat="false" ht="15" hidden="false" customHeight="false" outlineLevel="0" collapsed="false">
      <c r="A647" s="24"/>
      <c r="B647" s="27"/>
      <c r="C647" s="24"/>
      <c r="D647" s="28"/>
      <c r="E647" s="24"/>
      <c r="F647" s="24"/>
      <c r="G647" s="24"/>
      <c r="H647" s="24"/>
      <c r="I647" s="29" t="str">
        <f aca="false">IF($A647="","",COUNTIFS($H$2:$H$1001,$A647,$D$2:$D$1001,"Reuse"))</f>
        <v/>
      </c>
    </row>
    <row r="648" customFormat="false" ht="15" hidden="false" customHeight="false" outlineLevel="0" collapsed="false">
      <c r="A648" s="24"/>
      <c r="B648" s="27"/>
      <c r="C648" s="24"/>
      <c r="D648" s="28"/>
      <c r="E648" s="24"/>
      <c r="F648" s="24"/>
      <c r="G648" s="24"/>
      <c r="H648" s="24"/>
      <c r="I648" s="29" t="str">
        <f aca="false">IF($A648="","",COUNTIFS($H$2:$H$1001,$A648,$D$2:$D$1001,"Reuse"))</f>
        <v/>
      </c>
    </row>
    <row r="649" customFormat="false" ht="15" hidden="false" customHeight="false" outlineLevel="0" collapsed="false">
      <c r="A649" s="24"/>
      <c r="B649" s="27"/>
      <c r="C649" s="24"/>
      <c r="D649" s="28"/>
      <c r="E649" s="24"/>
      <c r="F649" s="24"/>
      <c r="G649" s="24"/>
      <c r="H649" s="24"/>
      <c r="I649" s="29" t="str">
        <f aca="false">IF($A649="","",COUNTIFS($H$2:$H$1001,$A649,$D$2:$D$1001,"Reuse"))</f>
        <v/>
      </c>
    </row>
    <row r="650" customFormat="false" ht="15" hidden="false" customHeight="false" outlineLevel="0" collapsed="false">
      <c r="A650" s="24"/>
      <c r="B650" s="27"/>
      <c r="C650" s="24"/>
      <c r="D650" s="28"/>
      <c r="E650" s="24"/>
      <c r="F650" s="24"/>
      <c r="G650" s="24"/>
      <c r="H650" s="24"/>
      <c r="I650" s="29" t="str">
        <f aca="false">IF($A650="","",COUNTIFS($H$2:$H$1001,$A650,$D$2:$D$1001,"Reuse"))</f>
        <v/>
      </c>
    </row>
    <row r="651" customFormat="false" ht="15" hidden="false" customHeight="false" outlineLevel="0" collapsed="false">
      <c r="A651" s="24"/>
      <c r="B651" s="27"/>
      <c r="C651" s="24"/>
      <c r="D651" s="28"/>
      <c r="E651" s="24"/>
      <c r="F651" s="24"/>
      <c r="G651" s="24"/>
      <c r="H651" s="24"/>
      <c r="I651" s="29" t="str">
        <f aca="false">IF($A651="","",COUNTIFS($H$2:$H$1001,$A651,$D$2:$D$1001,"Reuse"))</f>
        <v/>
      </c>
    </row>
    <row r="652" customFormat="false" ht="15" hidden="false" customHeight="false" outlineLevel="0" collapsed="false">
      <c r="A652" s="24"/>
      <c r="B652" s="27"/>
      <c r="C652" s="24"/>
      <c r="D652" s="28"/>
      <c r="E652" s="24"/>
      <c r="F652" s="24"/>
      <c r="G652" s="24"/>
      <c r="H652" s="24"/>
      <c r="I652" s="29" t="str">
        <f aca="false">IF($A652="","",COUNTIFS($H$2:$H$1001,$A652,$D$2:$D$1001,"Reuse"))</f>
        <v/>
      </c>
    </row>
    <row r="653" customFormat="false" ht="15" hidden="false" customHeight="false" outlineLevel="0" collapsed="false">
      <c r="A653" s="24"/>
      <c r="B653" s="27"/>
      <c r="C653" s="24"/>
      <c r="D653" s="28"/>
      <c r="E653" s="24"/>
      <c r="F653" s="24"/>
      <c r="G653" s="24"/>
      <c r="H653" s="24"/>
      <c r="I653" s="29" t="str">
        <f aca="false">IF($A653="","",COUNTIFS($H$2:$H$1001,$A653,$D$2:$D$1001,"Reuse"))</f>
        <v/>
      </c>
    </row>
    <row r="654" customFormat="false" ht="15" hidden="false" customHeight="false" outlineLevel="0" collapsed="false">
      <c r="A654" s="24"/>
      <c r="B654" s="27"/>
      <c r="C654" s="24"/>
      <c r="D654" s="28"/>
      <c r="E654" s="24"/>
      <c r="F654" s="24"/>
      <c r="G654" s="24"/>
      <c r="H654" s="24"/>
      <c r="I654" s="29" t="str">
        <f aca="false">IF($A654="","",COUNTIFS($H$2:$H$1001,$A654,$D$2:$D$1001,"Reuse"))</f>
        <v/>
      </c>
    </row>
    <row r="655" customFormat="false" ht="15" hidden="false" customHeight="false" outlineLevel="0" collapsed="false">
      <c r="A655" s="24"/>
      <c r="B655" s="27"/>
      <c r="C655" s="24"/>
      <c r="D655" s="28"/>
      <c r="E655" s="24"/>
      <c r="F655" s="24"/>
      <c r="G655" s="24"/>
      <c r="H655" s="24"/>
      <c r="I655" s="29" t="str">
        <f aca="false">IF($A655="","",COUNTIFS($H$2:$H$1001,$A655,$D$2:$D$1001,"Reuse"))</f>
        <v/>
      </c>
    </row>
    <row r="656" customFormat="false" ht="15" hidden="false" customHeight="false" outlineLevel="0" collapsed="false">
      <c r="A656" s="24"/>
      <c r="B656" s="27"/>
      <c r="C656" s="24"/>
      <c r="D656" s="28"/>
      <c r="E656" s="24"/>
      <c r="F656" s="24"/>
      <c r="G656" s="24"/>
      <c r="H656" s="24"/>
      <c r="I656" s="29" t="str">
        <f aca="false">IF($A656="","",COUNTIFS($H$2:$H$1001,$A656,$D$2:$D$1001,"Reuse"))</f>
        <v/>
      </c>
    </row>
    <row r="657" customFormat="false" ht="15" hidden="false" customHeight="false" outlineLevel="0" collapsed="false">
      <c r="A657" s="24"/>
      <c r="B657" s="27"/>
      <c r="C657" s="24"/>
      <c r="D657" s="28"/>
      <c r="E657" s="24"/>
      <c r="F657" s="24"/>
      <c r="G657" s="24"/>
      <c r="H657" s="24"/>
      <c r="I657" s="29" t="str">
        <f aca="false">IF($A657="","",COUNTIFS($H$2:$H$1001,$A657,$D$2:$D$1001,"Reuse"))</f>
        <v/>
      </c>
    </row>
    <row r="658" customFormat="false" ht="15" hidden="false" customHeight="false" outlineLevel="0" collapsed="false">
      <c r="A658" s="24"/>
      <c r="B658" s="27"/>
      <c r="C658" s="24"/>
      <c r="D658" s="28"/>
      <c r="E658" s="24"/>
      <c r="F658" s="24"/>
      <c r="G658" s="24"/>
      <c r="H658" s="24"/>
      <c r="I658" s="29" t="str">
        <f aca="false">IF($A658="","",COUNTIFS($H$2:$H$1001,$A658,$D$2:$D$1001,"Reuse"))</f>
        <v/>
      </c>
    </row>
    <row r="659" customFormat="false" ht="15" hidden="false" customHeight="false" outlineLevel="0" collapsed="false">
      <c r="A659" s="24"/>
      <c r="B659" s="27"/>
      <c r="C659" s="24"/>
      <c r="D659" s="28"/>
      <c r="E659" s="24"/>
      <c r="F659" s="24"/>
      <c r="G659" s="24"/>
      <c r="H659" s="24"/>
      <c r="I659" s="29" t="str">
        <f aca="false">IF($A659="","",COUNTIFS($H$2:$H$1001,$A659,$D$2:$D$1001,"Reuse"))</f>
        <v/>
      </c>
    </row>
    <row r="660" customFormat="false" ht="15" hidden="false" customHeight="false" outlineLevel="0" collapsed="false">
      <c r="A660" s="24"/>
      <c r="B660" s="27"/>
      <c r="C660" s="24"/>
      <c r="D660" s="28"/>
      <c r="E660" s="24"/>
      <c r="F660" s="24"/>
      <c r="G660" s="24"/>
      <c r="H660" s="24"/>
      <c r="I660" s="29" t="str">
        <f aca="false">IF($A660="","",COUNTIFS($H$2:$H$1001,$A660,$D$2:$D$1001,"Reuse"))</f>
        <v/>
      </c>
    </row>
    <row r="661" customFormat="false" ht="15" hidden="false" customHeight="false" outlineLevel="0" collapsed="false">
      <c r="A661" s="24"/>
      <c r="B661" s="27"/>
      <c r="C661" s="24"/>
      <c r="D661" s="28"/>
      <c r="E661" s="24"/>
      <c r="F661" s="24"/>
      <c r="G661" s="24"/>
      <c r="H661" s="24"/>
      <c r="I661" s="29" t="str">
        <f aca="false">IF($A661="","",COUNTIFS($H$2:$H$1001,$A661,$D$2:$D$1001,"Reuse"))</f>
        <v/>
      </c>
    </row>
    <row r="662" customFormat="false" ht="15" hidden="false" customHeight="false" outlineLevel="0" collapsed="false">
      <c r="A662" s="24"/>
      <c r="B662" s="27"/>
      <c r="C662" s="24"/>
      <c r="D662" s="28"/>
      <c r="E662" s="24"/>
      <c r="F662" s="24"/>
      <c r="G662" s="24"/>
      <c r="H662" s="24"/>
      <c r="I662" s="29" t="str">
        <f aca="false">IF($A662="","",COUNTIFS($H$2:$H$1001,$A662,$D$2:$D$1001,"Reuse"))</f>
        <v/>
      </c>
    </row>
    <row r="663" customFormat="false" ht="15" hidden="false" customHeight="false" outlineLevel="0" collapsed="false">
      <c r="A663" s="24"/>
      <c r="B663" s="27"/>
      <c r="C663" s="24"/>
      <c r="D663" s="28"/>
      <c r="E663" s="24"/>
      <c r="F663" s="24"/>
      <c r="G663" s="24"/>
      <c r="H663" s="24"/>
      <c r="I663" s="29" t="str">
        <f aca="false">IF($A663="","",COUNTIFS($H$2:$H$1001,$A663,$D$2:$D$1001,"Reuse"))</f>
        <v/>
      </c>
    </row>
    <row r="664" customFormat="false" ht="15" hidden="false" customHeight="false" outlineLevel="0" collapsed="false">
      <c r="A664" s="24"/>
      <c r="B664" s="27"/>
      <c r="C664" s="24"/>
      <c r="D664" s="28"/>
      <c r="E664" s="24"/>
      <c r="F664" s="24"/>
      <c r="G664" s="24"/>
      <c r="H664" s="24"/>
      <c r="I664" s="29" t="str">
        <f aca="false">IF($A664="","",COUNTIFS($H$2:$H$1001,$A664,$D$2:$D$1001,"Reuse"))</f>
        <v/>
      </c>
    </row>
    <row r="665" customFormat="false" ht="15" hidden="false" customHeight="false" outlineLevel="0" collapsed="false">
      <c r="A665" s="24"/>
      <c r="B665" s="27"/>
      <c r="C665" s="24"/>
      <c r="D665" s="28"/>
      <c r="E665" s="24"/>
      <c r="F665" s="24"/>
      <c r="G665" s="24"/>
      <c r="H665" s="24"/>
      <c r="I665" s="29" t="str">
        <f aca="false">IF($A665="","",COUNTIFS($H$2:$H$1001,$A665,$D$2:$D$1001,"Reuse"))</f>
        <v/>
      </c>
    </row>
    <row r="666" customFormat="false" ht="15" hidden="false" customHeight="false" outlineLevel="0" collapsed="false">
      <c r="A666" s="24"/>
      <c r="B666" s="27"/>
      <c r="C666" s="24"/>
      <c r="D666" s="28"/>
      <c r="E666" s="24"/>
      <c r="F666" s="24"/>
      <c r="G666" s="24"/>
      <c r="H666" s="24"/>
      <c r="I666" s="29" t="str">
        <f aca="false">IF($A666="","",COUNTIFS($H$2:$H$1001,$A666,$D$2:$D$1001,"Reuse"))</f>
        <v/>
      </c>
    </row>
    <row r="667" customFormat="false" ht="15" hidden="false" customHeight="false" outlineLevel="0" collapsed="false">
      <c r="A667" s="24"/>
      <c r="B667" s="27"/>
      <c r="C667" s="24"/>
      <c r="D667" s="28"/>
      <c r="E667" s="24"/>
      <c r="F667" s="24"/>
      <c r="G667" s="24"/>
      <c r="H667" s="24"/>
      <c r="I667" s="29" t="str">
        <f aca="false">IF($A667="","",COUNTIFS($H$2:$H$1001,$A667,$D$2:$D$1001,"Reuse"))</f>
        <v/>
      </c>
    </row>
    <row r="668" customFormat="false" ht="15" hidden="false" customHeight="false" outlineLevel="0" collapsed="false">
      <c r="A668" s="24"/>
      <c r="B668" s="27"/>
      <c r="C668" s="24"/>
      <c r="D668" s="28"/>
      <c r="E668" s="24"/>
      <c r="F668" s="24"/>
      <c r="G668" s="24"/>
      <c r="H668" s="24"/>
      <c r="I668" s="29" t="str">
        <f aca="false">IF($A668="","",COUNTIFS($H$2:$H$1001,$A668,$D$2:$D$1001,"Reuse"))</f>
        <v/>
      </c>
    </row>
    <row r="669" customFormat="false" ht="15" hidden="false" customHeight="false" outlineLevel="0" collapsed="false">
      <c r="A669" s="24"/>
      <c r="B669" s="27"/>
      <c r="C669" s="24"/>
      <c r="D669" s="28"/>
      <c r="E669" s="24"/>
      <c r="F669" s="24"/>
      <c r="G669" s="24"/>
      <c r="H669" s="24"/>
      <c r="I669" s="29" t="str">
        <f aca="false">IF($A669="","",COUNTIFS($H$2:$H$1001,$A669,$D$2:$D$1001,"Reuse"))</f>
        <v/>
      </c>
    </row>
    <row r="670" customFormat="false" ht="15" hidden="false" customHeight="false" outlineLevel="0" collapsed="false">
      <c r="A670" s="24"/>
      <c r="B670" s="27"/>
      <c r="C670" s="24"/>
      <c r="D670" s="28"/>
      <c r="E670" s="24"/>
      <c r="F670" s="24"/>
      <c r="G670" s="24"/>
      <c r="H670" s="24"/>
      <c r="I670" s="29" t="str">
        <f aca="false">IF($A670="","",COUNTIFS($H$2:$H$1001,$A670,$D$2:$D$1001,"Reuse"))</f>
        <v/>
      </c>
    </row>
    <row r="671" customFormat="false" ht="15" hidden="false" customHeight="false" outlineLevel="0" collapsed="false">
      <c r="A671" s="24"/>
      <c r="B671" s="27"/>
      <c r="C671" s="24"/>
      <c r="D671" s="28"/>
      <c r="E671" s="24"/>
      <c r="F671" s="24"/>
      <c r="G671" s="24"/>
      <c r="H671" s="24"/>
      <c r="I671" s="29" t="str">
        <f aca="false">IF($A671="","",COUNTIFS($H$2:$H$1001,$A671,$D$2:$D$1001,"Reuse"))</f>
        <v/>
      </c>
    </row>
    <row r="672" customFormat="false" ht="15" hidden="false" customHeight="false" outlineLevel="0" collapsed="false">
      <c r="A672" s="24"/>
      <c r="B672" s="27"/>
      <c r="C672" s="24"/>
      <c r="D672" s="28"/>
      <c r="E672" s="24"/>
      <c r="F672" s="24"/>
      <c r="G672" s="24"/>
      <c r="H672" s="24"/>
      <c r="I672" s="29" t="str">
        <f aca="false">IF($A672="","",COUNTIFS($H$2:$H$1001,$A672,$D$2:$D$1001,"Reuse"))</f>
        <v/>
      </c>
    </row>
    <row r="673" customFormat="false" ht="15" hidden="false" customHeight="false" outlineLevel="0" collapsed="false">
      <c r="A673" s="24"/>
      <c r="B673" s="27"/>
      <c r="C673" s="24"/>
      <c r="D673" s="28"/>
      <c r="E673" s="24"/>
      <c r="F673" s="24"/>
      <c r="G673" s="24"/>
      <c r="H673" s="24"/>
      <c r="I673" s="29" t="str">
        <f aca="false">IF($A673="","",COUNTIFS($H$2:$H$1001,$A673,$D$2:$D$1001,"Reuse"))</f>
        <v/>
      </c>
    </row>
    <row r="674" customFormat="false" ht="15" hidden="false" customHeight="false" outlineLevel="0" collapsed="false">
      <c r="A674" s="24"/>
      <c r="B674" s="27"/>
      <c r="C674" s="24"/>
      <c r="D674" s="28"/>
      <c r="E674" s="24"/>
      <c r="F674" s="24"/>
      <c r="G674" s="24"/>
      <c r="H674" s="24"/>
      <c r="I674" s="29" t="str">
        <f aca="false">IF($A674="","",COUNTIFS($H$2:$H$1001,$A674,$D$2:$D$1001,"Reuse"))</f>
        <v/>
      </c>
    </row>
    <row r="675" customFormat="false" ht="15" hidden="false" customHeight="false" outlineLevel="0" collapsed="false">
      <c r="A675" s="24"/>
      <c r="B675" s="27"/>
      <c r="C675" s="24"/>
      <c r="D675" s="28"/>
      <c r="E675" s="24"/>
      <c r="F675" s="24"/>
      <c r="G675" s="24"/>
      <c r="H675" s="24"/>
      <c r="I675" s="29" t="str">
        <f aca="false">IF($A675="","",COUNTIFS($H$2:$H$1001,$A675,$D$2:$D$1001,"Reuse"))</f>
        <v/>
      </c>
    </row>
    <row r="676" customFormat="false" ht="15" hidden="false" customHeight="false" outlineLevel="0" collapsed="false">
      <c r="A676" s="24"/>
      <c r="B676" s="27"/>
      <c r="C676" s="24"/>
      <c r="D676" s="28"/>
      <c r="E676" s="24"/>
      <c r="F676" s="24"/>
      <c r="G676" s="24"/>
      <c r="H676" s="24"/>
      <c r="I676" s="29" t="str">
        <f aca="false">IF($A676="","",COUNTIFS($H$2:$H$1001,$A676,$D$2:$D$1001,"Reuse"))</f>
        <v/>
      </c>
    </row>
    <row r="677" customFormat="false" ht="15" hidden="false" customHeight="false" outlineLevel="0" collapsed="false">
      <c r="A677" s="24"/>
      <c r="B677" s="27"/>
      <c r="C677" s="24"/>
      <c r="D677" s="28"/>
      <c r="E677" s="24"/>
      <c r="F677" s="24"/>
      <c r="G677" s="24"/>
      <c r="H677" s="24"/>
      <c r="I677" s="29" t="str">
        <f aca="false">IF($A677="","",COUNTIFS($H$2:$H$1001,$A677,$D$2:$D$1001,"Reuse"))</f>
        <v/>
      </c>
    </row>
    <row r="678" customFormat="false" ht="15" hidden="false" customHeight="false" outlineLevel="0" collapsed="false">
      <c r="A678" s="24"/>
      <c r="B678" s="27"/>
      <c r="C678" s="24"/>
      <c r="D678" s="28"/>
      <c r="E678" s="24"/>
      <c r="F678" s="24"/>
      <c r="G678" s="24"/>
      <c r="H678" s="24"/>
      <c r="I678" s="29" t="str">
        <f aca="false">IF($A678="","",COUNTIFS($H$2:$H$1001,$A678,$D$2:$D$1001,"Reuse"))</f>
        <v/>
      </c>
    </row>
    <row r="679" customFormat="false" ht="15" hidden="false" customHeight="false" outlineLevel="0" collapsed="false">
      <c r="A679" s="24"/>
      <c r="B679" s="27"/>
      <c r="C679" s="24"/>
      <c r="D679" s="28"/>
      <c r="E679" s="24"/>
      <c r="F679" s="24"/>
      <c r="G679" s="24"/>
      <c r="H679" s="24"/>
      <c r="I679" s="29" t="str">
        <f aca="false">IF($A679="","",COUNTIFS($H$2:$H$1001,$A679,$D$2:$D$1001,"Reuse"))</f>
        <v/>
      </c>
    </row>
    <row r="680" customFormat="false" ht="15" hidden="false" customHeight="false" outlineLevel="0" collapsed="false">
      <c r="A680" s="24"/>
      <c r="B680" s="27"/>
      <c r="C680" s="24"/>
      <c r="D680" s="28"/>
      <c r="E680" s="24"/>
      <c r="F680" s="24"/>
      <c r="G680" s="24"/>
      <c r="H680" s="24"/>
      <c r="I680" s="29" t="str">
        <f aca="false">IF($A680="","",COUNTIFS($H$2:$H$1001,$A680,$D$2:$D$1001,"Reuse"))</f>
        <v/>
      </c>
    </row>
    <row r="681" customFormat="false" ht="15" hidden="false" customHeight="false" outlineLevel="0" collapsed="false">
      <c r="A681" s="24"/>
      <c r="B681" s="27"/>
      <c r="C681" s="24"/>
      <c r="D681" s="28"/>
      <c r="E681" s="24"/>
      <c r="F681" s="24"/>
      <c r="G681" s="24"/>
      <c r="H681" s="24"/>
      <c r="I681" s="29" t="str">
        <f aca="false">IF($A681="","",COUNTIFS($H$2:$H$1001,$A681,$D$2:$D$1001,"Reuse"))</f>
        <v/>
      </c>
    </row>
    <row r="682" customFormat="false" ht="15" hidden="false" customHeight="false" outlineLevel="0" collapsed="false">
      <c r="A682" s="24"/>
      <c r="B682" s="27"/>
      <c r="C682" s="24"/>
      <c r="D682" s="28"/>
      <c r="E682" s="24"/>
      <c r="F682" s="24"/>
      <c r="G682" s="24"/>
      <c r="H682" s="24"/>
      <c r="I682" s="29" t="str">
        <f aca="false">IF($A682="","",COUNTIFS($H$2:$H$1001,$A682,$D$2:$D$1001,"Reuse"))</f>
        <v/>
      </c>
    </row>
    <row r="683" customFormat="false" ht="15" hidden="false" customHeight="false" outlineLevel="0" collapsed="false">
      <c r="A683" s="24"/>
      <c r="B683" s="27"/>
      <c r="C683" s="24"/>
      <c r="D683" s="28"/>
      <c r="E683" s="24"/>
      <c r="F683" s="24"/>
      <c r="G683" s="24"/>
      <c r="H683" s="24"/>
      <c r="I683" s="29" t="str">
        <f aca="false">IF($A683="","",COUNTIFS($H$2:$H$1001,$A683,$D$2:$D$1001,"Reuse"))</f>
        <v/>
      </c>
    </row>
    <row r="684" customFormat="false" ht="15" hidden="false" customHeight="false" outlineLevel="0" collapsed="false">
      <c r="A684" s="24"/>
      <c r="B684" s="27"/>
      <c r="C684" s="24"/>
      <c r="D684" s="28"/>
      <c r="E684" s="24"/>
      <c r="F684" s="24"/>
      <c r="G684" s="24"/>
      <c r="H684" s="24"/>
      <c r="I684" s="29" t="str">
        <f aca="false">IF($A684="","",COUNTIFS($H$2:$H$1001,$A684,$D$2:$D$1001,"Reuse"))</f>
        <v/>
      </c>
    </row>
    <row r="685" customFormat="false" ht="15" hidden="false" customHeight="false" outlineLevel="0" collapsed="false">
      <c r="A685" s="24"/>
      <c r="B685" s="27"/>
      <c r="C685" s="24"/>
      <c r="D685" s="28"/>
      <c r="E685" s="24"/>
      <c r="F685" s="24"/>
      <c r="G685" s="24"/>
      <c r="H685" s="24"/>
      <c r="I685" s="29" t="str">
        <f aca="false">IF($A685="","",COUNTIFS($H$2:$H$1001,$A685,$D$2:$D$1001,"Reuse"))</f>
        <v/>
      </c>
    </row>
    <row r="686" customFormat="false" ht="15" hidden="false" customHeight="false" outlineLevel="0" collapsed="false">
      <c r="A686" s="24"/>
      <c r="B686" s="27"/>
      <c r="C686" s="24"/>
      <c r="D686" s="28"/>
      <c r="E686" s="24"/>
      <c r="F686" s="24"/>
      <c r="G686" s="24"/>
      <c r="H686" s="24"/>
      <c r="I686" s="29" t="str">
        <f aca="false">IF($A686="","",COUNTIFS($H$2:$H$1001,$A686,$D$2:$D$1001,"Reuse"))</f>
        <v/>
      </c>
    </row>
    <row r="687" customFormat="false" ht="15" hidden="false" customHeight="false" outlineLevel="0" collapsed="false">
      <c r="A687" s="24"/>
      <c r="B687" s="27"/>
      <c r="C687" s="24"/>
      <c r="D687" s="28"/>
      <c r="E687" s="24"/>
      <c r="F687" s="24"/>
      <c r="G687" s="24"/>
      <c r="H687" s="24"/>
      <c r="I687" s="29" t="str">
        <f aca="false">IF($A687="","",COUNTIFS($H$2:$H$1001,$A687,$D$2:$D$1001,"Reuse"))</f>
        <v/>
      </c>
    </row>
    <row r="688" customFormat="false" ht="15" hidden="false" customHeight="false" outlineLevel="0" collapsed="false">
      <c r="A688" s="24"/>
      <c r="B688" s="27"/>
      <c r="C688" s="24"/>
      <c r="D688" s="28"/>
      <c r="E688" s="24"/>
      <c r="F688" s="24"/>
      <c r="G688" s="24"/>
      <c r="H688" s="24"/>
      <c r="I688" s="29" t="str">
        <f aca="false">IF($A688="","",COUNTIFS($H$2:$H$1001,$A688,$D$2:$D$1001,"Reuse"))</f>
        <v/>
      </c>
    </row>
    <row r="689" customFormat="false" ht="15" hidden="false" customHeight="false" outlineLevel="0" collapsed="false">
      <c r="A689" s="24"/>
      <c r="B689" s="27"/>
      <c r="C689" s="24"/>
      <c r="D689" s="28"/>
      <c r="E689" s="24"/>
      <c r="F689" s="24"/>
      <c r="G689" s="24"/>
      <c r="H689" s="24"/>
      <c r="I689" s="29" t="str">
        <f aca="false">IF($A689="","",COUNTIFS($H$2:$H$1001,$A689,$D$2:$D$1001,"Reuse"))</f>
        <v/>
      </c>
    </row>
    <row r="690" customFormat="false" ht="15" hidden="false" customHeight="false" outlineLevel="0" collapsed="false">
      <c r="A690" s="24"/>
      <c r="B690" s="27"/>
      <c r="C690" s="24"/>
      <c r="D690" s="28"/>
      <c r="E690" s="24"/>
      <c r="F690" s="24"/>
      <c r="G690" s="24"/>
      <c r="H690" s="24"/>
      <c r="I690" s="29" t="str">
        <f aca="false">IF($A690="","",COUNTIFS($H$2:$H$1001,$A690,$D$2:$D$1001,"Reuse"))</f>
        <v/>
      </c>
    </row>
    <row r="691" customFormat="false" ht="15" hidden="false" customHeight="false" outlineLevel="0" collapsed="false">
      <c r="A691" s="24"/>
      <c r="B691" s="27"/>
      <c r="C691" s="24"/>
      <c r="D691" s="28"/>
      <c r="E691" s="24"/>
      <c r="F691" s="24"/>
      <c r="G691" s="24"/>
      <c r="H691" s="24"/>
      <c r="I691" s="29" t="str">
        <f aca="false">IF($A691="","",COUNTIFS($H$2:$H$1001,$A691,$D$2:$D$1001,"Reuse"))</f>
        <v/>
      </c>
    </row>
    <row r="692" customFormat="false" ht="15" hidden="false" customHeight="false" outlineLevel="0" collapsed="false">
      <c r="A692" s="24"/>
      <c r="B692" s="27"/>
      <c r="C692" s="24"/>
      <c r="D692" s="28"/>
      <c r="E692" s="24"/>
      <c r="F692" s="24"/>
      <c r="G692" s="24"/>
      <c r="H692" s="24"/>
      <c r="I692" s="29" t="str">
        <f aca="false">IF($A692="","",COUNTIFS($H$2:$H$1001,$A692,$D$2:$D$1001,"Reuse"))</f>
        <v/>
      </c>
    </row>
    <row r="693" customFormat="false" ht="15" hidden="false" customHeight="false" outlineLevel="0" collapsed="false">
      <c r="A693" s="24"/>
      <c r="B693" s="27"/>
      <c r="C693" s="24"/>
      <c r="D693" s="28"/>
      <c r="E693" s="24"/>
      <c r="F693" s="24"/>
      <c r="G693" s="24"/>
      <c r="H693" s="24"/>
      <c r="I693" s="29" t="str">
        <f aca="false">IF($A693="","",COUNTIFS($H$2:$H$1001,$A693,$D$2:$D$1001,"Reuse"))</f>
        <v/>
      </c>
    </row>
    <row r="694" customFormat="false" ht="15" hidden="false" customHeight="false" outlineLevel="0" collapsed="false">
      <c r="A694" s="24"/>
      <c r="B694" s="27"/>
      <c r="C694" s="24"/>
      <c r="D694" s="28"/>
      <c r="E694" s="24"/>
      <c r="F694" s="24"/>
      <c r="G694" s="24"/>
      <c r="H694" s="24"/>
      <c r="I694" s="29" t="str">
        <f aca="false">IF($A694="","",COUNTIFS($H$2:$H$1001,$A694,$D$2:$D$1001,"Reuse"))</f>
        <v/>
      </c>
    </row>
    <row r="695" customFormat="false" ht="15" hidden="false" customHeight="false" outlineLevel="0" collapsed="false">
      <c r="A695" s="24"/>
      <c r="B695" s="27"/>
      <c r="C695" s="24"/>
      <c r="D695" s="28"/>
      <c r="E695" s="24"/>
      <c r="F695" s="24"/>
      <c r="G695" s="24"/>
      <c r="H695" s="24"/>
      <c r="I695" s="29" t="str">
        <f aca="false">IF($A695="","",COUNTIFS($H$2:$H$1001,$A695,$D$2:$D$1001,"Reuse"))</f>
        <v/>
      </c>
    </row>
    <row r="696" customFormat="false" ht="15" hidden="false" customHeight="false" outlineLevel="0" collapsed="false">
      <c r="A696" s="24"/>
      <c r="B696" s="27"/>
      <c r="C696" s="24"/>
      <c r="D696" s="28"/>
      <c r="E696" s="24"/>
      <c r="F696" s="24"/>
      <c r="G696" s="24"/>
      <c r="H696" s="24"/>
      <c r="I696" s="29" t="str">
        <f aca="false">IF($A696="","",COUNTIFS($H$2:$H$1001,$A696,$D$2:$D$1001,"Reuse"))</f>
        <v/>
      </c>
    </row>
    <row r="697" customFormat="false" ht="15" hidden="false" customHeight="false" outlineLevel="0" collapsed="false">
      <c r="A697" s="24"/>
      <c r="B697" s="27"/>
      <c r="C697" s="24"/>
      <c r="D697" s="28"/>
      <c r="E697" s="24"/>
      <c r="F697" s="24"/>
      <c r="G697" s="24"/>
      <c r="H697" s="24"/>
      <c r="I697" s="29" t="str">
        <f aca="false">IF($A697="","",COUNTIFS($H$2:$H$1001,$A697,$D$2:$D$1001,"Reuse"))</f>
        <v/>
      </c>
    </row>
    <row r="698" customFormat="false" ht="15" hidden="false" customHeight="false" outlineLevel="0" collapsed="false">
      <c r="A698" s="24"/>
      <c r="B698" s="27"/>
      <c r="C698" s="24"/>
      <c r="D698" s="28"/>
      <c r="E698" s="24"/>
      <c r="F698" s="24"/>
      <c r="G698" s="24"/>
      <c r="H698" s="24"/>
      <c r="I698" s="29" t="str">
        <f aca="false">IF($A698="","",COUNTIFS($H$2:$H$1001,$A698,$D$2:$D$1001,"Reuse"))</f>
        <v/>
      </c>
    </row>
    <row r="699" customFormat="false" ht="15" hidden="false" customHeight="false" outlineLevel="0" collapsed="false">
      <c r="A699" s="24"/>
      <c r="B699" s="27"/>
      <c r="C699" s="24"/>
      <c r="D699" s="28"/>
      <c r="E699" s="24"/>
      <c r="F699" s="24"/>
      <c r="G699" s="24"/>
      <c r="H699" s="24"/>
      <c r="I699" s="29" t="str">
        <f aca="false">IF($A699="","",COUNTIFS($H$2:$H$1001,$A699,$D$2:$D$1001,"Reuse"))</f>
        <v/>
      </c>
    </row>
    <row r="700" customFormat="false" ht="15" hidden="false" customHeight="false" outlineLevel="0" collapsed="false">
      <c r="A700" s="24"/>
      <c r="B700" s="27"/>
      <c r="C700" s="24"/>
      <c r="D700" s="28"/>
      <c r="E700" s="24"/>
      <c r="F700" s="24"/>
      <c r="G700" s="24"/>
      <c r="H700" s="24"/>
      <c r="I700" s="29" t="str">
        <f aca="false">IF($A700="","",COUNTIFS($H$2:$H$1001,$A700,$D$2:$D$1001,"Reuse"))</f>
        <v/>
      </c>
    </row>
    <row r="701" customFormat="false" ht="15" hidden="false" customHeight="false" outlineLevel="0" collapsed="false">
      <c r="A701" s="24"/>
      <c r="B701" s="27"/>
      <c r="C701" s="24"/>
      <c r="D701" s="28"/>
      <c r="E701" s="24"/>
      <c r="F701" s="24"/>
      <c r="G701" s="24"/>
      <c r="H701" s="24"/>
      <c r="I701" s="29" t="str">
        <f aca="false">IF($A701="","",COUNTIFS($H$2:$H$1001,$A701,$D$2:$D$1001,"Reuse"))</f>
        <v/>
      </c>
    </row>
    <row r="702" customFormat="false" ht="15" hidden="false" customHeight="false" outlineLevel="0" collapsed="false">
      <c r="A702" s="24"/>
      <c r="B702" s="27"/>
      <c r="C702" s="24"/>
      <c r="D702" s="28"/>
      <c r="E702" s="24"/>
      <c r="F702" s="24"/>
      <c r="G702" s="24"/>
      <c r="H702" s="24"/>
      <c r="I702" s="29" t="str">
        <f aca="false">IF($A702="","",COUNTIFS($H$2:$H$1001,$A702,$D$2:$D$1001,"Reuse"))</f>
        <v/>
      </c>
    </row>
    <row r="703" customFormat="false" ht="15" hidden="false" customHeight="false" outlineLevel="0" collapsed="false">
      <c r="A703" s="24"/>
      <c r="B703" s="27"/>
      <c r="C703" s="24"/>
      <c r="D703" s="28"/>
      <c r="E703" s="24"/>
      <c r="F703" s="24"/>
      <c r="G703" s="24"/>
      <c r="H703" s="24"/>
      <c r="I703" s="29" t="str">
        <f aca="false">IF($A703="","",COUNTIFS($H$2:$H$1001,$A703,$D$2:$D$1001,"Reuse"))</f>
        <v/>
      </c>
    </row>
    <row r="704" customFormat="false" ht="15" hidden="false" customHeight="false" outlineLevel="0" collapsed="false">
      <c r="A704" s="24"/>
      <c r="B704" s="27"/>
      <c r="C704" s="24"/>
      <c r="D704" s="28"/>
      <c r="E704" s="24"/>
      <c r="F704" s="24"/>
      <c r="G704" s="24"/>
      <c r="H704" s="24"/>
      <c r="I704" s="29" t="str">
        <f aca="false">IF($A704="","",COUNTIFS($H$2:$H$1001,$A704,$D$2:$D$1001,"Reuse"))</f>
        <v/>
      </c>
    </row>
    <row r="705" customFormat="false" ht="15" hidden="false" customHeight="false" outlineLevel="0" collapsed="false">
      <c r="A705" s="24"/>
      <c r="B705" s="27"/>
      <c r="C705" s="24"/>
      <c r="D705" s="28"/>
      <c r="E705" s="24"/>
      <c r="F705" s="24"/>
      <c r="G705" s="24"/>
      <c r="H705" s="24"/>
      <c r="I705" s="29" t="str">
        <f aca="false">IF($A705="","",COUNTIFS($H$2:$H$1001,$A705,$D$2:$D$1001,"Reuse"))</f>
        <v/>
      </c>
    </row>
    <row r="706" customFormat="false" ht="15" hidden="false" customHeight="false" outlineLevel="0" collapsed="false">
      <c r="A706" s="24"/>
      <c r="B706" s="27"/>
      <c r="C706" s="24"/>
      <c r="D706" s="28"/>
      <c r="E706" s="24"/>
      <c r="F706" s="24"/>
      <c r="G706" s="24"/>
      <c r="H706" s="24"/>
      <c r="I706" s="29" t="str">
        <f aca="false">IF($A706="","",COUNTIFS($H$2:$H$1001,$A706,$D$2:$D$1001,"Reuse"))</f>
        <v/>
      </c>
    </row>
    <row r="707" customFormat="false" ht="15" hidden="false" customHeight="false" outlineLevel="0" collapsed="false">
      <c r="A707" s="24"/>
      <c r="B707" s="27"/>
      <c r="C707" s="24"/>
      <c r="D707" s="28"/>
      <c r="E707" s="24"/>
      <c r="F707" s="24"/>
      <c r="G707" s="24"/>
      <c r="H707" s="24"/>
      <c r="I707" s="29" t="str">
        <f aca="false">IF($A707="","",COUNTIFS($H$2:$H$1001,$A707,$D$2:$D$1001,"Reuse"))</f>
        <v/>
      </c>
    </row>
    <row r="708" customFormat="false" ht="15" hidden="false" customHeight="false" outlineLevel="0" collapsed="false">
      <c r="A708" s="24"/>
      <c r="B708" s="27"/>
      <c r="C708" s="24"/>
      <c r="D708" s="28"/>
      <c r="E708" s="24"/>
      <c r="F708" s="24"/>
      <c r="G708" s="24"/>
      <c r="H708" s="24"/>
      <c r="I708" s="29" t="str">
        <f aca="false">IF($A708="","",COUNTIFS($H$2:$H$1001,$A708,$D$2:$D$1001,"Reuse"))</f>
        <v/>
      </c>
    </row>
    <row r="709" customFormat="false" ht="15" hidden="false" customHeight="false" outlineLevel="0" collapsed="false">
      <c r="A709" s="24"/>
      <c r="B709" s="27"/>
      <c r="C709" s="24"/>
      <c r="D709" s="28"/>
      <c r="E709" s="24"/>
      <c r="F709" s="24"/>
      <c r="G709" s="24"/>
      <c r="H709" s="24"/>
      <c r="I709" s="29" t="str">
        <f aca="false">IF($A709="","",COUNTIFS($H$2:$H$1001,$A709,$D$2:$D$1001,"Reuse"))</f>
        <v/>
      </c>
    </row>
    <row r="710" customFormat="false" ht="15" hidden="false" customHeight="false" outlineLevel="0" collapsed="false">
      <c r="A710" s="24"/>
      <c r="B710" s="27"/>
      <c r="C710" s="24"/>
      <c r="D710" s="28"/>
      <c r="E710" s="24"/>
      <c r="F710" s="24"/>
      <c r="G710" s="24"/>
      <c r="H710" s="24"/>
      <c r="I710" s="29" t="str">
        <f aca="false">IF($A710="","",COUNTIFS($H$2:$H$1001,$A710,$D$2:$D$1001,"Reuse"))</f>
        <v/>
      </c>
    </row>
    <row r="711" customFormat="false" ht="15" hidden="false" customHeight="false" outlineLevel="0" collapsed="false">
      <c r="A711" s="24"/>
      <c r="B711" s="27"/>
      <c r="C711" s="24"/>
      <c r="D711" s="28"/>
      <c r="E711" s="24"/>
      <c r="F711" s="24"/>
      <c r="G711" s="24"/>
      <c r="H711" s="24"/>
      <c r="I711" s="29" t="str">
        <f aca="false">IF($A711="","",COUNTIFS($H$2:$H$1001,$A711,$D$2:$D$1001,"Reuse"))</f>
        <v/>
      </c>
    </row>
    <row r="712" customFormat="false" ht="15" hidden="false" customHeight="false" outlineLevel="0" collapsed="false">
      <c r="A712" s="24"/>
      <c r="B712" s="27"/>
      <c r="C712" s="24"/>
      <c r="D712" s="28"/>
      <c r="E712" s="24"/>
      <c r="F712" s="24"/>
      <c r="G712" s="24"/>
      <c r="H712" s="24"/>
      <c r="I712" s="29" t="str">
        <f aca="false">IF($A712="","",COUNTIFS($H$2:$H$1001,$A712,$D$2:$D$1001,"Reuse"))</f>
        <v/>
      </c>
    </row>
    <row r="713" customFormat="false" ht="15" hidden="false" customHeight="false" outlineLevel="0" collapsed="false">
      <c r="A713" s="24"/>
      <c r="B713" s="27"/>
      <c r="C713" s="24"/>
      <c r="D713" s="28"/>
      <c r="E713" s="24"/>
      <c r="F713" s="24"/>
      <c r="G713" s="24"/>
      <c r="H713" s="24"/>
      <c r="I713" s="29" t="str">
        <f aca="false">IF($A713="","",COUNTIFS($H$2:$H$1001,$A713,$D$2:$D$1001,"Reuse"))</f>
        <v/>
      </c>
    </row>
    <row r="714" customFormat="false" ht="15" hidden="false" customHeight="false" outlineLevel="0" collapsed="false">
      <c r="A714" s="24"/>
      <c r="B714" s="27"/>
      <c r="C714" s="24"/>
      <c r="D714" s="28"/>
      <c r="E714" s="24"/>
      <c r="F714" s="24"/>
      <c r="G714" s="24"/>
      <c r="H714" s="24"/>
      <c r="I714" s="29" t="str">
        <f aca="false">IF($A714="","",COUNTIFS($H$2:$H$1001,$A714,$D$2:$D$1001,"Reuse"))</f>
        <v/>
      </c>
    </row>
    <row r="715" customFormat="false" ht="15" hidden="false" customHeight="false" outlineLevel="0" collapsed="false">
      <c r="A715" s="24"/>
      <c r="B715" s="27"/>
      <c r="C715" s="24"/>
      <c r="D715" s="28"/>
      <c r="E715" s="24"/>
      <c r="F715" s="24"/>
      <c r="G715" s="24"/>
      <c r="H715" s="24"/>
      <c r="I715" s="29" t="str">
        <f aca="false">IF($A715="","",COUNTIFS($H$2:$H$1001,$A715,$D$2:$D$1001,"Reuse"))</f>
        <v/>
      </c>
    </row>
    <row r="716" customFormat="false" ht="15" hidden="false" customHeight="false" outlineLevel="0" collapsed="false">
      <c r="A716" s="24"/>
      <c r="B716" s="27"/>
      <c r="C716" s="24"/>
      <c r="D716" s="28"/>
      <c r="E716" s="24"/>
      <c r="F716" s="24"/>
      <c r="G716" s="24"/>
      <c r="H716" s="24"/>
      <c r="I716" s="29" t="str">
        <f aca="false">IF($A716="","",COUNTIFS($H$2:$H$1001,$A716,$D$2:$D$1001,"Reuse"))</f>
        <v/>
      </c>
    </row>
    <row r="717" customFormat="false" ht="15" hidden="false" customHeight="false" outlineLevel="0" collapsed="false">
      <c r="A717" s="24"/>
      <c r="B717" s="27"/>
      <c r="C717" s="24"/>
      <c r="D717" s="28"/>
      <c r="E717" s="24"/>
      <c r="F717" s="24"/>
      <c r="G717" s="24"/>
      <c r="H717" s="24"/>
      <c r="I717" s="29" t="str">
        <f aca="false">IF($A717="","",COUNTIFS($H$2:$H$1001,$A717,$D$2:$D$1001,"Reuse"))</f>
        <v/>
      </c>
    </row>
    <row r="718" customFormat="false" ht="15" hidden="false" customHeight="false" outlineLevel="0" collapsed="false">
      <c r="A718" s="24"/>
      <c r="B718" s="27"/>
      <c r="C718" s="24"/>
      <c r="D718" s="28"/>
      <c r="E718" s="24"/>
      <c r="F718" s="24"/>
      <c r="G718" s="24"/>
      <c r="H718" s="24"/>
      <c r="I718" s="29" t="str">
        <f aca="false">IF($A718="","",COUNTIFS($H$2:$H$1001,$A718,$D$2:$D$1001,"Reuse"))</f>
        <v/>
      </c>
    </row>
    <row r="719" customFormat="false" ht="15" hidden="false" customHeight="false" outlineLevel="0" collapsed="false">
      <c r="A719" s="24"/>
      <c r="B719" s="27"/>
      <c r="C719" s="24"/>
      <c r="D719" s="28"/>
      <c r="E719" s="24"/>
      <c r="F719" s="24"/>
      <c r="G719" s="24"/>
      <c r="H719" s="24"/>
      <c r="I719" s="29" t="str">
        <f aca="false">IF($A719="","",COUNTIFS($H$2:$H$1001,$A719,$D$2:$D$1001,"Reuse"))</f>
        <v/>
      </c>
    </row>
    <row r="720" customFormat="false" ht="15" hidden="false" customHeight="false" outlineLevel="0" collapsed="false">
      <c r="A720" s="24"/>
      <c r="B720" s="27"/>
      <c r="C720" s="24"/>
      <c r="D720" s="28"/>
      <c r="E720" s="24"/>
      <c r="F720" s="24"/>
      <c r="G720" s="24"/>
      <c r="H720" s="24"/>
      <c r="I720" s="29" t="str">
        <f aca="false">IF($A720="","",COUNTIFS($H$2:$H$1001,$A720,$D$2:$D$1001,"Reuse"))</f>
        <v/>
      </c>
    </row>
    <row r="721" customFormat="false" ht="15" hidden="false" customHeight="false" outlineLevel="0" collapsed="false">
      <c r="A721" s="24"/>
      <c r="B721" s="27"/>
      <c r="C721" s="24"/>
      <c r="D721" s="28"/>
      <c r="E721" s="24"/>
      <c r="F721" s="24"/>
      <c r="G721" s="24"/>
      <c r="H721" s="24"/>
      <c r="I721" s="29" t="str">
        <f aca="false">IF($A721="","",COUNTIFS($H$2:$H$1001,$A721,$D$2:$D$1001,"Reuse"))</f>
        <v/>
      </c>
    </row>
    <row r="722" customFormat="false" ht="15" hidden="false" customHeight="false" outlineLevel="0" collapsed="false">
      <c r="A722" s="24"/>
      <c r="B722" s="27"/>
      <c r="C722" s="24"/>
      <c r="D722" s="28"/>
      <c r="E722" s="24"/>
      <c r="F722" s="24"/>
      <c r="G722" s="24"/>
      <c r="H722" s="24"/>
      <c r="I722" s="29" t="str">
        <f aca="false">IF($A722="","",COUNTIFS($H$2:$H$1001,$A722,$D$2:$D$1001,"Reuse"))</f>
        <v/>
      </c>
    </row>
    <row r="723" customFormat="false" ht="15" hidden="false" customHeight="false" outlineLevel="0" collapsed="false">
      <c r="A723" s="24"/>
      <c r="B723" s="27"/>
      <c r="C723" s="24"/>
      <c r="D723" s="28"/>
      <c r="E723" s="24"/>
      <c r="F723" s="24"/>
      <c r="G723" s="24"/>
      <c r="H723" s="24"/>
      <c r="I723" s="29" t="str">
        <f aca="false">IF($A723="","",COUNTIFS($H$2:$H$1001,$A723,$D$2:$D$1001,"Reuse"))</f>
        <v/>
      </c>
    </row>
    <row r="724" customFormat="false" ht="15" hidden="false" customHeight="false" outlineLevel="0" collapsed="false">
      <c r="A724" s="24"/>
      <c r="B724" s="27"/>
      <c r="C724" s="24"/>
      <c r="D724" s="28"/>
      <c r="E724" s="24"/>
      <c r="F724" s="24"/>
      <c r="G724" s="24"/>
      <c r="H724" s="24"/>
      <c r="I724" s="29" t="str">
        <f aca="false">IF($A724="","",COUNTIFS($H$2:$H$1001,$A724,$D$2:$D$1001,"Reuse"))</f>
        <v/>
      </c>
    </row>
    <row r="725" customFormat="false" ht="15" hidden="false" customHeight="false" outlineLevel="0" collapsed="false">
      <c r="A725" s="24"/>
      <c r="B725" s="27"/>
      <c r="C725" s="24"/>
      <c r="D725" s="28"/>
      <c r="E725" s="24"/>
      <c r="F725" s="24"/>
      <c r="G725" s="24"/>
      <c r="H725" s="24"/>
      <c r="I725" s="29" t="str">
        <f aca="false">IF($A725="","",COUNTIFS($H$2:$H$1001,$A725,$D$2:$D$1001,"Reuse"))</f>
        <v/>
      </c>
    </row>
    <row r="726" customFormat="false" ht="15" hidden="false" customHeight="false" outlineLevel="0" collapsed="false">
      <c r="A726" s="24"/>
      <c r="B726" s="27"/>
      <c r="C726" s="24"/>
      <c r="D726" s="28"/>
      <c r="E726" s="24"/>
      <c r="F726" s="24"/>
      <c r="G726" s="24"/>
      <c r="H726" s="24"/>
      <c r="I726" s="29" t="str">
        <f aca="false">IF($A726="","",COUNTIFS($H$2:$H$1001,$A726,$D$2:$D$1001,"Reuse"))</f>
        <v/>
      </c>
    </row>
    <row r="727" customFormat="false" ht="15" hidden="false" customHeight="false" outlineLevel="0" collapsed="false">
      <c r="A727" s="24"/>
      <c r="B727" s="27"/>
      <c r="C727" s="24"/>
      <c r="D727" s="28"/>
      <c r="E727" s="24"/>
      <c r="F727" s="24"/>
      <c r="G727" s="24"/>
      <c r="H727" s="24"/>
      <c r="I727" s="29" t="str">
        <f aca="false">IF($A727="","",COUNTIFS($H$2:$H$1001,$A727,$D$2:$D$1001,"Reuse"))</f>
        <v/>
      </c>
    </row>
    <row r="728" customFormat="false" ht="15" hidden="false" customHeight="false" outlineLevel="0" collapsed="false">
      <c r="A728" s="24"/>
      <c r="B728" s="27"/>
      <c r="C728" s="24"/>
      <c r="D728" s="28"/>
      <c r="E728" s="24"/>
      <c r="F728" s="24"/>
      <c r="G728" s="24"/>
      <c r="H728" s="24"/>
      <c r="I728" s="29" t="str">
        <f aca="false">IF($A728="","",COUNTIFS($H$2:$H$1001,$A728,$D$2:$D$1001,"Reuse"))</f>
        <v/>
      </c>
    </row>
    <row r="729" customFormat="false" ht="15" hidden="false" customHeight="false" outlineLevel="0" collapsed="false">
      <c r="A729" s="24"/>
      <c r="B729" s="27"/>
      <c r="C729" s="24"/>
      <c r="D729" s="28"/>
      <c r="E729" s="24"/>
      <c r="F729" s="24"/>
      <c r="G729" s="24"/>
      <c r="H729" s="24"/>
      <c r="I729" s="29" t="str">
        <f aca="false">IF($A729="","",COUNTIFS($H$2:$H$1001,$A729,$D$2:$D$1001,"Reuse"))</f>
        <v/>
      </c>
    </row>
    <row r="730" customFormat="false" ht="15" hidden="false" customHeight="false" outlineLevel="0" collapsed="false">
      <c r="A730" s="24"/>
      <c r="B730" s="27"/>
      <c r="C730" s="24"/>
      <c r="D730" s="28"/>
      <c r="E730" s="24"/>
      <c r="F730" s="24"/>
      <c r="G730" s="24"/>
      <c r="H730" s="24"/>
      <c r="I730" s="29" t="str">
        <f aca="false">IF($A730="","",COUNTIFS($H$2:$H$1001,$A730,$D$2:$D$1001,"Reuse"))</f>
        <v/>
      </c>
    </row>
    <row r="731" customFormat="false" ht="15" hidden="false" customHeight="false" outlineLevel="0" collapsed="false">
      <c r="A731" s="24"/>
      <c r="B731" s="27"/>
      <c r="C731" s="24"/>
      <c r="D731" s="28"/>
      <c r="E731" s="24"/>
      <c r="F731" s="24"/>
      <c r="G731" s="24"/>
      <c r="H731" s="24"/>
      <c r="I731" s="29" t="str">
        <f aca="false">IF($A731="","",COUNTIFS($H$2:$H$1001,$A731,$D$2:$D$1001,"Reuse"))</f>
        <v/>
      </c>
    </row>
    <row r="732" customFormat="false" ht="15" hidden="false" customHeight="false" outlineLevel="0" collapsed="false">
      <c r="A732" s="24"/>
      <c r="B732" s="27"/>
      <c r="C732" s="24"/>
      <c r="D732" s="28"/>
      <c r="E732" s="24"/>
      <c r="F732" s="24"/>
      <c r="G732" s="24"/>
      <c r="H732" s="24"/>
      <c r="I732" s="29" t="str">
        <f aca="false">IF($A732="","",COUNTIFS($H$2:$H$1001,$A732,$D$2:$D$1001,"Reuse"))</f>
        <v/>
      </c>
    </row>
    <row r="733" customFormat="false" ht="15" hidden="false" customHeight="false" outlineLevel="0" collapsed="false">
      <c r="A733" s="24"/>
      <c r="B733" s="27"/>
      <c r="C733" s="24"/>
      <c r="D733" s="28"/>
      <c r="E733" s="24"/>
      <c r="F733" s="24"/>
      <c r="G733" s="24"/>
      <c r="H733" s="24"/>
      <c r="I733" s="29" t="str">
        <f aca="false">IF($A733="","",COUNTIFS($H$2:$H$1001,$A733,$D$2:$D$1001,"Reuse"))</f>
        <v/>
      </c>
    </row>
    <row r="734" customFormat="false" ht="15" hidden="false" customHeight="false" outlineLevel="0" collapsed="false">
      <c r="A734" s="24"/>
      <c r="B734" s="27"/>
      <c r="C734" s="24"/>
      <c r="D734" s="28"/>
      <c r="E734" s="24"/>
      <c r="F734" s="24"/>
      <c r="G734" s="24"/>
      <c r="H734" s="24"/>
      <c r="I734" s="29" t="str">
        <f aca="false">IF($A734="","",COUNTIFS($H$2:$H$1001,$A734,$D$2:$D$1001,"Reuse"))</f>
        <v/>
      </c>
    </row>
    <row r="735" customFormat="false" ht="15" hidden="false" customHeight="false" outlineLevel="0" collapsed="false">
      <c r="A735" s="24"/>
      <c r="B735" s="27"/>
      <c r="C735" s="24"/>
      <c r="D735" s="28"/>
      <c r="E735" s="24"/>
      <c r="F735" s="24"/>
      <c r="G735" s="24"/>
      <c r="H735" s="24"/>
      <c r="I735" s="29" t="str">
        <f aca="false">IF($A735="","",COUNTIFS($H$2:$H$1001,$A735,$D$2:$D$1001,"Reuse"))</f>
        <v/>
      </c>
    </row>
    <row r="736" customFormat="false" ht="15" hidden="false" customHeight="false" outlineLevel="0" collapsed="false">
      <c r="A736" s="24"/>
      <c r="B736" s="27"/>
      <c r="C736" s="24"/>
      <c r="D736" s="28"/>
      <c r="E736" s="24"/>
      <c r="F736" s="24"/>
      <c r="G736" s="24"/>
      <c r="H736" s="24"/>
      <c r="I736" s="29" t="str">
        <f aca="false">IF($A736="","",COUNTIFS($H$2:$H$1001,$A736,$D$2:$D$1001,"Reuse"))</f>
        <v/>
      </c>
    </row>
    <row r="737" customFormat="false" ht="15" hidden="false" customHeight="false" outlineLevel="0" collapsed="false">
      <c r="A737" s="24"/>
      <c r="B737" s="27"/>
      <c r="C737" s="24"/>
      <c r="D737" s="28"/>
      <c r="E737" s="24"/>
      <c r="F737" s="24"/>
      <c r="G737" s="24"/>
      <c r="H737" s="24"/>
      <c r="I737" s="29" t="str">
        <f aca="false">IF($A737="","",COUNTIFS($H$2:$H$1001,$A737,$D$2:$D$1001,"Reuse"))</f>
        <v/>
      </c>
    </row>
    <row r="738" customFormat="false" ht="15" hidden="false" customHeight="false" outlineLevel="0" collapsed="false">
      <c r="A738" s="24"/>
      <c r="B738" s="27"/>
      <c r="C738" s="24"/>
      <c r="D738" s="28"/>
      <c r="E738" s="24"/>
      <c r="F738" s="24"/>
      <c r="G738" s="24"/>
      <c r="H738" s="24"/>
      <c r="I738" s="29" t="str">
        <f aca="false">IF($A738="","",COUNTIFS($H$2:$H$1001,$A738,$D$2:$D$1001,"Reuse"))</f>
        <v/>
      </c>
    </row>
    <row r="739" customFormat="false" ht="15" hidden="false" customHeight="false" outlineLevel="0" collapsed="false">
      <c r="A739" s="24"/>
      <c r="B739" s="27"/>
      <c r="C739" s="24"/>
      <c r="D739" s="28"/>
      <c r="E739" s="24"/>
      <c r="F739" s="24"/>
      <c r="G739" s="24"/>
      <c r="H739" s="24"/>
      <c r="I739" s="29" t="str">
        <f aca="false">IF($A739="","",COUNTIFS($H$2:$H$1001,$A739,$D$2:$D$1001,"Reuse"))</f>
        <v/>
      </c>
    </row>
    <row r="740" customFormat="false" ht="15" hidden="false" customHeight="false" outlineLevel="0" collapsed="false">
      <c r="A740" s="24"/>
      <c r="B740" s="27"/>
      <c r="C740" s="24"/>
      <c r="D740" s="28"/>
      <c r="E740" s="24"/>
      <c r="F740" s="24"/>
      <c r="G740" s="24"/>
      <c r="H740" s="24"/>
      <c r="I740" s="29" t="str">
        <f aca="false">IF($A740="","",COUNTIFS($H$2:$H$1001,$A740,$D$2:$D$1001,"Reuse"))</f>
        <v/>
      </c>
    </row>
    <row r="741" customFormat="false" ht="15" hidden="false" customHeight="false" outlineLevel="0" collapsed="false">
      <c r="A741" s="24"/>
      <c r="B741" s="27"/>
      <c r="C741" s="24"/>
      <c r="D741" s="28"/>
      <c r="E741" s="24"/>
      <c r="F741" s="24"/>
      <c r="G741" s="24"/>
      <c r="H741" s="24"/>
      <c r="I741" s="29" t="str">
        <f aca="false">IF($A741="","",COUNTIFS($H$2:$H$1001,$A741,$D$2:$D$1001,"Reuse"))</f>
        <v/>
      </c>
    </row>
    <row r="742" customFormat="false" ht="15" hidden="false" customHeight="false" outlineLevel="0" collapsed="false">
      <c r="A742" s="24"/>
      <c r="B742" s="27"/>
      <c r="C742" s="24"/>
      <c r="D742" s="28"/>
      <c r="E742" s="24"/>
      <c r="F742" s="24"/>
      <c r="G742" s="24"/>
      <c r="H742" s="24"/>
      <c r="I742" s="29" t="str">
        <f aca="false">IF($A742="","",COUNTIFS($H$2:$H$1001,$A742,$D$2:$D$1001,"Reuse"))</f>
        <v/>
      </c>
    </row>
    <row r="743" customFormat="false" ht="15" hidden="false" customHeight="false" outlineLevel="0" collapsed="false">
      <c r="A743" s="24"/>
      <c r="B743" s="27"/>
      <c r="C743" s="24"/>
      <c r="D743" s="28"/>
      <c r="E743" s="24"/>
      <c r="F743" s="24"/>
      <c r="G743" s="24"/>
      <c r="H743" s="24"/>
      <c r="I743" s="29" t="str">
        <f aca="false">IF($A743="","",COUNTIFS($H$2:$H$1001,$A743,$D$2:$D$1001,"Reuse"))</f>
        <v/>
      </c>
    </row>
    <row r="744" customFormat="false" ht="15" hidden="false" customHeight="false" outlineLevel="0" collapsed="false">
      <c r="A744" s="24"/>
      <c r="B744" s="27"/>
      <c r="C744" s="24"/>
      <c r="D744" s="28"/>
      <c r="E744" s="24"/>
      <c r="F744" s="24"/>
      <c r="G744" s="24"/>
      <c r="H744" s="24"/>
      <c r="I744" s="29" t="str">
        <f aca="false">IF($A744="","",COUNTIFS($H$2:$H$1001,$A744,$D$2:$D$1001,"Reuse"))</f>
        <v/>
      </c>
    </row>
    <row r="745" customFormat="false" ht="15" hidden="false" customHeight="false" outlineLevel="0" collapsed="false">
      <c r="A745" s="24"/>
      <c r="B745" s="27"/>
      <c r="C745" s="24"/>
      <c r="D745" s="28"/>
      <c r="E745" s="24"/>
      <c r="F745" s="24"/>
      <c r="G745" s="24"/>
      <c r="H745" s="24"/>
      <c r="I745" s="29" t="str">
        <f aca="false">IF($A745="","",COUNTIFS($H$2:$H$1001,$A745,$D$2:$D$1001,"Reuse"))</f>
        <v/>
      </c>
    </row>
    <row r="746" customFormat="false" ht="15" hidden="false" customHeight="false" outlineLevel="0" collapsed="false">
      <c r="A746" s="24"/>
      <c r="B746" s="27"/>
      <c r="C746" s="24"/>
      <c r="D746" s="28"/>
      <c r="E746" s="24"/>
      <c r="F746" s="24"/>
      <c r="G746" s="24"/>
      <c r="H746" s="24"/>
      <c r="I746" s="29" t="str">
        <f aca="false">IF($A746="","",COUNTIFS($H$2:$H$1001,$A746,$D$2:$D$1001,"Reuse"))</f>
        <v/>
      </c>
    </row>
    <row r="747" customFormat="false" ht="15" hidden="false" customHeight="false" outlineLevel="0" collapsed="false">
      <c r="A747" s="24"/>
      <c r="B747" s="27"/>
      <c r="C747" s="24"/>
      <c r="D747" s="28"/>
      <c r="E747" s="24"/>
      <c r="F747" s="24"/>
      <c r="G747" s="24"/>
      <c r="H747" s="24"/>
      <c r="I747" s="29" t="str">
        <f aca="false">IF($A747="","",COUNTIFS($H$2:$H$1001,$A747,$D$2:$D$1001,"Reuse"))</f>
        <v/>
      </c>
    </row>
    <row r="748" customFormat="false" ht="15" hidden="false" customHeight="false" outlineLevel="0" collapsed="false">
      <c r="A748" s="24"/>
      <c r="B748" s="27"/>
      <c r="C748" s="24"/>
      <c r="D748" s="28"/>
      <c r="E748" s="24"/>
      <c r="F748" s="24"/>
      <c r="G748" s="24"/>
      <c r="H748" s="24"/>
      <c r="I748" s="29" t="str">
        <f aca="false">IF($A748="","",COUNTIFS($H$2:$H$1001,$A748,$D$2:$D$1001,"Reuse"))</f>
        <v/>
      </c>
    </row>
    <row r="749" customFormat="false" ht="15" hidden="false" customHeight="false" outlineLevel="0" collapsed="false">
      <c r="A749" s="24"/>
      <c r="B749" s="27"/>
      <c r="C749" s="24"/>
      <c r="D749" s="28"/>
      <c r="E749" s="24"/>
      <c r="F749" s="24"/>
      <c r="G749" s="24"/>
      <c r="H749" s="24"/>
      <c r="I749" s="29" t="str">
        <f aca="false">IF($A749="","",COUNTIFS($H$2:$H$1001,$A749,$D$2:$D$1001,"Reuse"))</f>
        <v/>
      </c>
    </row>
    <row r="750" customFormat="false" ht="15" hidden="false" customHeight="false" outlineLevel="0" collapsed="false">
      <c r="A750" s="24"/>
      <c r="B750" s="27"/>
      <c r="C750" s="24"/>
      <c r="D750" s="28"/>
      <c r="E750" s="24"/>
      <c r="F750" s="24"/>
      <c r="G750" s="24"/>
      <c r="H750" s="24"/>
      <c r="I750" s="29" t="str">
        <f aca="false">IF($A750="","",COUNTIFS($H$2:$H$1001,$A750,$D$2:$D$1001,"Reuse"))</f>
        <v/>
      </c>
    </row>
    <row r="751" customFormat="false" ht="15" hidden="false" customHeight="false" outlineLevel="0" collapsed="false">
      <c r="A751" s="24"/>
      <c r="B751" s="27"/>
      <c r="C751" s="24"/>
      <c r="D751" s="28"/>
      <c r="E751" s="24"/>
      <c r="F751" s="24"/>
      <c r="G751" s="24"/>
      <c r="H751" s="24"/>
      <c r="I751" s="29" t="str">
        <f aca="false">IF($A751="","",COUNTIFS($H$2:$H$1001,$A751,$D$2:$D$1001,"Reuse"))</f>
        <v/>
      </c>
    </row>
    <row r="752" customFormat="false" ht="15" hidden="false" customHeight="false" outlineLevel="0" collapsed="false">
      <c r="A752" s="24"/>
      <c r="B752" s="27"/>
      <c r="C752" s="24"/>
      <c r="D752" s="28"/>
      <c r="E752" s="24"/>
      <c r="F752" s="24"/>
      <c r="G752" s="24"/>
      <c r="H752" s="24"/>
      <c r="I752" s="29" t="str">
        <f aca="false">IF($A752="","",COUNTIFS($H$2:$H$1001,$A752,$D$2:$D$1001,"Reuse"))</f>
        <v/>
      </c>
    </row>
    <row r="753" customFormat="false" ht="15" hidden="false" customHeight="false" outlineLevel="0" collapsed="false">
      <c r="A753" s="24"/>
      <c r="B753" s="27"/>
      <c r="C753" s="24"/>
      <c r="D753" s="28"/>
      <c r="E753" s="24"/>
      <c r="F753" s="24"/>
      <c r="G753" s="24"/>
      <c r="H753" s="24"/>
      <c r="I753" s="29" t="str">
        <f aca="false">IF($A753="","",COUNTIFS($H$2:$H$1001,$A753,$D$2:$D$1001,"Reuse"))</f>
        <v/>
      </c>
    </row>
    <row r="754" customFormat="false" ht="15" hidden="false" customHeight="false" outlineLevel="0" collapsed="false">
      <c r="A754" s="24"/>
      <c r="B754" s="27"/>
      <c r="C754" s="24"/>
      <c r="D754" s="28"/>
      <c r="E754" s="24"/>
      <c r="F754" s="24"/>
      <c r="G754" s="24"/>
      <c r="H754" s="24"/>
      <c r="I754" s="29" t="str">
        <f aca="false">IF($A754="","",COUNTIFS($H$2:$H$1001,$A754,$D$2:$D$1001,"Reuse"))</f>
        <v/>
      </c>
    </row>
    <row r="755" customFormat="false" ht="15" hidden="false" customHeight="false" outlineLevel="0" collapsed="false">
      <c r="A755" s="24"/>
      <c r="B755" s="27"/>
      <c r="C755" s="24"/>
      <c r="D755" s="28"/>
      <c r="E755" s="24"/>
      <c r="F755" s="24"/>
      <c r="G755" s="24"/>
      <c r="H755" s="24"/>
      <c r="I755" s="29" t="str">
        <f aca="false">IF($A755="","",COUNTIFS($H$2:$H$1001,$A755,$D$2:$D$1001,"Reuse"))</f>
        <v/>
      </c>
    </row>
    <row r="756" customFormat="false" ht="15" hidden="false" customHeight="false" outlineLevel="0" collapsed="false">
      <c r="A756" s="24"/>
      <c r="B756" s="27"/>
      <c r="C756" s="24"/>
      <c r="D756" s="28"/>
      <c r="E756" s="24"/>
      <c r="F756" s="24"/>
      <c r="G756" s="24"/>
      <c r="H756" s="24"/>
      <c r="I756" s="29" t="str">
        <f aca="false">IF($A756="","",COUNTIFS($H$2:$H$1001,$A756,$D$2:$D$1001,"Reuse"))</f>
        <v/>
      </c>
    </row>
    <row r="757" customFormat="false" ht="15" hidden="false" customHeight="false" outlineLevel="0" collapsed="false">
      <c r="A757" s="24"/>
      <c r="B757" s="27"/>
      <c r="C757" s="24"/>
      <c r="D757" s="28"/>
      <c r="E757" s="24"/>
      <c r="F757" s="24"/>
      <c r="G757" s="24"/>
      <c r="H757" s="24"/>
      <c r="I757" s="29" t="str">
        <f aca="false">IF($A757="","",COUNTIFS($H$2:$H$1001,$A757,$D$2:$D$1001,"Reuse"))</f>
        <v/>
      </c>
    </row>
    <row r="758" customFormat="false" ht="15" hidden="false" customHeight="false" outlineLevel="0" collapsed="false">
      <c r="A758" s="24"/>
      <c r="B758" s="27"/>
      <c r="C758" s="24"/>
      <c r="D758" s="28"/>
      <c r="E758" s="24"/>
      <c r="F758" s="24"/>
      <c r="G758" s="24"/>
      <c r="H758" s="24"/>
      <c r="I758" s="29" t="str">
        <f aca="false">IF($A758="","",COUNTIFS($H$2:$H$1001,$A758,$D$2:$D$1001,"Reuse"))</f>
        <v/>
      </c>
    </row>
    <row r="759" customFormat="false" ht="15" hidden="false" customHeight="false" outlineLevel="0" collapsed="false">
      <c r="A759" s="24"/>
      <c r="B759" s="27"/>
      <c r="C759" s="24"/>
      <c r="D759" s="28"/>
      <c r="E759" s="24"/>
      <c r="F759" s="24"/>
      <c r="G759" s="24"/>
      <c r="H759" s="24"/>
      <c r="I759" s="29" t="str">
        <f aca="false">IF($A759="","",COUNTIFS($H$2:$H$1001,$A759,$D$2:$D$1001,"Reuse"))</f>
        <v/>
      </c>
    </row>
    <row r="760" customFormat="false" ht="15" hidden="false" customHeight="false" outlineLevel="0" collapsed="false">
      <c r="A760" s="24"/>
      <c r="B760" s="27"/>
      <c r="C760" s="24"/>
      <c r="D760" s="28"/>
      <c r="E760" s="24"/>
      <c r="F760" s="24"/>
      <c r="G760" s="24"/>
      <c r="H760" s="24"/>
      <c r="I760" s="29" t="str">
        <f aca="false">IF($A760="","",COUNTIFS($H$2:$H$1001,$A760,$D$2:$D$1001,"Reuse"))</f>
        <v/>
      </c>
    </row>
    <row r="761" customFormat="false" ht="15" hidden="false" customHeight="false" outlineLevel="0" collapsed="false">
      <c r="A761" s="24"/>
      <c r="B761" s="27"/>
      <c r="C761" s="24"/>
      <c r="D761" s="28"/>
      <c r="E761" s="24"/>
      <c r="F761" s="24"/>
      <c r="G761" s="24"/>
      <c r="H761" s="24"/>
      <c r="I761" s="29" t="str">
        <f aca="false">IF($A761="","",COUNTIFS($H$2:$H$1001,$A761,$D$2:$D$1001,"Reuse"))</f>
        <v/>
      </c>
    </row>
    <row r="762" customFormat="false" ht="15" hidden="false" customHeight="false" outlineLevel="0" collapsed="false">
      <c r="A762" s="24"/>
      <c r="B762" s="27"/>
      <c r="C762" s="24"/>
      <c r="D762" s="28"/>
      <c r="E762" s="24"/>
      <c r="F762" s="24"/>
      <c r="G762" s="24"/>
      <c r="H762" s="24"/>
      <c r="I762" s="29" t="str">
        <f aca="false">IF($A762="","",COUNTIFS($H$2:$H$1001,$A762,$D$2:$D$1001,"Reuse"))</f>
        <v/>
      </c>
    </row>
    <row r="763" customFormat="false" ht="15" hidden="false" customHeight="false" outlineLevel="0" collapsed="false">
      <c r="A763" s="24"/>
      <c r="B763" s="27"/>
      <c r="C763" s="24"/>
      <c r="D763" s="28"/>
      <c r="E763" s="24"/>
      <c r="F763" s="24"/>
      <c r="G763" s="24"/>
      <c r="H763" s="24"/>
      <c r="I763" s="29" t="str">
        <f aca="false">IF($A763="","",COUNTIFS($H$2:$H$1001,$A763,$D$2:$D$1001,"Reuse"))</f>
        <v/>
      </c>
    </row>
    <row r="764" customFormat="false" ht="15" hidden="false" customHeight="false" outlineLevel="0" collapsed="false">
      <c r="A764" s="24"/>
      <c r="B764" s="27"/>
      <c r="C764" s="24"/>
      <c r="D764" s="28"/>
      <c r="E764" s="24"/>
      <c r="F764" s="24"/>
      <c r="G764" s="24"/>
      <c r="H764" s="24"/>
      <c r="I764" s="29" t="str">
        <f aca="false">IF($A764="","",COUNTIFS($H$2:$H$1001,$A764,$D$2:$D$1001,"Reuse"))</f>
        <v/>
      </c>
    </row>
    <row r="765" customFormat="false" ht="15" hidden="false" customHeight="false" outlineLevel="0" collapsed="false">
      <c r="A765" s="24"/>
      <c r="B765" s="27"/>
      <c r="C765" s="24"/>
      <c r="D765" s="28"/>
      <c r="E765" s="24"/>
      <c r="F765" s="24"/>
      <c r="G765" s="24"/>
      <c r="H765" s="24"/>
      <c r="I765" s="29" t="str">
        <f aca="false">IF($A765="","",COUNTIFS($H$2:$H$1001,$A765,$D$2:$D$1001,"Reuse"))</f>
        <v/>
      </c>
    </row>
    <row r="766" customFormat="false" ht="15" hidden="false" customHeight="false" outlineLevel="0" collapsed="false">
      <c r="A766" s="24"/>
      <c r="B766" s="27"/>
      <c r="C766" s="24"/>
      <c r="D766" s="28"/>
      <c r="E766" s="24"/>
      <c r="F766" s="24"/>
      <c r="G766" s="24"/>
      <c r="H766" s="24"/>
      <c r="I766" s="29" t="str">
        <f aca="false">IF($A766="","",COUNTIFS($H$2:$H$1001,$A766,$D$2:$D$1001,"Reuse"))</f>
        <v/>
      </c>
    </row>
    <row r="767" customFormat="false" ht="15" hidden="false" customHeight="false" outlineLevel="0" collapsed="false">
      <c r="A767" s="24"/>
      <c r="B767" s="27"/>
      <c r="C767" s="24"/>
      <c r="D767" s="28"/>
      <c r="E767" s="24"/>
      <c r="F767" s="24"/>
      <c r="G767" s="24"/>
      <c r="H767" s="24"/>
      <c r="I767" s="29" t="str">
        <f aca="false">IF($A767="","",COUNTIFS($H$2:$H$1001,$A767,$D$2:$D$1001,"Reuse"))</f>
        <v/>
      </c>
    </row>
    <row r="768" customFormat="false" ht="15" hidden="false" customHeight="false" outlineLevel="0" collapsed="false">
      <c r="A768" s="24"/>
      <c r="B768" s="27"/>
      <c r="C768" s="24"/>
      <c r="D768" s="28"/>
      <c r="E768" s="24"/>
      <c r="F768" s="24"/>
      <c r="G768" s="24"/>
      <c r="H768" s="24"/>
      <c r="I768" s="29" t="str">
        <f aca="false">IF($A768="","",COUNTIFS($H$2:$H$1001,$A768,$D$2:$D$1001,"Reuse"))</f>
        <v/>
      </c>
    </row>
    <row r="769" customFormat="false" ht="15" hidden="false" customHeight="false" outlineLevel="0" collapsed="false">
      <c r="A769" s="24"/>
      <c r="B769" s="27"/>
      <c r="C769" s="24"/>
      <c r="D769" s="28"/>
      <c r="E769" s="24"/>
      <c r="F769" s="24"/>
      <c r="G769" s="24"/>
      <c r="H769" s="24"/>
      <c r="I769" s="29" t="str">
        <f aca="false">IF($A769="","",COUNTIFS($H$2:$H$1001,$A769,$D$2:$D$1001,"Reuse"))</f>
        <v/>
      </c>
    </row>
    <row r="770" customFormat="false" ht="15" hidden="false" customHeight="false" outlineLevel="0" collapsed="false">
      <c r="A770" s="24"/>
      <c r="B770" s="27"/>
      <c r="C770" s="24"/>
      <c r="D770" s="28"/>
      <c r="E770" s="24"/>
      <c r="F770" s="24"/>
      <c r="G770" s="24"/>
      <c r="H770" s="24"/>
      <c r="I770" s="29" t="str">
        <f aca="false">IF($A770="","",COUNTIFS($H$2:$H$1001,$A770,$D$2:$D$1001,"Reuse"))</f>
        <v/>
      </c>
    </row>
    <row r="771" customFormat="false" ht="15" hidden="false" customHeight="false" outlineLevel="0" collapsed="false">
      <c r="A771" s="24"/>
      <c r="B771" s="27"/>
      <c r="C771" s="24"/>
      <c r="D771" s="28"/>
      <c r="E771" s="24"/>
      <c r="F771" s="24"/>
      <c r="G771" s="24"/>
      <c r="H771" s="24"/>
      <c r="I771" s="29" t="str">
        <f aca="false">IF($A771="","",COUNTIFS($H$2:$H$1001,$A771,$D$2:$D$1001,"Reuse"))</f>
        <v/>
      </c>
    </row>
    <row r="772" customFormat="false" ht="15" hidden="false" customHeight="false" outlineLevel="0" collapsed="false">
      <c r="A772" s="24"/>
      <c r="B772" s="27"/>
      <c r="C772" s="24"/>
      <c r="D772" s="28"/>
      <c r="E772" s="24"/>
      <c r="F772" s="24"/>
      <c r="G772" s="24"/>
      <c r="H772" s="24"/>
      <c r="I772" s="29" t="str">
        <f aca="false">IF($A772="","",COUNTIFS($H$2:$H$1001,$A772,$D$2:$D$1001,"Reuse"))</f>
        <v/>
      </c>
    </row>
    <row r="773" customFormat="false" ht="15" hidden="false" customHeight="false" outlineLevel="0" collapsed="false">
      <c r="A773" s="24"/>
      <c r="B773" s="27"/>
      <c r="C773" s="24"/>
      <c r="D773" s="28"/>
      <c r="E773" s="24"/>
      <c r="F773" s="24"/>
      <c r="G773" s="24"/>
      <c r="H773" s="24"/>
      <c r="I773" s="29" t="str">
        <f aca="false">IF($A773="","",COUNTIFS($H$2:$H$1001,$A773,$D$2:$D$1001,"Reuse"))</f>
        <v/>
      </c>
    </row>
    <row r="774" customFormat="false" ht="15" hidden="false" customHeight="false" outlineLevel="0" collapsed="false">
      <c r="A774" s="24"/>
      <c r="B774" s="27"/>
      <c r="C774" s="24"/>
      <c r="D774" s="28"/>
      <c r="E774" s="24"/>
      <c r="F774" s="24"/>
      <c r="G774" s="24"/>
      <c r="H774" s="24"/>
      <c r="I774" s="29" t="str">
        <f aca="false">IF($A774="","",COUNTIFS($H$2:$H$1001,$A774,$D$2:$D$1001,"Reuse"))</f>
        <v/>
      </c>
    </row>
    <row r="775" customFormat="false" ht="15" hidden="false" customHeight="false" outlineLevel="0" collapsed="false">
      <c r="A775" s="24"/>
      <c r="B775" s="27"/>
      <c r="C775" s="24"/>
      <c r="D775" s="28"/>
      <c r="E775" s="24"/>
      <c r="F775" s="24"/>
      <c r="G775" s="24"/>
      <c r="H775" s="24"/>
      <c r="I775" s="29" t="str">
        <f aca="false">IF($A775="","",COUNTIFS($H$2:$H$1001,$A775,$D$2:$D$1001,"Reuse"))</f>
        <v/>
      </c>
    </row>
    <row r="776" customFormat="false" ht="15" hidden="false" customHeight="false" outlineLevel="0" collapsed="false">
      <c r="A776" s="24"/>
      <c r="B776" s="27"/>
      <c r="C776" s="24"/>
      <c r="D776" s="28"/>
      <c r="E776" s="24"/>
      <c r="F776" s="24"/>
      <c r="G776" s="24"/>
      <c r="H776" s="24"/>
      <c r="I776" s="29" t="str">
        <f aca="false">IF($A776="","",COUNTIFS($H$2:$H$1001,$A776,$D$2:$D$1001,"Reuse"))</f>
        <v/>
      </c>
    </row>
    <row r="777" customFormat="false" ht="15" hidden="false" customHeight="false" outlineLevel="0" collapsed="false">
      <c r="A777" s="24"/>
      <c r="B777" s="27"/>
      <c r="C777" s="24"/>
      <c r="D777" s="28"/>
      <c r="E777" s="24"/>
      <c r="F777" s="24"/>
      <c r="G777" s="24"/>
      <c r="H777" s="24"/>
      <c r="I777" s="29" t="str">
        <f aca="false">IF($A777="","",COUNTIFS($H$2:$H$1001,$A777,$D$2:$D$1001,"Reuse"))</f>
        <v/>
      </c>
    </row>
    <row r="778" customFormat="false" ht="15" hidden="false" customHeight="false" outlineLevel="0" collapsed="false">
      <c r="A778" s="24"/>
      <c r="B778" s="27"/>
      <c r="C778" s="24"/>
      <c r="D778" s="28"/>
      <c r="E778" s="24"/>
      <c r="F778" s="24"/>
      <c r="G778" s="24"/>
      <c r="H778" s="24"/>
      <c r="I778" s="29" t="str">
        <f aca="false">IF($A778="","",COUNTIFS($H$2:$H$1001,$A778,$D$2:$D$1001,"Reuse"))</f>
        <v/>
      </c>
    </row>
    <row r="779" customFormat="false" ht="15" hidden="false" customHeight="false" outlineLevel="0" collapsed="false">
      <c r="A779" s="24"/>
      <c r="B779" s="27"/>
      <c r="C779" s="24"/>
      <c r="D779" s="28"/>
      <c r="E779" s="24"/>
      <c r="F779" s="24"/>
      <c r="G779" s="24"/>
      <c r="H779" s="24"/>
      <c r="I779" s="29" t="str">
        <f aca="false">IF($A779="","",COUNTIFS($H$2:$H$1001,$A779,$D$2:$D$1001,"Reuse"))</f>
        <v/>
      </c>
    </row>
    <row r="780" customFormat="false" ht="15" hidden="false" customHeight="false" outlineLevel="0" collapsed="false">
      <c r="A780" s="24"/>
      <c r="B780" s="27"/>
      <c r="C780" s="24"/>
      <c r="D780" s="28"/>
      <c r="E780" s="24"/>
      <c r="F780" s="24"/>
      <c r="G780" s="24"/>
      <c r="H780" s="24"/>
      <c r="I780" s="29" t="str">
        <f aca="false">IF($A780="","",COUNTIFS($H$2:$H$1001,$A780,$D$2:$D$1001,"Reuse"))</f>
        <v/>
      </c>
    </row>
    <row r="781" customFormat="false" ht="15" hidden="false" customHeight="false" outlineLevel="0" collapsed="false">
      <c r="A781" s="24"/>
      <c r="B781" s="27"/>
      <c r="C781" s="24"/>
      <c r="D781" s="28"/>
      <c r="E781" s="24"/>
      <c r="F781" s="24"/>
      <c r="G781" s="24"/>
      <c r="H781" s="24"/>
      <c r="I781" s="29" t="str">
        <f aca="false">IF($A781="","",COUNTIFS($H$2:$H$1001,$A781,$D$2:$D$1001,"Reuse"))</f>
        <v/>
      </c>
    </row>
    <row r="782" customFormat="false" ht="15" hidden="false" customHeight="false" outlineLevel="0" collapsed="false">
      <c r="A782" s="24"/>
      <c r="B782" s="27"/>
      <c r="C782" s="24"/>
      <c r="D782" s="28"/>
      <c r="E782" s="24"/>
      <c r="F782" s="24"/>
      <c r="G782" s="24"/>
      <c r="H782" s="24"/>
      <c r="I782" s="29" t="str">
        <f aca="false">IF($A782="","",COUNTIFS($H$2:$H$1001,$A782,$D$2:$D$1001,"Reuse"))</f>
        <v/>
      </c>
    </row>
    <row r="783" customFormat="false" ht="15" hidden="false" customHeight="false" outlineLevel="0" collapsed="false">
      <c r="A783" s="24"/>
      <c r="B783" s="27"/>
      <c r="C783" s="24"/>
      <c r="D783" s="28"/>
      <c r="E783" s="24"/>
      <c r="F783" s="24"/>
      <c r="G783" s="24"/>
      <c r="H783" s="24"/>
      <c r="I783" s="29" t="str">
        <f aca="false">IF($A783="","",COUNTIFS($H$2:$H$1001,$A783,$D$2:$D$1001,"Reuse"))</f>
        <v/>
      </c>
    </row>
    <row r="784" customFormat="false" ht="15" hidden="false" customHeight="false" outlineLevel="0" collapsed="false">
      <c r="A784" s="24"/>
      <c r="B784" s="27"/>
      <c r="C784" s="24"/>
      <c r="D784" s="28"/>
      <c r="E784" s="24"/>
      <c r="F784" s="24"/>
      <c r="G784" s="24"/>
      <c r="H784" s="24"/>
      <c r="I784" s="29" t="str">
        <f aca="false">IF($A784="","",COUNTIFS($H$2:$H$1001,$A784,$D$2:$D$1001,"Reuse"))</f>
        <v/>
      </c>
    </row>
    <row r="785" customFormat="false" ht="15" hidden="false" customHeight="false" outlineLevel="0" collapsed="false">
      <c r="A785" s="24"/>
      <c r="B785" s="27"/>
      <c r="C785" s="24"/>
      <c r="D785" s="28"/>
      <c r="E785" s="24"/>
      <c r="F785" s="24"/>
      <c r="G785" s="24"/>
      <c r="H785" s="24"/>
      <c r="I785" s="29" t="str">
        <f aca="false">IF($A785="","",COUNTIFS($H$2:$H$1001,$A785,$D$2:$D$1001,"Reuse"))</f>
        <v/>
      </c>
    </row>
    <row r="786" customFormat="false" ht="15" hidden="false" customHeight="false" outlineLevel="0" collapsed="false">
      <c r="A786" s="24"/>
      <c r="B786" s="27"/>
      <c r="C786" s="24"/>
      <c r="D786" s="28"/>
      <c r="E786" s="24"/>
      <c r="F786" s="24"/>
      <c r="G786" s="24"/>
      <c r="H786" s="24"/>
      <c r="I786" s="29" t="str">
        <f aca="false">IF($A786="","",COUNTIFS($H$2:$H$1001,$A786,$D$2:$D$1001,"Reuse"))</f>
        <v/>
      </c>
    </row>
    <row r="787" customFormat="false" ht="15" hidden="false" customHeight="false" outlineLevel="0" collapsed="false">
      <c r="A787" s="24"/>
      <c r="B787" s="27"/>
      <c r="C787" s="24"/>
      <c r="D787" s="28"/>
      <c r="E787" s="24"/>
      <c r="F787" s="24"/>
      <c r="G787" s="24"/>
      <c r="H787" s="24"/>
      <c r="I787" s="29" t="str">
        <f aca="false">IF($A787="","",COUNTIFS($H$2:$H$1001,$A787,$D$2:$D$1001,"Reuse"))</f>
        <v/>
      </c>
    </row>
    <row r="788" customFormat="false" ht="15" hidden="false" customHeight="false" outlineLevel="0" collapsed="false">
      <c r="A788" s="24"/>
      <c r="B788" s="27"/>
      <c r="C788" s="24"/>
      <c r="D788" s="28"/>
      <c r="E788" s="24"/>
      <c r="F788" s="24"/>
      <c r="G788" s="24"/>
      <c r="H788" s="24"/>
      <c r="I788" s="29" t="str">
        <f aca="false">IF($A788="","",COUNTIFS($H$2:$H$1001,$A788,$D$2:$D$1001,"Reuse"))</f>
        <v/>
      </c>
    </row>
    <row r="789" customFormat="false" ht="15" hidden="false" customHeight="false" outlineLevel="0" collapsed="false">
      <c r="A789" s="24"/>
      <c r="B789" s="27"/>
      <c r="C789" s="24"/>
      <c r="D789" s="28"/>
      <c r="E789" s="24"/>
      <c r="F789" s="24"/>
      <c r="G789" s="24"/>
      <c r="H789" s="24"/>
      <c r="I789" s="29" t="str">
        <f aca="false">IF($A789="","",COUNTIFS($H$2:$H$1001,$A789,$D$2:$D$1001,"Reuse"))</f>
        <v/>
      </c>
    </row>
    <row r="790" customFormat="false" ht="15" hidden="false" customHeight="false" outlineLevel="0" collapsed="false">
      <c r="A790" s="24"/>
      <c r="B790" s="27"/>
      <c r="C790" s="24"/>
      <c r="D790" s="28"/>
      <c r="E790" s="24"/>
      <c r="F790" s="24"/>
      <c r="G790" s="24"/>
      <c r="H790" s="24"/>
      <c r="I790" s="29" t="str">
        <f aca="false">IF($A790="","",COUNTIFS($H$2:$H$1001,$A790,$D$2:$D$1001,"Reuse"))</f>
        <v/>
      </c>
    </row>
    <row r="791" customFormat="false" ht="15" hidden="false" customHeight="false" outlineLevel="0" collapsed="false">
      <c r="A791" s="24"/>
      <c r="B791" s="27"/>
      <c r="C791" s="24"/>
      <c r="D791" s="28"/>
      <c r="E791" s="24"/>
      <c r="F791" s="24"/>
      <c r="G791" s="24"/>
      <c r="H791" s="24"/>
      <c r="I791" s="29" t="str">
        <f aca="false">IF($A791="","",COUNTIFS($H$2:$H$1001,$A791,$D$2:$D$1001,"Reuse"))</f>
        <v/>
      </c>
    </row>
    <row r="792" customFormat="false" ht="15" hidden="false" customHeight="false" outlineLevel="0" collapsed="false">
      <c r="A792" s="24"/>
      <c r="B792" s="27"/>
      <c r="C792" s="24"/>
      <c r="D792" s="28"/>
      <c r="E792" s="24"/>
      <c r="F792" s="24"/>
      <c r="G792" s="24"/>
      <c r="H792" s="24"/>
      <c r="I792" s="29" t="str">
        <f aca="false">IF($A792="","",COUNTIFS($H$2:$H$1001,$A792,$D$2:$D$1001,"Reuse"))</f>
        <v/>
      </c>
    </row>
    <row r="793" customFormat="false" ht="15" hidden="false" customHeight="false" outlineLevel="0" collapsed="false">
      <c r="A793" s="24"/>
      <c r="B793" s="27"/>
      <c r="C793" s="24"/>
      <c r="D793" s="28"/>
      <c r="E793" s="24"/>
      <c r="F793" s="24"/>
      <c r="G793" s="24"/>
      <c r="H793" s="24"/>
      <c r="I793" s="29" t="str">
        <f aca="false">IF($A793="","",COUNTIFS($H$2:$H$1001,$A793,$D$2:$D$1001,"Reuse"))</f>
        <v/>
      </c>
    </row>
    <row r="794" customFormat="false" ht="15" hidden="false" customHeight="false" outlineLevel="0" collapsed="false">
      <c r="A794" s="24"/>
      <c r="B794" s="27"/>
      <c r="C794" s="24"/>
      <c r="D794" s="28"/>
      <c r="E794" s="24"/>
      <c r="F794" s="24"/>
      <c r="G794" s="24"/>
      <c r="H794" s="24"/>
      <c r="I794" s="29" t="str">
        <f aca="false">IF($A794="","",COUNTIFS($H$2:$H$1001,$A794,$D$2:$D$1001,"Reuse"))</f>
        <v/>
      </c>
    </row>
    <row r="795" customFormat="false" ht="15" hidden="false" customHeight="false" outlineLevel="0" collapsed="false">
      <c r="A795" s="24"/>
      <c r="B795" s="27"/>
      <c r="C795" s="24"/>
      <c r="D795" s="28"/>
      <c r="E795" s="24"/>
      <c r="F795" s="24"/>
      <c r="G795" s="24"/>
      <c r="H795" s="24"/>
      <c r="I795" s="29" t="str">
        <f aca="false">IF($A795="","",COUNTIFS($H$2:$H$1001,$A795,$D$2:$D$1001,"Reuse"))</f>
        <v/>
      </c>
    </row>
    <row r="796" customFormat="false" ht="15" hidden="false" customHeight="false" outlineLevel="0" collapsed="false">
      <c r="A796" s="24"/>
      <c r="B796" s="27"/>
      <c r="C796" s="24"/>
      <c r="D796" s="28"/>
      <c r="E796" s="24"/>
      <c r="F796" s="24"/>
      <c r="G796" s="24"/>
      <c r="H796" s="24"/>
      <c r="I796" s="29" t="str">
        <f aca="false">IF($A796="","",COUNTIFS($H$2:$H$1001,$A796,$D$2:$D$1001,"Reuse"))</f>
        <v/>
      </c>
    </row>
    <row r="797" customFormat="false" ht="15" hidden="false" customHeight="false" outlineLevel="0" collapsed="false">
      <c r="A797" s="24"/>
      <c r="B797" s="27"/>
      <c r="C797" s="24"/>
      <c r="D797" s="28"/>
      <c r="E797" s="24"/>
      <c r="F797" s="24"/>
      <c r="G797" s="24"/>
      <c r="H797" s="24"/>
      <c r="I797" s="29" t="str">
        <f aca="false">IF($A797="","",COUNTIFS($H$2:$H$1001,$A797,$D$2:$D$1001,"Reuse"))</f>
        <v/>
      </c>
    </row>
    <row r="798" customFormat="false" ht="15" hidden="false" customHeight="false" outlineLevel="0" collapsed="false">
      <c r="A798" s="24"/>
      <c r="B798" s="27"/>
      <c r="C798" s="24"/>
      <c r="D798" s="28"/>
      <c r="E798" s="24"/>
      <c r="F798" s="24"/>
      <c r="G798" s="24"/>
      <c r="H798" s="24"/>
      <c r="I798" s="29" t="str">
        <f aca="false">IF($A798="","",COUNTIFS($H$2:$H$1001,$A798,$D$2:$D$1001,"Reuse"))</f>
        <v/>
      </c>
    </row>
    <row r="799" customFormat="false" ht="15" hidden="false" customHeight="false" outlineLevel="0" collapsed="false">
      <c r="A799" s="24"/>
      <c r="B799" s="27"/>
      <c r="C799" s="24"/>
      <c r="D799" s="28"/>
      <c r="E799" s="24"/>
      <c r="F799" s="24"/>
      <c r="G799" s="24"/>
      <c r="H799" s="24"/>
      <c r="I799" s="29" t="str">
        <f aca="false">IF($A799="","",COUNTIFS($H$2:$H$1001,$A799,$D$2:$D$1001,"Reuse"))</f>
        <v/>
      </c>
    </row>
    <row r="800" customFormat="false" ht="15" hidden="false" customHeight="false" outlineLevel="0" collapsed="false">
      <c r="A800" s="24"/>
      <c r="B800" s="27"/>
      <c r="C800" s="24"/>
      <c r="D800" s="28"/>
      <c r="E800" s="24"/>
      <c r="F800" s="24"/>
      <c r="G800" s="24"/>
      <c r="H800" s="24"/>
      <c r="I800" s="29" t="str">
        <f aca="false">IF($A800="","",COUNTIFS($H$2:$H$1001,$A800,$D$2:$D$1001,"Reuse"))</f>
        <v/>
      </c>
    </row>
    <row r="801" customFormat="false" ht="15" hidden="false" customHeight="false" outlineLevel="0" collapsed="false">
      <c r="A801" s="24"/>
      <c r="B801" s="27"/>
      <c r="C801" s="24"/>
      <c r="D801" s="28"/>
      <c r="E801" s="24"/>
      <c r="F801" s="24"/>
      <c r="G801" s="24"/>
      <c r="H801" s="24"/>
      <c r="I801" s="29" t="str">
        <f aca="false">IF($A801="","",COUNTIFS($H$2:$H$1001,$A801,$D$2:$D$1001,"Reuse"))</f>
        <v/>
      </c>
    </row>
    <row r="802" customFormat="false" ht="15" hidden="false" customHeight="false" outlineLevel="0" collapsed="false">
      <c r="A802" s="24"/>
      <c r="B802" s="27"/>
      <c r="C802" s="24"/>
      <c r="D802" s="28"/>
      <c r="E802" s="24"/>
      <c r="F802" s="24"/>
      <c r="G802" s="24"/>
      <c r="H802" s="24"/>
      <c r="I802" s="29" t="str">
        <f aca="false">IF($A802="","",COUNTIFS($H$2:$H$1001,$A802,$D$2:$D$1001,"Reuse"))</f>
        <v/>
      </c>
    </row>
    <row r="803" customFormat="false" ht="15" hidden="false" customHeight="false" outlineLevel="0" collapsed="false">
      <c r="A803" s="24"/>
      <c r="B803" s="27"/>
      <c r="C803" s="24"/>
      <c r="D803" s="28"/>
      <c r="E803" s="24"/>
      <c r="F803" s="24"/>
      <c r="G803" s="24"/>
      <c r="H803" s="24"/>
      <c r="I803" s="29" t="str">
        <f aca="false">IF($A803="","",COUNTIFS($H$2:$H$1001,$A803,$D$2:$D$1001,"Reuse"))</f>
        <v/>
      </c>
    </row>
    <row r="804" customFormat="false" ht="15" hidden="false" customHeight="false" outlineLevel="0" collapsed="false">
      <c r="A804" s="24"/>
      <c r="B804" s="27"/>
      <c r="C804" s="24"/>
      <c r="D804" s="28"/>
      <c r="E804" s="24"/>
      <c r="F804" s="24"/>
      <c r="G804" s="24"/>
      <c r="H804" s="24"/>
      <c r="I804" s="29" t="str">
        <f aca="false">IF($A804="","",COUNTIFS($H$2:$H$1001,$A804,$D$2:$D$1001,"Reuse"))</f>
        <v/>
      </c>
    </row>
    <row r="805" customFormat="false" ht="15" hidden="false" customHeight="false" outlineLevel="0" collapsed="false">
      <c r="A805" s="24"/>
      <c r="B805" s="27"/>
      <c r="C805" s="24"/>
      <c r="D805" s="28"/>
      <c r="E805" s="24"/>
      <c r="F805" s="24"/>
      <c r="G805" s="24"/>
      <c r="H805" s="24"/>
      <c r="I805" s="29" t="str">
        <f aca="false">IF($A805="","",COUNTIFS($H$2:$H$1001,$A805,$D$2:$D$1001,"Reuse"))</f>
        <v/>
      </c>
    </row>
    <row r="806" customFormat="false" ht="15" hidden="false" customHeight="false" outlineLevel="0" collapsed="false">
      <c r="A806" s="24"/>
      <c r="B806" s="27"/>
      <c r="C806" s="24"/>
      <c r="D806" s="28"/>
      <c r="E806" s="24"/>
      <c r="F806" s="24"/>
      <c r="G806" s="24"/>
      <c r="H806" s="24"/>
      <c r="I806" s="29" t="str">
        <f aca="false">IF($A806="","",COUNTIFS($H$2:$H$1001,$A806,$D$2:$D$1001,"Reuse"))</f>
        <v/>
      </c>
    </row>
    <row r="807" customFormat="false" ht="15" hidden="false" customHeight="false" outlineLevel="0" collapsed="false">
      <c r="A807" s="24"/>
      <c r="B807" s="27"/>
      <c r="C807" s="24"/>
      <c r="D807" s="28"/>
      <c r="E807" s="24"/>
      <c r="F807" s="24"/>
      <c r="G807" s="24"/>
      <c r="H807" s="24"/>
      <c r="I807" s="29" t="str">
        <f aca="false">IF($A807="","",COUNTIFS($H$2:$H$1001,$A807,$D$2:$D$1001,"Reuse"))</f>
        <v/>
      </c>
    </row>
    <row r="808" customFormat="false" ht="15" hidden="false" customHeight="false" outlineLevel="0" collapsed="false">
      <c r="A808" s="24"/>
      <c r="B808" s="27"/>
      <c r="C808" s="24"/>
      <c r="D808" s="28"/>
      <c r="E808" s="24"/>
      <c r="F808" s="24"/>
      <c r="G808" s="24"/>
      <c r="H808" s="24"/>
      <c r="I808" s="29" t="str">
        <f aca="false">IF($A808="","",COUNTIFS($H$2:$H$1001,$A808,$D$2:$D$1001,"Reuse"))</f>
        <v/>
      </c>
    </row>
    <row r="809" customFormat="false" ht="15" hidden="false" customHeight="false" outlineLevel="0" collapsed="false">
      <c r="A809" s="24"/>
      <c r="B809" s="27"/>
      <c r="C809" s="24"/>
      <c r="D809" s="28"/>
      <c r="E809" s="24"/>
      <c r="F809" s="24"/>
      <c r="G809" s="24"/>
      <c r="H809" s="24"/>
      <c r="I809" s="29" t="str">
        <f aca="false">IF($A809="","",COUNTIFS($H$2:$H$1001,$A809,$D$2:$D$1001,"Reuse"))</f>
        <v/>
      </c>
    </row>
    <row r="810" customFormat="false" ht="15" hidden="false" customHeight="false" outlineLevel="0" collapsed="false">
      <c r="A810" s="24"/>
      <c r="B810" s="27"/>
      <c r="C810" s="24"/>
      <c r="D810" s="28"/>
      <c r="E810" s="24"/>
      <c r="F810" s="24"/>
      <c r="G810" s="24"/>
      <c r="H810" s="24"/>
      <c r="I810" s="29" t="str">
        <f aca="false">IF($A810="","",COUNTIFS($H$2:$H$1001,$A810,$D$2:$D$1001,"Reuse"))</f>
        <v/>
      </c>
    </row>
    <row r="811" customFormat="false" ht="15" hidden="false" customHeight="false" outlineLevel="0" collapsed="false">
      <c r="A811" s="24"/>
      <c r="B811" s="27"/>
      <c r="C811" s="24"/>
      <c r="D811" s="28"/>
      <c r="E811" s="24"/>
      <c r="F811" s="24"/>
      <c r="G811" s="24"/>
      <c r="H811" s="24"/>
      <c r="I811" s="29" t="str">
        <f aca="false">IF($A811="","",COUNTIFS($H$2:$H$1001,$A811,$D$2:$D$1001,"Reuse"))</f>
        <v/>
      </c>
    </row>
    <row r="812" customFormat="false" ht="15" hidden="false" customHeight="false" outlineLevel="0" collapsed="false">
      <c r="A812" s="24"/>
      <c r="B812" s="27"/>
      <c r="C812" s="24"/>
      <c r="D812" s="28"/>
      <c r="E812" s="24"/>
      <c r="F812" s="24"/>
      <c r="G812" s="24"/>
      <c r="H812" s="24"/>
      <c r="I812" s="29" t="str">
        <f aca="false">IF($A812="","",COUNTIFS($H$2:$H$1001,$A812,$D$2:$D$1001,"Reuse"))</f>
        <v/>
      </c>
    </row>
    <row r="813" customFormat="false" ht="15" hidden="false" customHeight="false" outlineLevel="0" collapsed="false">
      <c r="A813" s="24"/>
      <c r="B813" s="27"/>
      <c r="C813" s="24"/>
      <c r="D813" s="28"/>
      <c r="E813" s="24"/>
      <c r="F813" s="24"/>
      <c r="G813" s="24"/>
      <c r="H813" s="24"/>
      <c r="I813" s="29" t="str">
        <f aca="false">IF($A813="","",COUNTIFS($H$2:$H$1001,$A813,$D$2:$D$1001,"Reuse"))</f>
        <v/>
      </c>
    </row>
    <row r="814" customFormat="false" ht="15" hidden="false" customHeight="false" outlineLevel="0" collapsed="false">
      <c r="A814" s="24"/>
      <c r="B814" s="27"/>
      <c r="C814" s="24"/>
      <c r="D814" s="28"/>
      <c r="E814" s="24"/>
      <c r="F814" s="24"/>
      <c r="G814" s="24"/>
      <c r="H814" s="24"/>
      <c r="I814" s="29" t="str">
        <f aca="false">IF($A814="","",COUNTIFS($H$2:$H$1001,$A814,$D$2:$D$1001,"Reuse"))</f>
        <v/>
      </c>
    </row>
    <row r="815" customFormat="false" ht="15" hidden="false" customHeight="false" outlineLevel="0" collapsed="false">
      <c r="A815" s="24"/>
      <c r="B815" s="27"/>
      <c r="C815" s="24"/>
      <c r="D815" s="28"/>
      <c r="E815" s="24"/>
      <c r="F815" s="24"/>
      <c r="G815" s="24"/>
      <c r="H815" s="24"/>
      <c r="I815" s="29" t="str">
        <f aca="false">IF($A815="","",COUNTIFS($H$2:$H$1001,$A815,$D$2:$D$1001,"Reuse"))</f>
        <v/>
      </c>
    </row>
    <row r="816" customFormat="false" ht="15" hidden="false" customHeight="false" outlineLevel="0" collapsed="false">
      <c r="A816" s="24"/>
      <c r="B816" s="27"/>
      <c r="C816" s="24"/>
      <c r="D816" s="28"/>
      <c r="E816" s="24"/>
      <c r="F816" s="24"/>
      <c r="G816" s="24"/>
      <c r="H816" s="24"/>
      <c r="I816" s="29" t="str">
        <f aca="false">IF($A816="","",COUNTIFS($H$2:$H$1001,$A816,$D$2:$D$1001,"Reuse"))</f>
        <v/>
      </c>
    </row>
    <row r="817" customFormat="false" ht="15" hidden="false" customHeight="false" outlineLevel="0" collapsed="false">
      <c r="A817" s="24"/>
      <c r="B817" s="27"/>
      <c r="C817" s="24"/>
      <c r="D817" s="28"/>
      <c r="E817" s="24"/>
      <c r="F817" s="24"/>
      <c r="G817" s="24"/>
      <c r="H817" s="24"/>
      <c r="I817" s="29" t="str">
        <f aca="false">IF($A817="","",COUNTIFS($H$2:$H$1001,$A817,$D$2:$D$1001,"Reuse"))</f>
        <v/>
      </c>
    </row>
    <row r="818" customFormat="false" ht="15" hidden="false" customHeight="false" outlineLevel="0" collapsed="false">
      <c r="A818" s="24"/>
      <c r="B818" s="27"/>
      <c r="C818" s="24"/>
      <c r="D818" s="28"/>
      <c r="E818" s="24"/>
      <c r="F818" s="24"/>
      <c r="G818" s="24"/>
      <c r="H818" s="24"/>
      <c r="I818" s="29" t="str">
        <f aca="false">IF($A818="","",COUNTIFS($H$2:$H$1001,$A818,$D$2:$D$1001,"Reuse"))</f>
        <v/>
      </c>
    </row>
    <row r="819" customFormat="false" ht="15" hidden="false" customHeight="false" outlineLevel="0" collapsed="false">
      <c r="A819" s="24"/>
      <c r="B819" s="27"/>
      <c r="C819" s="24"/>
      <c r="D819" s="28"/>
      <c r="E819" s="24"/>
      <c r="F819" s="24"/>
      <c r="G819" s="24"/>
      <c r="H819" s="24"/>
      <c r="I819" s="29" t="str">
        <f aca="false">IF($A819="","",COUNTIFS($H$2:$H$1001,$A819,$D$2:$D$1001,"Reuse"))</f>
        <v/>
      </c>
    </row>
    <row r="820" customFormat="false" ht="15" hidden="false" customHeight="false" outlineLevel="0" collapsed="false">
      <c r="A820" s="24"/>
      <c r="B820" s="27"/>
      <c r="C820" s="24"/>
      <c r="D820" s="28"/>
      <c r="E820" s="24"/>
      <c r="F820" s="24"/>
      <c r="G820" s="24"/>
      <c r="H820" s="24"/>
      <c r="I820" s="29" t="str">
        <f aca="false">IF($A820="","",COUNTIFS($H$2:$H$1001,$A820,$D$2:$D$1001,"Reuse"))</f>
        <v/>
      </c>
    </row>
    <row r="821" customFormat="false" ht="15" hidden="false" customHeight="false" outlineLevel="0" collapsed="false">
      <c r="A821" s="24"/>
      <c r="B821" s="27"/>
      <c r="C821" s="24"/>
      <c r="D821" s="28"/>
      <c r="E821" s="24"/>
      <c r="F821" s="24"/>
      <c r="G821" s="24"/>
      <c r="H821" s="24"/>
      <c r="I821" s="29" t="str">
        <f aca="false">IF($A821="","",COUNTIFS($H$2:$H$1001,$A821,$D$2:$D$1001,"Reuse"))</f>
        <v/>
      </c>
    </row>
    <row r="822" customFormat="false" ht="15" hidden="false" customHeight="false" outlineLevel="0" collapsed="false">
      <c r="A822" s="24"/>
      <c r="B822" s="27"/>
      <c r="C822" s="24"/>
      <c r="D822" s="28"/>
      <c r="E822" s="24"/>
      <c r="F822" s="24"/>
      <c r="G822" s="24"/>
      <c r="H822" s="24"/>
      <c r="I822" s="29" t="str">
        <f aca="false">IF($A822="","",COUNTIFS($H$2:$H$1001,$A822,$D$2:$D$1001,"Reuse"))</f>
        <v/>
      </c>
    </row>
    <row r="823" customFormat="false" ht="15" hidden="false" customHeight="false" outlineLevel="0" collapsed="false">
      <c r="A823" s="24"/>
      <c r="B823" s="27"/>
      <c r="C823" s="24"/>
      <c r="D823" s="28"/>
      <c r="E823" s="24"/>
      <c r="F823" s="24"/>
      <c r="G823" s="24"/>
      <c r="H823" s="24"/>
      <c r="I823" s="29" t="str">
        <f aca="false">IF($A823="","",COUNTIFS($H$2:$H$1001,$A823,$D$2:$D$1001,"Reuse"))</f>
        <v/>
      </c>
    </row>
    <row r="824" customFormat="false" ht="15" hidden="false" customHeight="false" outlineLevel="0" collapsed="false">
      <c r="A824" s="24"/>
      <c r="B824" s="27"/>
      <c r="C824" s="24"/>
      <c r="D824" s="28"/>
      <c r="E824" s="24"/>
      <c r="F824" s="24"/>
      <c r="G824" s="24"/>
      <c r="H824" s="24"/>
      <c r="I824" s="29" t="str">
        <f aca="false">IF($A824="","",COUNTIFS($H$2:$H$1001,$A824,$D$2:$D$1001,"Reuse"))</f>
        <v/>
      </c>
    </row>
    <row r="825" customFormat="false" ht="15" hidden="false" customHeight="false" outlineLevel="0" collapsed="false">
      <c r="A825" s="24"/>
      <c r="B825" s="27"/>
      <c r="C825" s="24"/>
      <c r="D825" s="28"/>
      <c r="E825" s="24"/>
      <c r="F825" s="24"/>
      <c r="G825" s="24"/>
      <c r="H825" s="24"/>
      <c r="I825" s="29" t="str">
        <f aca="false">IF($A825="","",COUNTIFS($H$2:$H$1001,$A825,$D$2:$D$1001,"Reuse"))</f>
        <v/>
      </c>
    </row>
    <row r="826" customFormat="false" ht="15" hidden="false" customHeight="false" outlineLevel="0" collapsed="false">
      <c r="A826" s="24"/>
      <c r="B826" s="27"/>
      <c r="C826" s="24"/>
      <c r="D826" s="28"/>
      <c r="E826" s="24"/>
      <c r="F826" s="24"/>
      <c r="G826" s="24"/>
      <c r="H826" s="24"/>
      <c r="I826" s="29" t="str">
        <f aca="false">IF($A826="","",COUNTIFS($H$2:$H$1001,$A826,$D$2:$D$1001,"Reuse"))</f>
        <v/>
      </c>
    </row>
    <row r="827" customFormat="false" ht="15" hidden="false" customHeight="false" outlineLevel="0" collapsed="false">
      <c r="A827" s="24"/>
      <c r="B827" s="27"/>
      <c r="C827" s="24"/>
      <c r="D827" s="28"/>
      <c r="E827" s="24"/>
      <c r="F827" s="24"/>
      <c r="G827" s="24"/>
      <c r="H827" s="24"/>
      <c r="I827" s="29" t="str">
        <f aca="false">IF($A827="","",COUNTIFS($H$2:$H$1001,$A827,$D$2:$D$1001,"Reuse"))</f>
        <v/>
      </c>
    </row>
    <row r="828" customFormat="false" ht="15" hidden="false" customHeight="false" outlineLevel="0" collapsed="false">
      <c r="A828" s="24"/>
      <c r="B828" s="27"/>
      <c r="C828" s="24"/>
      <c r="D828" s="28"/>
      <c r="E828" s="24"/>
      <c r="F828" s="24"/>
      <c r="G828" s="24"/>
      <c r="H828" s="24"/>
      <c r="I828" s="29" t="str">
        <f aca="false">IF($A828="","",COUNTIFS($H$2:$H$1001,$A828,$D$2:$D$1001,"Reuse"))</f>
        <v/>
      </c>
    </row>
    <row r="829" customFormat="false" ht="15" hidden="false" customHeight="false" outlineLevel="0" collapsed="false">
      <c r="A829" s="24"/>
      <c r="B829" s="27"/>
      <c r="C829" s="24"/>
      <c r="D829" s="28"/>
      <c r="E829" s="24"/>
      <c r="F829" s="24"/>
      <c r="G829" s="24"/>
      <c r="H829" s="24"/>
      <c r="I829" s="29" t="str">
        <f aca="false">IF($A829="","",COUNTIFS($H$2:$H$1001,$A829,$D$2:$D$1001,"Reuse"))</f>
        <v/>
      </c>
    </row>
    <row r="830" customFormat="false" ht="15" hidden="false" customHeight="false" outlineLevel="0" collapsed="false">
      <c r="A830" s="24"/>
      <c r="B830" s="27"/>
      <c r="C830" s="24"/>
      <c r="D830" s="28"/>
      <c r="E830" s="24"/>
      <c r="F830" s="24"/>
      <c r="G830" s="24"/>
      <c r="H830" s="24"/>
      <c r="I830" s="29" t="str">
        <f aca="false">IF($A830="","",COUNTIFS($H$2:$H$1001,$A830,$D$2:$D$1001,"Reuse"))</f>
        <v/>
      </c>
    </row>
    <row r="831" customFormat="false" ht="15" hidden="false" customHeight="false" outlineLevel="0" collapsed="false">
      <c r="A831" s="24"/>
      <c r="B831" s="27"/>
      <c r="C831" s="24"/>
      <c r="D831" s="28"/>
      <c r="E831" s="24"/>
      <c r="F831" s="24"/>
      <c r="G831" s="24"/>
      <c r="H831" s="24"/>
      <c r="I831" s="29" t="str">
        <f aca="false">IF($A831="","",COUNTIFS($H$2:$H$1001,$A831,$D$2:$D$1001,"Reuse"))</f>
        <v/>
      </c>
    </row>
    <row r="832" customFormat="false" ht="15" hidden="false" customHeight="false" outlineLevel="0" collapsed="false">
      <c r="A832" s="24"/>
      <c r="B832" s="27"/>
      <c r="C832" s="24"/>
      <c r="D832" s="28"/>
      <c r="E832" s="24"/>
      <c r="F832" s="24"/>
      <c r="G832" s="24"/>
      <c r="H832" s="24"/>
      <c r="I832" s="29" t="str">
        <f aca="false">IF($A832="","",COUNTIFS($H$2:$H$1001,$A832,$D$2:$D$1001,"Reuse"))</f>
        <v/>
      </c>
    </row>
    <row r="833" customFormat="false" ht="15" hidden="false" customHeight="false" outlineLevel="0" collapsed="false">
      <c r="A833" s="24"/>
      <c r="B833" s="27"/>
      <c r="C833" s="24"/>
      <c r="D833" s="28"/>
      <c r="E833" s="24"/>
      <c r="F833" s="24"/>
      <c r="G833" s="24"/>
      <c r="H833" s="24"/>
      <c r="I833" s="29" t="str">
        <f aca="false">IF($A833="","",COUNTIFS($H$2:$H$1001,$A833,$D$2:$D$1001,"Reuse"))</f>
        <v/>
      </c>
    </row>
    <row r="834" customFormat="false" ht="15" hidden="false" customHeight="false" outlineLevel="0" collapsed="false">
      <c r="A834" s="24"/>
      <c r="B834" s="27"/>
      <c r="C834" s="24"/>
      <c r="D834" s="28"/>
      <c r="E834" s="24"/>
      <c r="F834" s="24"/>
      <c r="G834" s="24"/>
      <c r="H834" s="24"/>
      <c r="I834" s="29" t="str">
        <f aca="false">IF($A834="","",COUNTIFS($H$2:$H$1001,$A834,$D$2:$D$1001,"Reuse"))</f>
        <v/>
      </c>
    </row>
    <row r="835" customFormat="false" ht="15" hidden="false" customHeight="false" outlineLevel="0" collapsed="false">
      <c r="A835" s="24"/>
      <c r="B835" s="27"/>
      <c r="C835" s="24"/>
      <c r="D835" s="28"/>
      <c r="E835" s="24"/>
      <c r="F835" s="24"/>
      <c r="G835" s="24"/>
      <c r="H835" s="24"/>
      <c r="I835" s="29" t="str">
        <f aca="false">IF($A835="","",COUNTIFS($H$2:$H$1001,$A835,$D$2:$D$1001,"Reuse"))</f>
        <v/>
      </c>
    </row>
    <row r="836" customFormat="false" ht="15" hidden="false" customHeight="false" outlineLevel="0" collapsed="false">
      <c r="A836" s="24"/>
      <c r="B836" s="27"/>
      <c r="C836" s="24"/>
      <c r="D836" s="28"/>
      <c r="E836" s="24"/>
      <c r="F836" s="24"/>
      <c r="G836" s="24"/>
      <c r="H836" s="24"/>
      <c r="I836" s="29" t="str">
        <f aca="false">IF($A836="","",COUNTIFS($H$2:$H$1001,$A836,$D$2:$D$1001,"Reuse"))</f>
        <v/>
      </c>
    </row>
    <row r="837" customFormat="false" ht="15" hidden="false" customHeight="false" outlineLevel="0" collapsed="false">
      <c r="A837" s="24"/>
      <c r="B837" s="27"/>
      <c r="C837" s="24"/>
      <c r="D837" s="28"/>
      <c r="E837" s="24"/>
      <c r="F837" s="24"/>
      <c r="G837" s="24"/>
      <c r="H837" s="24"/>
      <c r="I837" s="29" t="str">
        <f aca="false">IF($A837="","",COUNTIFS($H$2:$H$1001,$A837,$D$2:$D$1001,"Reuse"))</f>
        <v/>
      </c>
    </row>
    <row r="838" customFormat="false" ht="15" hidden="false" customHeight="false" outlineLevel="0" collapsed="false">
      <c r="A838" s="24"/>
      <c r="B838" s="27"/>
      <c r="C838" s="24"/>
      <c r="D838" s="28"/>
      <c r="E838" s="24"/>
      <c r="F838" s="24"/>
      <c r="G838" s="24"/>
      <c r="H838" s="24"/>
      <c r="I838" s="29" t="str">
        <f aca="false">IF($A838="","",COUNTIFS($H$2:$H$1001,$A838,$D$2:$D$1001,"Reuse"))</f>
        <v/>
      </c>
    </row>
    <row r="839" customFormat="false" ht="15" hidden="false" customHeight="false" outlineLevel="0" collapsed="false">
      <c r="A839" s="24"/>
      <c r="B839" s="27"/>
      <c r="C839" s="24"/>
      <c r="D839" s="28"/>
      <c r="E839" s="24"/>
      <c r="F839" s="24"/>
      <c r="G839" s="24"/>
      <c r="H839" s="24"/>
      <c r="I839" s="29" t="str">
        <f aca="false">IF($A839="","",COUNTIFS($H$2:$H$1001,$A839,$D$2:$D$1001,"Reuse"))</f>
        <v/>
      </c>
    </row>
    <row r="840" customFormat="false" ht="15" hidden="false" customHeight="false" outlineLevel="0" collapsed="false">
      <c r="A840" s="24"/>
      <c r="B840" s="27"/>
      <c r="C840" s="24"/>
      <c r="D840" s="28"/>
      <c r="E840" s="24"/>
      <c r="F840" s="24"/>
      <c r="G840" s="24"/>
      <c r="H840" s="24"/>
      <c r="I840" s="29" t="str">
        <f aca="false">IF($A840="","",COUNTIFS($H$2:$H$1001,$A840,$D$2:$D$1001,"Reuse"))</f>
        <v/>
      </c>
    </row>
    <row r="841" customFormat="false" ht="15" hidden="false" customHeight="false" outlineLevel="0" collapsed="false">
      <c r="A841" s="24"/>
      <c r="B841" s="27"/>
      <c r="C841" s="24"/>
      <c r="D841" s="28"/>
      <c r="E841" s="24"/>
      <c r="F841" s="24"/>
      <c r="G841" s="24"/>
      <c r="H841" s="24"/>
      <c r="I841" s="29" t="str">
        <f aca="false">IF($A841="","",COUNTIFS($H$2:$H$1001,$A841,$D$2:$D$1001,"Reuse"))</f>
        <v/>
      </c>
    </row>
    <row r="842" customFormat="false" ht="15" hidden="false" customHeight="false" outlineLevel="0" collapsed="false">
      <c r="A842" s="24"/>
      <c r="B842" s="27"/>
      <c r="C842" s="24"/>
      <c r="D842" s="28"/>
      <c r="E842" s="24"/>
      <c r="F842" s="24"/>
      <c r="G842" s="24"/>
      <c r="H842" s="24"/>
      <c r="I842" s="29" t="str">
        <f aca="false">IF($A842="","",COUNTIFS($H$2:$H$1001,$A842,$D$2:$D$1001,"Reuse"))</f>
        <v/>
      </c>
    </row>
    <row r="843" customFormat="false" ht="15" hidden="false" customHeight="false" outlineLevel="0" collapsed="false">
      <c r="A843" s="24"/>
      <c r="B843" s="27"/>
      <c r="C843" s="24"/>
      <c r="D843" s="28"/>
      <c r="E843" s="24"/>
      <c r="F843" s="24"/>
      <c r="G843" s="24"/>
      <c r="H843" s="24"/>
      <c r="I843" s="29" t="str">
        <f aca="false">IF($A843="","",COUNTIFS($H$2:$H$1001,$A843,$D$2:$D$1001,"Reuse"))</f>
        <v/>
      </c>
    </row>
    <row r="844" customFormat="false" ht="15" hidden="false" customHeight="false" outlineLevel="0" collapsed="false">
      <c r="A844" s="24"/>
      <c r="B844" s="27"/>
      <c r="C844" s="24"/>
      <c r="D844" s="28"/>
      <c r="E844" s="24"/>
      <c r="F844" s="24"/>
      <c r="G844" s="24"/>
      <c r="H844" s="24"/>
      <c r="I844" s="29" t="str">
        <f aca="false">IF($A844="","",COUNTIFS($H$2:$H$1001,$A844,$D$2:$D$1001,"Reuse"))</f>
        <v/>
      </c>
    </row>
    <row r="845" customFormat="false" ht="15" hidden="false" customHeight="false" outlineLevel="0" collapsed="false">
      <c r="A845" s="24"/>
      <c r="B845" s="27"/>
      <c r="C845" s="24"/>
      <c r="D845" s="28"/>
      <c r="E845" s="24"/>
      <c r="F845" s="24"/>
      <c r="G845" s="24"/>
      <c r="H845" s="24"/>
      <c r="I845" s="29" t="str">
        <f aca="false">IF($A845="","",COUNTIFS($H$2:$H$1001,$A845,$D$2:$D$1001,"Reuse"))</f>
        <v/>
      </c>
    </row>
    <row r="846" customFormat="false" ht="15" hidden="false" customHeight="false" outlineLevel="0" collapsed="false">
      <c r="A846" s="24"/>
      <c r="B846" s="27"/>
      <c r="C846" s="24"/>
      <c r="D846" s="28"/>
      <c r="E846" s="24"/>
      <c r="F846" s="24"/>
      <c r="G846" s="24"/>
      <c r="H846" s="24"/>
      <c r="I846" s="29" t="str">
        <f aca="false">IF($A846="","",COUNTIFS($H$2:$H$1001,$A846,$D$2:$D$1001,"Reuse"))</f>
        <v/>
      </c>
    </row>
    <row r="847" customFormat="false" ht="15" hidden="false" customHeight="false" outlineLevel="0" collapsed="false">
      <c r="A847" s="24"/>
      <c r="B847" s="27"/>
      <c r="C847" s="24"/>
      <c r="D847" s="28"/>
      <c r="E847" s="24"/>
      <c r="F847" s="24"/>
      <c r="G847" s="24"/>
      <c r="H847" s="24"/>
      <c r="I847" s="29" t="str">
        <f aca="false">IF($A847="","",COUNTIFS($H$2:$H$1001,$A847,$D$2:$D$1001,"Reuse"))</f>
        <v/>
      </c>
    </row>
    <row r="848" customFormat="false" ht="15" hidden="false" customHeight="false" outlineLevel="0" collapsed="false">
      <c r="A848" s="24"/>
      <c r="B848" s="27"/>
      <c r="C848" s="24"/>
      <c r="D848" s="28"/>
      <c r="E848" s="24"/>
      <c r="F848" s="24"/>
      <c r="G848" s="24"/>
      <c r="H848" s="24"/>
      <c r="I848" s="29" t="str">
        <f aca="false">IF($A848="","",COUNTIFS($H$2:$H$1001,$A848,$D$2:$D$1001,"Reuse"))</f>
        <v/>
      </c>
    </row>
    <row r="849" customFormat="false" ht="15" hidden="false" customHeight="false" outlineLevel="0" collapsed="false">
      <c r="A849" s="24"/>
      <c r="B849" s="27"/>
      <c r="C849" s="24"/>
      <c r="D849" s="28"/>
      <c r="E849" s="24"/>
      <c r="F849" s="24"/>
      <c r="G849" s="24"/>
      <c r="H849" s="24"/>
      <c r="I849" s="29" t="str">
        <f aca="false">IF($A849="","",COUNTIFS($H$2:$H$1001,$A849,$D$2:$D$1001,"Reuse"))</f>
        <v/>
      </c>
    </row>
    <row r="850" customFormat="false" ht="15" hidden="false" customHeight="false" outlineLevel="0" collapsed="false">
      <c r="A850" s="24"/>
      <c r="B850" s="27"/>
      <c r="C850" s="24"/>
      <c r="D850" s="28"/>
      <c r="E850" s="24"/>
      <c r="F850" s="24"/>
      <c r="G850" s="24"/>
      <c r="H850" s="24"/>
      <c r="I850" s="29" t="str">
        <f aca="false">IF($A850="","",COUNTIFS($H$2:$H$1001,$A850,$D$2:$D$1001,"Reuse"))</f>
        <v/>
      </c>
    </row>
    <row r="851" customFormat="false" ht="15" hidden="false" customHeight="false" outlineLevel="0" collapsed="false">
      <c r="A851" s="24"/>
      <c r="B851" s="27"/>
      <c r="C851" s="24"/>
      <c r="D851" s="28"/>
      <c r="E851" s="24"/>
      <c r="F851" s="24"/>
      <c r="G851" s="24"/>
      <c r="H851" s="24"/>
      <c r="I851" s="29" t="str">
        <f aca="false">IF($A851="","",COUNTIFS($H$2:$H$1001,$A851,$D$2:$D$1001,"Reuse"))</f>
        <v/>
      </c>
    </row>
    <row r="852" customFormat="false" ht="15" hidden="false" customHeight="false" outlineLevel="0" collapsed="false">
      <c r="A852" s="24"/>
      <c r="B852" s="27"/>
      <c r="C852" s="24"/>
      <c r="D852" s="28"/>
      <c r="E852" s="24"/>
      <c r="F852" s="24"/>
      <c r="G852" s="24"/>
      <c r="H852" s="24"/>
      <c r="I852" s="29" t="str">
        <f aca="false">IF($A852="","",COUNTIFS($H$2:$H$1001,$A852,$D$2:$D$1001,"Reuse"))</f>
        <v/>
      </c>
    </row>
    <row r="853" customFormat="false" ht="15" hidden="false" customHeight="false" outlineLevel="0" collapsed="false">
      <c r="A853" s="24"/>
      <c r="B853" s="27"/>
      <c r="C853" s="24"/>
      <c r="D853" s="28"/>
      <c r="E853" s="24"/>
      <c r="F853" s="24"/>
      <c r="G853" s="24"/>
      <c r="H853" s="24"/>
      <c r="I853" s="29" t="str">
        <f aca="false">IF($A853="","",COUNTIFS($H$2:$H$1001,$A853,$D$2:$D$1001,"Reuse"))</f>
        <v/>
      </c>
    </row>
    <row r="854" customFormat="false" ht="15" hidden="false" customHeight="false" outlineLevel="0" collapsed="false">
      <c r="A854" s="24"/>
      <c r="B854" s="27"/>
      <c r="C854" s="24"/>
      <c r="D854" s="28"/>
      <c r="E854" s="24"/>
      <c r="F854" s="24"/>
      <c r="G854" s="24"/>
      <c r="H854" s="24"/>
      <c r="I854" s="29" t="str">
        <f aca="false">IF($A854="","",COUNTIFS($H$2:$H$1001,$A854,$D$2:$D$1001,"Reuse"))</f>
        <v/>
      </c>
    </row>
    <row r="855" customFormat="false" ht="15" hidden="false" customHeight="false" outlineLevel="0" collapsed="false">
      <c r="A855" s="24"/>
      <c r="B855" s="27"/>
      <c r="C855" s="24"/>
      <c r="D855" s="28"/>
      <c r="E855" s="24"/>
      <c r="F855" s="24"/>
      <c r="G855" s="24"/>
      <c r="H855" s="24"/>
      <c r="I855" s="29" t="str">
        <f aca="false">IF($A855="","",COUNTIFS($H$2:$H$1001,$A855,$D$2:$D$1001,"Reuse"))</f>
        <v/>
      </c>
    </row>
    <row r="856" customFormat="false" ht="15" hidden="false" customHeight="false" outlineLevel="0" collapsed="false">
      <c r="A856" s="24"/>
      <c r="B856" s="27"/>
      <c r="C856" s="24"/>
      <c r="D856" s="28"/>
      <c r="E856" s="24"/>
      <c r="F856" s="24"/>
      <c r="G856" s="24"/>
      <c r="H856" s="24"/>
      <c r="I856" s="29" t="str">
        <f aca="false">IF($A856="","",COUNTIFS($H$2:$H$1001,$A856,$D$2:$D$1001,"Reuse"))</f>
        <v/>
      </c>
    </row>
    <row r="857" customFormat="false" ht="15" hidden="false" customHeight="false" outlineLevel="0" collapsed="false">
      <c r="A857" s="24"/>
      <c r="B857" s="27"/>
      <c r="C857" s="24"/>
      <c r="D857" s="28"/>
      <c r="E857" s="24"/>
      <c r="F857" s="24"/>
      <c r="G857" s="24"/>
      <c r="H857" s="24"/>
      <c r="I857" s="29" t="str">
        <f aca="false">IF($A857="","",COUNTIFS($H$2:$H$1001,$A857,$D$2:$D$1001,"Reuse"))</f>
        <v/>
      </c>
    </row>
    <row r="858" customFormat="false" ht="15" hidden="false" customHeight="false" outlineLevel="0" collapsed="false">
      <c r="A858" s="24"/>
      <c r="B858" s="27"/>
      <c r="C858" s="24"/>
      <c r="D858" s="28"/>
      <c r="E858" s="24"/>
      <c r="F858" s="24"/>
      <c r="G858" s="24"/>
      <c r="H858" s="24"/>
      <c r="I858" s="29" t="str">
        <f aca="false">IF($A858="","",COUNTIFS($H$2:$H$1001,$A858,$D$2:$D$1001,"Reuse"))</f>
        <v/>
      </c>
    </row>
    <row r="859" customFormat="false" ht="15" hidden="false" customHeight="false" outlineLevel="0" collapsed="false">
      <c r="A859" s="24"/>
      <c r="B859" s="27"/>
      <c r="C859" s="24"/>
      <c r="D859" s="28"/>
      <c r="E859" s="24"/>
      <c r="F859" s="24"/>
      <c r="G859" s="24"/>
      <c r="H859" s="24"/>
      <c r="I859" s="29" t="str">
        <f aca="false">IF($A859="","",COUNTIFS($H$2:$H$1001,$A859,$D$2:$D$1001,"Reuse"))</f>
        <v/>
      </c>
    </row>
    <row r="860" customFormat="false" ht="15" hidden="false" customHeight="false" outlineLevel="0" collapsed="false">
      <c r="A860" s="24"/>
      <c r="B860" s="27"/>
      <c r="C860" s="24"/>
      <c r="D860" s="28"/>
      <c r="E860" s="24"/>
      <c r="F860" s="24"/>
      <c r="G860" s="24"/>
      <c r="H860" s="24"/>
      <c r="I860" s="29" t="str">
        <f aca="false">IF($A860="","",COUNTIFS($H$2:$H$1001,$A860,$D$2:$D$1001,"Reuse"))</f>
        <v/>
      </c>
    </row>
    <row r="861" customFormat="false" ht="15" hidden="false" customHeight="false" outlineLevel="0" collapsed="false">
      <c r="A861" s="24"/>
      <c r="B861" s="27"/>
      <c r="C861" s="24"/>
      <c r="D861" s="28"/>
      <c r="E861" s="24"/>
      <c r="F861" s="24"/>
      <c r="G861" s="24"/>
      <c r="H861" s="24"/>
      <c r="I861" s="29" t="str">
        <f aca="false">IF($A861="","",COUNTIFS($H$2:$H$1001,$A861,$D$2:$D$1001,"Reuse"))</f>
        <v/>
      </c>
    </row>
    <row r="862" customFormat="false" ht="15" hidden="false" customHeight="false" outlineLevel="0" collapsed="false">
      <c r="A862" s="24"/>
      <c r="B862" s="27"/>
      <c r="C862" s="24"/>
      <c r="D862" s="28"/>
      <c r="E862" s="24"/>
      <c r="F862" s="24"/>
      <c r="G862" s="24"/>
      <c r="H862" s="24"/>
      <c r="I862" s="29" t="str">
        <f aca="false">IF($A862="","",COUNTIFS($H$2:$H$1001,$A862,$D$2:$D$1001,"Reuse"))</f>
        <v/>
      </c>
    </row>
    <row r="863" customFormat="false" ht="15" hidden="false" customHeight="false" outlineLevel="0" collapsed="false">
      <c r="A863" s="24"/>
      <c r="B863" s="27"/>
      <c r="C863" s="24"/>
      <c r="D863" s="28"/>
      <c r="E863" s="24"/>
      <c r="F863" s="24"/>
      <c r="G863" s="24"/>
      <c r="H863" s="24"/>
      <c r="I863" s="29" t="str">
        <f aca="false">IF($A863="","",COUNTIFS($H$2:$H$1001,$A863,$D$2:$D$1001,"Reuse"))</f>
        <v/>
      </c>
    </row>
    <row r="864" customFormat="false" ht="15" hidden="false" customHeight="false" outlineLevel="0" collapsed="false">
      <c r="A864" s="24"/>
      <c r="B864" s="27"/>
      <c r="C864" s="24"/>
      <c r="D864" s="28"/>
      <c r="E864" s="24"/>
      <c r="F864" s="24"/>
      <c r="G864" s="24"/>
      <c r="H864" s="24"/>
      <c r="I864" s="29" t="str">
        <f aca="false">IF($A864="","",COUNTIFS($H$2:$H$1001,$A864,$D$2:$D$1001,"Reuse"))</f>
        <v/>
      </c>
    </row>
    <row r="865" customFormat="false" ht="15" hidden="false" customHeight="false" outlineLevel="0" collapsed="false">
      <c r="A865" s="24"/>
      <c r="B865" s="27"/>
      <c r="C865" s="24"/>
      <c r="D865" s="28"/>
      <c r="E865" s="24"/>
      <c r="F865" s="24"/>
      <c r="G865" s="24"/>
      <c r="H865" s="24"/>
      <c r="I865" s="29" t="str">
        <f aca="false">IF($A865="","",COUNTIFS($H$2:$H$1001,$A865,$D$2:$D$1001,"Reuse"))</f>
        <v/>
      </c>
    </row>
    <row r="866" customFormat="false" ht="15" hidden="false" customHeight="false" outlineLevel="0" collapsed="false">
      <c r="A866" s="24"/>
      <c r="B866" s="27"/>
      <c r="C866" s="24"/>
      <c r="D866" s="28"/>
      <c r="E866" s="24"/>
      <c r="F866" s="24"/>
      <c r="G866" s="24"/>
      <c r="H866" s="24"/>
      <c r="I866" s="29" t="str">
        <f aca="false">IF($A866="","",COUNTIFS($H$2:$H$1001,$A866,$D$2:$D$1001,"Reuse"))</f>
        <v/>
      </c>
    </row>
    <row r="867" customFormat="false" ht="15" hidden="false" customHeight="false" outlineLevel="0" collapsed="false">
      <c r="A867" s="24"/>
      <c r="B867" s="27"/>
      <c r="C867" s="24"/>
      <c r="D867" s="28"/>
      <c r="E867" s="24"/>
      <c r="F867" s="24"/>
      <c r="G867" s="24"/>
      <c r="H867" s="24"/>
      <c r="I867" s="29" t="str">
        <f aca="false">IF($A867="","",COUNTIFS($H$2:$H$1001,$A867,$D$2:$D$1001,"Reuse"))</f>
        <v/>
      </c>
    </row>
    <row r="868" customFormat="false" ht="15" hidden="false" customHeight="false" outlineLevel="0" collapsed="false">
      <c r="A868" s="24"/>
      <c r="B868" s="27"/>
      <c r="C868" s="24"/>
      <c r="D868" s="28"/>
      <c r="E868" s="24"/>
      <c r="F868" s="24"/>
      <c r="G868" s="24"/>
      <c r="H868" s="24"/>
      <c r="I868" s="29" t="str">
        <f aca="false">IF($A868="","",COUNTIFS($H$2:$H$1001,$A868,$D$2:$D$1001,"Reuse"))</f>
        <v/>
      </c>
    </row>
    <row r="869" customFormat="false" ht="15" hidden="false" customHeight="false" outlineLevel="0" collapsed="false">
      <c r="A869" s="24"/>
      <c r="B869" s="27"/>
      <c r="C869" s="24"/>
      <c r="D869" s="28"/>
      <c r="E869" s="24"/>
      <c r="F869" s="24"/>
      <c r="G869" s="24"/>
      <c r="H869" s="24"/>
      <c r="I869" s="29" t="str">
        <f aca="false">IF($A869="","",COUNTIFS($H$2:$H$1001,$A869,$D$2:$D$1001,"Reuse"))</f>
        <v/>
      </c>
    </row>
    <row r="870" customFormat="false" ht="15" hidden="false" customHeight="false" outlineLevel="0" collapsed="false">
      <c r="A870" s="24"/>
      <c r="B870" s="27"/>
      <c r="C870" s="24"/>
      <c r="D870" s="28"/>
      <c r="E870" s="24"/>
      <c r="F870" s="24"/>
      <c r="G870" s="24"/>
      <c r="H870" s="24"/>
      <c r="I870" s="29" t="str">
        <f aca="false">IF($A870="","",COUNTIFS($H$2:$H$1001,$A870,$D$2:$D$1001,"Reuse"))</f>
        <v/>
      </c>
    </row>
    <row r="871" customFormat="false" ht="15" hidden="false" customHeight="false" outlineLevel="0" collapsed="false">
      <c r="A871" s="24"/>
      <c r="B871" s="27"/>
      <c r="C871" s="24"/>
      <c r="D871" s="28"/>
      <c r="E871" s="24"/>
      <c r="F871" s="24"/>
      <c r="G871" s="24"/>
      <c r="H871" s="24"/>
      <c r="I871" s="29" t="str">
        <f aca="false">IF($A871="","",COUNTIFS($H$2:$H$1001,$A871,$D$2:$D$1001,"Reuse"))</f>
        <v/>
      </c>
    </row>
    <row r="872" customFormat="false" ht="15" hidden="false" customHeight="false" outlineLevel="0" collapsed="false">
      <c r="A872" s="24"/>
      <c r="B872" s="27"/>
      <c r="C872" s="24"/>
      <c r="D872" s="28"/>
      <c r="E872" s="24"/>
      <c r="F872" s="24"/>
      <c r="G872" s="24"/>
      <c r="H872" s="24"/>
      <c r="I872" s="29" t="str">
        <f aca="false">IF($A872="","",COUNTIFS($H$2:$H$1001,$A872,$D$2:$D$1001,"Reuse"))</f>
        <v/>
      </c>
    </row>
    <row r="873" customFormat="false" ht="15" hidden="false" customHeight="false" outlineLevel="0" collapsed="false">
      <c r="A873" s="24"/>
      <c r="B873" s="27"/>
      <c r="C873" s="24"/>
      <c r="D873" s="28"/>
      <c r="E873" s="24"/>
      <c r="F873" s="24"/>
      <c r="G873" s="24"/>
      <c r="H873" s="24"/>
      <c r="I873" s="29" t="str">
        <f aca="false">IF($A873="","",COUNTIFS($H$2:$H$1001,$A873,$D$2:$D$1001,"Reuse"))</f>
        <v/>
      </c>
    </row>
    <row r="874" customFormat="false" ht="15" hidden="false" customHeight="false" outlineLevel="0" collapsed="false">
      <c r="A874" s="24"/>
      <c r="B874" s="27"/>
      <c r="C874" s="24"/>
      <c r="D874" s="28"/>
      <c r="E874" s="24"/>
      <c r="F874" s="24"/>
      <c r="G874" s="24"/>
      <c r="H874" s="24"/>
      <c r="I874" s="29" t="str">
        <f aca="false">IF($A874="","",COUNTIFS($H$2:$H$1001,$A874,$D$2:$D$1001,"Reuse"))</f>
        <v/>
      </c>
    </row>
    <row r="875" customFormat="false" ht="15" hidden="false" customHeight="false" outlineLevel="0" collapsed="false">
      <c r="A875" s="24"/>
      <c r="B875" s="27"/>
      <c r="C875" s="24"/>
      <c r="D875" s="28"/>
      <c r="E875" s="24"/>
      <c r="F875" s="24"/>
      <c r="G875" s="24"/>
      <c r="H875" s="24"/>
      <c r="I875" s="29" t="str">
        <f aca="false">IF($A875="","",COUNTIFS($H$2:$H$1001,$A875,$D$2:$D$1001,"Reuse"))</f>
        <v/>
      </c>
    </row>
    <row r="876" customFormat="false" ht="15" hidden="false" customHeight="false" outlineLevel="0" collapsed="false">
      <c r="A876" s="24"/>
      <c r="B876" s="27"/>
      <c r="C876" s="24"/>
      <c r="D876" s="28"/>
      <c r="E876" s="24"/>
      <c r="F876" s="24"/>
      <c r="G876" s="24"/>
      <c r="H876" s="24"/>
      <c r="I876" s="29" t="str">
        <f aca="false">IF($A876="","",COUNTIFS($H$2:$H$1001,$A876,$D$2:$D$1001,"Reuse"))</f>
        <v/>
      </c>
    </row>
    <row r="877" customFormat="false" ht="15" hidden="false" customHeight="false" outlineLevel="0" collapsed="false">
      <c r="A877" s="24"/>
      <c r="B877" s="27"/>
      <c r="C877" s="24"/>
      <c r="D877" s="28"/>
      <c r="E877" s="24"/>
      <c r="F877" s="24"/>
      <c r="G877" s="24"/>
      <c r="H877" s="24"/>
      <c r="I877" s="29" t="str">
        <f aca="false">IF($A877="","",COUNTIFS($H$2:$H$1001,$A877,$D$2:$D$1001,"Reuse"))</f>
        <v/>
      </c>
    </row>
    <row r="878" customFormat="false" ht="15" hidden="false" customHeight="false" outlineLevel="0" collapsed="false">
      <c r="A878" s="24"/>
      <c r="B878" s="27"/>
      <c r="C878" s="24"/>
      <c r="D878" s="28"/>
      <c r="E878" s="24"/>
      <c r="F878" s="24"/>
      <c r="G878" s="24"/>
      <c r="H878" s="24"/>
      <c r="I878" s="29" t="str">
        <f aca="false">IF($A878="","",COUNTIFS($H$2:$H$1001,$A878,$D$2:$D$1001,"Reuse"))</f>
        <v/>
      </c>
    </row>
    <row r="879" customFormat="false" ht="15" hidden="false" customHeight="false" outlineLevel="0" collapsed="false">
      <c r="A879" s="24"/>
      <c r="B879" s="27"/>
      <c r="C879" s="24"/>
      <c r="D879" s="28"/>
      <c r="E879" s="24"/>
      <c r="F879" s="24"/>
      <c r="G879" s="24"/>
      <c r="H879" s="24"/>
      <c r="I879" s="29" t="str">
        <f aca="false">IF($A879="","",COUNTIFS($H$2:$H$1001,$A879,$D$2:$D$1001,"Reuse"))</f>
        <v/>
      </c>
    </row>
    <row r="880" customFormat="false" ht="15" hidden="false" customHeight="false" outlineLevel="0" collapsed="false">
      <c r="A880" s="24"/>
      <c r="B880" s="27"/>
      <c r="C880" s="24"/>
      <c r="D880" s="28"/>
      <c r="E880" s="24"/>
      <c r="F880" s="24"/>
      <c r="G880" s="24"/>
      <c r="H880" s="24"/>
      <c r="I880" s="29" t="str">
        <f aca="false">IF($A880="","",COUNTIFS($H$2:$H$1001,$A880,$D$2:$D$1001,"Reuse"))</f>
        <v/>
      </c>
    </row>
    <row r="881" customFormat="false" ht="15" hidden="false" customHeight="false" outlineLevel="0" collapsed="false">
      <c r="A881" s="24"/>
      <c r="B881" s="27"/>
      <c r="C881" s="24"/>
      <c r="D881" s="28"/>
      <c r="E881" s="24"/>
      <c r="F881" s="24"/>
      <c r="G881" s="24"/>
      <c r="H881" s="24"/>
      <c r="I881" s="29" t="str">
        <f aca="false">IF($A881="","",COUNTIFS($H$2:$H$1001,$A881,$D$2:$D$1001,"Reuse"))</f>
        <v/>
      </c>
    </row>
    <row r="882" customFormat="false" ht="15" hidden="false" customHeight="false" outlineLevel="0" collapsed="false">
      <c r="A882" s="24"/>
      <c r="B882" s="27"/>
      <c r="C882" s="24"/>
      <c r="D882" s="28"/>
      <c r="E882" s="24"/>
      <c r="F882" s="24"/>
      <c r="G882" s="24"/>
      <c r="H882" s="24"/>
      <c r="I882" s="29" t="str">
        <f aca="false">IF($A882="","",COUNTIFS($H$2:$H$1001,$A882,$D$2:$D$1001,"Reuse"))</f>
        <v/>
      </c>
    </row>
    <row r="883" customFormat="false" ht="15" hidden="false" customHeight="false" outlineLevel="0" collapsed="false">
      <c r="A883" s="24"/>
      <c r="B883" s="27"/>
      <c r="C883" s="24"/>
      <c r="D883" s="28"/>
      <c r="E883" s="24"/>
      <c r="F883" s="24"/>
      <c r="G883" s="24"/>
      <c r="H883" s="24"/>
      <c r="I883" s="29" t="str">
        <f aca="false">IF($A883="","",COUNTIFS($H$2:$H$1001,$A883,$D$2:$D$1001,"Reuse"))</f>
        <v/>
      </c>
    </row>
    <row r="884" customFormat="false" ht="15" hidden="false" customHeight="false" outlineLevel="0" collapsed="false">
      <c r="A884" s="24"/>
      <c r="B884" s="27"/>
      <c r="C884" s="24"/>
      <c r="D884" s="28"/>
      <c r="E884" s="24"/>
      <c r="F884" s="24"/>
      <c r="G884" s="24"/>
      <c r="H884" s="24"/>
      <c r="I884" s="29" t="str">
        <f aca="false">IF($A884="","",COUNTIFS($H$2:$H$1001,$A884,$D$2:$D$1001,"Reuse"))</f>
        <v/>
      </c>
    </row>
    <row r="885" customFormat="false" ht="15" hidden="false" customHeight="false" outlineLevel="0" collapsed="false">
      <c r="A885" s="24"/>
      <c r="B885" s="27"/>
      <c r="C885" s="24"/>
      <c r="D885" s="28"/>
      <c r="E885" s="24"/>
      <c r="F885" s="24"/>
      <c r="G885" s="24"/>
      <c r="H885" s="24"/>
      <c r="I885" s="29" t="str">
        <f aca="false">IF($A885="","",COUNTIFS($H$2:$H$1001,$A885,$D$2:$D$1001,"Reuse"))</f>
        <v/>
      </c>
    </row>
    <row r="886" customFormat="false" ht="15" hidden="false" customHeight="false" outlineLevel="0" collapsed="false">
      <c r="A886" s="24"/>
      <c r="B886" s="27"/>
      <c r="C886" s="24"/>
      <c r="D886" s="28"/>
      <c r="E886" s="24"/>
      <c r="F886" s="24"/>
      <c r="G886" s="24"/>
      <c r="H886" s="24"/>
      <c r="I886" s="29" t="str">
        <f aca="false">IF($A886="","",COUNTIFS($H$2:$H$1001,$A886,$D$2:$D$1001,"Reuse"))</f>
        <v/>
      </c>
    </row>
    <row r="887" customFormat="false" ht="15" hidden="false" customHeight="false" outlineLevel="0" collapsed="false">
      <c r="A887" s="24"/>
      <c r="B887" s="27"/>
      <c r="C887" s="24"/>
      <c r="D887" s="28"/>
      <c r="E887" s="24"/>
      <c r="F887" s="24"/>
      <c r="G887" s="24"/>
      <c r="H887" s="24"/>
      <c r="I887" s="29" t="str">
        <f aca="false">IF($A887="","",COUNTIFS($H$2:$H$1001,$A887,$D$2:$D$1001,"Reuse"))</f>
        <v/>
      </c>
    </row>
    <row r="888" customFormat="false" ht="15" hidden="false" customHeight="false" outlineLevel="0" collapsed="false">
      <c r="A888" s="24"/>
      <c r="B888" s="27"/>
      <c r="C888" s="24"/>
      <c r="D888" s="28"/>
      <c r="E888" s="24"/>
      <c r="F888" s="24"/>
      <c r="G888" s="24"/>
      <c r="H888" s="24"/>
      <c r="I888" s="29" t="str">
        <f aca="false">IF($A888="","",COUNTIFS($H$2:$H$1001,$A888,$D$2:$D$1001,"Reuse"))</f>
        <v/>
      </c>
    </row>
    <row r="889" customFormat="false" ht="15" hidden="false" customHeight="false" outlineLevel="0" collapsed="false">
      <c r="A889" s="24"/>
      <c r="B889" s="27"/>
      <c r="C889" s="24"/>
      <c r="D889" s="28"/>
      <c r="E889" s="24"/>
      <c r="F889" s="24"/>
      <c r="G889" s="24"/>
      <c r="H889" s="24"/>
      <c r="I889" s="29" t="str">
        <f aca="false">IF($A889="","",COUNTIFS($H$2:$H$1001,$A889,$D$2:$D$1001,"Reuse"))</f>
        <v/>
      </c>
    </row>
    <row r="890" customFormat="false" ht="15" hidden="false" customHeight="false" outlineLevel="0" collapsed="false">
      <c r="A890" s="24"/>
      <c r="B890" s="27"/>
      <c r="C890" s="24"/>
      <c r="D890" s="28"/>
      <c r="E890" s="24"/>
      <c r="F890" s="24"/>
      <c r="G890" s="24"/>
      <c r="H890" s="24"/>
      <c r="I890" s="29" t="str">
        <f aca="false">IF($A890="","",COUNTIFS($H$2:$H$1001,$A890,$D$2:$D$1001,"Reuse"))</f>
        <v/>
      </c>
    </row>
    <row r="891" customFormat="false" ht="15" hidden="false" customHeight="false" outlineLevel="0" collapsed="false">
      <c r="A891" s="24"/>
      <c r="B891" s="27"/>
      <c r="C891" s="24"/>
      <c r="D891" s="28"/>
      <c r="E891" s="24"/>
      <c r="F891" s="24"/>
      <c r="G891" s="24"/>
      <c r="H891" s="24"/>
      <c r="I891" s="29" t="str">
        <f aca="false">IF($A891="","",COUNTIFS($H$2:$H$1001,$A891,$D$2:$D$1001,"Reuse"))</f>
        <v/>
      </c>
    </row>
    <row r="892" customFormat="false" ht="15" hidden="false" customHeight="false" outlineLevel="0" collapsed="false">
      <c r="A892" s="24"/>
      <c r="B892" s="27"/>
      <c r="C892" s="24"/>
      <c r="D892" s="28"/>
      <c r="E892" s="24"/>
      <c r="F892" s="24"/>
      <c r="G892" s="24"/>
      <c r="H892" s="24"/>
      <c r="I892" s="29" t="str">
        <f aca="false">IF($A892="","",COUNTIFS($H$2:$H$1001,$A892,$D$2:$D$1001,"Reuse"))</f>
        <v/>
      </c>
    </row>
    <row r="893" customFormat="false" ht="15" hidden="false" customHeight="false" outlineLevel="0" collapsed="false">
      <c r="A893" s="24"/>
      <c r="B893" s="27"/>
      <c r="C893" s="24"/>
      <c r="D893" s="28"/>
      <c r="E893" s="24"/>
      <c r="F893" s="24"/>
      <c r="G893" s="24"/>
      <c r="H893" s="24"/>
      <c r="I893" s="29" t="str">
        <f aca="false">IF($A893="","",COUNTIFS($H$2:$H$1001,$A893,$D$2:$D$1001,"Reuse"))</f>
        <v/>
      </c>
    </row>
    <row r="894" customFormat="false" ht="15" hidden="false" customHeight="false" outlineLevel="0" collapsed="false">
      <c r="A894" s="24"/>
      <c r="B894" s="27"/>
      <c r="C894" s="24"/>
      <c r="D894" s="28"/>
      <c r="E894" s="24"/>
      <c r="F894" s="24"/>
      <c r="G894" s="24"/>
      <c r="H894" s="24"/>
      <c r="I894" s="29" t="str">
        <f aca="false">IF($A894="","",COUNTIFS($H$2:$H$1001,$A894,$D$2:$D$1001,"Reuse"))</f>
        <v/>
      </c>
    </row>
    <row r="895" customFormat="false" ht="15" hidden="false" customHeight="false" outlineLevel="0" collapsed="false">
      <c r="A895" s="24"/>
      <c r="B895" s="27"/>
      <c r="C895" s="24"/>
      <c r="D895" s="28"/>
      <c r="E895" s="24"/>
      <c r="F895" s="24"/>
      <c r="G895" s="24"/>
      <c r="H895" s="24"/>
      <c r="I895" s="29" t="str">
        <f aca="false">IF($A895="","",COUNTIFS($H$2:$H$1001,$A895,$D$2:$D$1001,"Reuse"))</f>
        <v/>
      </c>
    </row>
    <row r="896" customFormat="false" ht="15" hidden="false" customHeight="false" outlineLevel="0" collapsed="false">
      <c r="A896" s="24"/>
      <c r="B896" s="27"/>
      <c r="C896" s="24"/>
      <c r="D896" s="28"/>
      <c r="E896" s="24"/>
      <c r="F896" s="24"/>
      <c r="G896" s="24"/>
      <c r="H896" s="24"/>
      <c r="I896" s="29" t="str">
        <f aca="false">IF($A896="","",COUNTIFS($H$2:$H$1001,$A896,$D$2:$D$1001,"Reuse"))</f>
        <v/>
      </c>
    </row>
    <row r="897" customFormat="false" ht="15" hidden="false" customHeight="false" outlineLevel="0" collapsed="false">
      <c r="A897" s="24"/>
      <c r="B897" s="27"/>
      <c r="C897" s="24"/>
      <c r="D897" s="28"/>
      <c r="E897" s="24"/>
      <c r="F897" s="24"/>
      <c r="G897" s="24"/>
      <c r="H897" s="24"/>
      <c r="I897" s="29" t="str">
        <f aca="false">IF($A897="","",COUNTIFS($H$2:$H$1001,$A897,$D$2:$D$1001,"Reuse"))</f>
        <v/>
      </c>
    </row>
    <row r="898" customFormat="false" ht="15" hidden="false" customHeight="false" outlineLevel="0" collapsed="false">
      <c r="A898" s="24"/>
      <c r="B898" s="27"/>
      <c r="C898" s="24"/>
      <c r="D898" s="28"/>
      <c r="E898" s="24"/>
      <c r="F898" s="24"/>
      <c r="G898" s="24"/>
      <c r="H898" s="24"/>
      <c r="I898" s="29" t="str">
        <f aca="false">IF($A898="","",COUNTIFS($H$2:$H$1001,$A898,$D$2:$D$1001,"Reuse"))</f>
        <v/>
      </c>
    </row>
    <row r="899" customFormat="false" ht="15" hidden="false" customHeight="false" outlineLevel="0" collapsed="false">
      <c r="A899" s="24"/>
      <c r="B899" s="27"/>
      <c r="C899" s="24"/>
      <c r="D899" s="28"/>
      <c r="E899" s="24"/>
      <c r="F899" s="24"/>
      <c r="G899" s="24"/>
      <c r="H899" s="24"/>
      <c r="I899" s="29" t="str">
        <f aca="false">IF($A899="","",COUNTIFS($H$2:$H$1001,$A899,$D$2:$D$1001,"Reuse"))</f>
        <v/>
      </c>
    </row>
    <row r="900" customFormat="false" ht="15" hidden="false" customHeight="false" outlineLevel="0" collapsed="false">
      <c r="A900" s="24"/>
      <c r="B900" s="27"/>
      <c r="C900" s="24"/>
      <c r="D900" s="28"/>
      <c r="E900" s="24"/>
      <c r="F900" s="24"/>
      <c r="G900" s="24"/>
      <c r="H900" s="24"/>
      <c r="I900" s="29" t="str">
        <f aca="false">IF($A900="","",COUNTIFS($H$2:$H$1001,$A900,$D$2:$D$1001,"Reuse"))</f>
        <v/>
      </c>
    </row>
    <row r="901" customFormat="false" ht="15" hidden="false" customHeight="false" outlineLevel="0" collapsed="false">
      <c r="A901" s="24"/>
      <c r="B901" s="27"/>
      <c r="C901" s="24"/>
      <c r="D901" s="28"/>
      <c r="E901" s="24"/>
      <c r="F901" s="24"/>
      <c r="G901" s="24"/>
      <c r="H901" s="24"/>
      <c r="I901" s="29" t="str">
        <f aca="false">IF($A901="","",COUNTIFS($H$2:$H$1001,$A901,$D$2:$D$1001,"Reuse"))</f>
        <v/>
      </c>
    </row>
    <row r="902" customFormat="false" ht="15" hidden="false" customHeight="false" outlineLevel="0" collapsed="false">
      <c r="A902" s="24"/>
      <c r="B902" s="27"/>
      <c r="C902" s="24"/>
      <c r="D902" s="28"/>
      <c r="E902" s="24"/>
      <c r="F902" s="24"/>
      <c r="G902" s="24"/>
      <c r="H902" s="24"/>
      <c r="I902" s="29" t="str">
        <f aca="false">IF($A902="","",COUNTIFS($H$2:$H$1001,$A902,$D$2:$D$1001,"Reuse"))</f>
        <v/>
      </c>
    </row>
    <row r="903" customFormat="false" ht="15" hidden="false" customHeight="false" outlineLevel="0" collapsed="false">
      <c r="A903" s="24"/>
      <c r="B903" s="27"/>
      <c r="C903" s="24"/>
      <c r="D903" s="28"/>
      <c r="E903" s="24"/>
      <c r="F903" s="24"/>
      <c r="G903" s="24"/>
      <c r="H903" s="24"/>
      <c r="I903" s="29" t="str">
        <f aca="false">IF($A903="","",COUNTIFS($H$2:$H$1001,$A903,$D$2:$D$1001,"Reuse"))</f>
        <v/>
      </c>
    </row>
    <row r="904" customFormat="false" ht="15" hidden="false" customHeight="false" outlineLevel="0" collapsed="false">
      <c r="A904" s="24"/>
      <c r="B904" s="27"/>
      <c r="C904" s="24"/>
      <c r="D904" s="28"/>
      <c r="E904" s="24"/>
      <c r="F904" s="24"/>
      <c r="G904" s="24"/>
      <c r="H904" s="24"/>
      <c r="I904" s="29" t="str">
        <f aca="false">IF($A904="","",COUNTIFS($H$2:$H$1001,$A904,$D$2:$D$1001,"Reuse"))</f>
        <v/>
      </c>
    </row>
    <row r="905" customFormat="false" ht="15" hidden="false" customHeight="false" outlineLevel="0" collapsed="false">
      <c r="A905" s="24"/>
      <c r="B905" s="27"/>
      <c r="C905" s="24"/>
      <c r="D905" s="28"/>
      <c r="E905" s="24"/>
      <c r="F905" s="24"/>
      <c r="G905" s="24"/>
      <c r="H905" s="24"/>
      <c r="I905" s="29" t="str">
        <f aca="false">IF($A905="","",COUNTIFS($H$2:$H$1001,$A905,$D$2:$D$1001,"Reuse"))</f>
        <v/>
      </c>
    </row>
    <row r="906" customFormat="false" ht="15" hidden="false" customHeight="false" outlineLevel="0" collapsed="false">
      <c r="A906" s="24"/>
      <c r="B906" s="27"/>
      <c r="C906" s="24"/>
      <c r="D906" s="28"/>
      <c r="E906" s="24"/>
      <c r="F906" s="24"/>
      <c r="G906" s="24"/>
      <c r="H906" s="24"/>
      <c r="I906" s="29" t="str">
        <f aca="false">IF($A906="","",COUNTIFS($H$2:$H$1001,$A906,$D$2:$D$1001,"Reuse"))</f>
        <v/>
      </c>
    </row>
    <row r="907" customFormat="false" ht="15" hidden="false" customHeight="false" outlineLevel="0" collapsed="false">
      <c r="A907" s="24"/>
      <c r="B907" s="27"/>
      <c r="C907" s="24"/>
      <c r="D907" s="28"/>
      <c r="E907" s="24"/>
      <c r="F907" s="24"/>
      <c r="G907" s="24"/>
      <c r="H907" s="24"/>
      <c r="I907" s="29" t="str">
        <f aca="false">IF($A907="","",COUNTIFS($H$2:$H$1001,$A907,$D$2:$D$1001,"Reuse"))</f>
        <v/>
      </c>
    </row>
    <row r="908" customFormat="false" ht="15" hidden="false" customHeight="false" outlineLevel="0" collapsed="false">
      <c r="A908" s="24"/>
      <c r="B908" s="27"/>
      <c r="C908" s="24"/>
      <c r="D908" s="28"/>
      <c r="E908" s="24"/>
      <c r="F908" s="24"/>
      <c r="G908" s="24"/>
      <c r="H908" s="24"/>
      <c r="I908" s="29" t="str">
        <f aca="false">IF($A908="","",COUNTIFS($H$2:$H$1001,$A908,$D$2:$D$1001,"Reuse"))</f>
        <v/>
      </c>
    </row>
    <row r="909" customFormat="false" ht="15" hidden="false" customHeight="false" outlineLevel="0" collapsed="false">
      <c r="A909" s="24"/>
      <c r="B909" s="27"/>
      <c r="C909" s="24"/>
      <c r="D909" s="28"/>
      <c r="E909" s="24"/>
      <c r="F909" s="24"/>
      <c r="G909" s="24"/>
      <c r="H909" s="24"/>
      <c r="I909" s="29" t="str">
        <f aca="false">IF($A909="","",COUNTIFS($H$2:$H$1001,$A909,$D$2:$D$1001,"Reuse"))</f>
        <v/>
      </c>
    </row>
    <row r="910" customFormat="false" ht="15" hidden="false" customHeight="false" outlineLevel="0" collapsed="false">
      <c r="A910" s="24"/>
      <c r="B910" s="27"/>
      <c r="C910" s="24"/>
      <c r="D910" s="28"/>
      <c r="E910" s="24"/>
      <c r="F910" s="24"/>
      <c r="G910" s="24"/>
      <c r="H910" s="24"/>
      <c r="I910" s="29" t="str">
        <f aca="false">IF($A910="","",COUNTIFS($H$2:$H$1001,$A910,$D$2:$D$1001,"Reuse"))</f>
        <v/>
      </c>
    </row>
    <row r="911" customFormat="false" ht="15" hidden="false" customHeight="false" outlineLevel="0" collapsed="false">
      <c r="A911" s="24"/>
      <c r="B911" s="27"/>
      <c r="C911" s="24"/>
      <c r="D911" s="28"/>
      <c r="E911" s="24"/>
      <c r="F911" s="24"/>
      <c r="G911" s="24"/>
      <c r="H911" s="24"/>
      <c r="I911" s="29" t="str">
        <f aca="false">IF($A911="","",COUNTIFS($H$2:$H$1001,$A911,$D$2:$D$1001,"Reuse"))</f>
        <v/>
      </c>
    </row>
    <row r="912" customFormat="false" ht="15" hidden="false" customHeight="false" outlineLevel="0" collapsed="false">
      <c r="A912" s="24"/>
      <c r="B912" s="27"/>
      <c r="C912" s="24"/>
      <c r="D912" s="28"/>
      <c r="E912" s="24"/>
      <c r="F912" s="24"/>
      <c r="G912" s="24"/>
      <c r="H912" s="24"/>
      <c r="I912" s="29" t="str">
        <f aca="false">IF($A912="","",COUNTIFS($H$2:$H$1001,$A912,$D$2:$D$1001,"Reuse"))</f>
        <v/>
      </c>
    </row>
    <row r="913" customFormat="false" ht="15" hidden="false" customHeight="false" outlineLevel="0" collapsed="false">
      <c r="A913" s="24"/>
      <c r="B913" s="27"/>
      <c r="C913" s="24"/>
      <c r="D913" s="28"/>
      <c r="E913" s="24"/>
      <c r="F913" s="24"/>
      <c r="G913" s="24"/>
      <c r="H913" s="24"/>
      <c r="I913" s="29" t="str">
        <f aca="false">IF($A913="","",COUNTIFS($H$2:$H$1001,$A913,$D$2:$D$1001,"Reuse"))</f>
        <v/>
      </c>
    </row>
    <row r="914" customFormat="false" ht="15" hidden="false" customHeight="false" outlineLevel="0" collapsed="false">
      <c r="A914" s="24"/>
      <c r="B914" s="27"/>
      <c r="C914" s="24"/>
      <c r="D914" s="28"/>
      <c r="E914" s="24"/>
      <c r="F914" s="24"/>
      <c r="G914" s="24"/>
      <c r="H914" s="24"/>
      <c r="I914" s="29" t="str">
        <f aca="false">IF($A914="","",COUNTIFS($H$2:$H$1001,$A914,$D$2:$D$1001,"Reuse"))</f>
        <v/>
      </c>
    </row>
    <row r="915" customFormat="false" ht="15" hidden="false" customHeight="false" outlineLevel="0" collapsed="false">
      <c r="A915" s="24"/>
      <c r="B915" s="27"/>
      <c r="C915" s="24"/>
      <c r="D915" s="28"/>
      <c r="E915" s="24"/>
      <c r="F915" s="24"/>
      <c r="G915" s="24"/>
      <c r="H915" s="24"/>
      <c r="I915" s="29" t="str">
        <f aca="false">IF($A915="","",COUNTIFS($H$2:$H$1001,$A915,$D$2:$D$1001,"Reuse"))</f>
        <v/>
      </c>
    </row>
    <row r="916" customFormat="false" ht="15" hidden="false" customHeight="false" outlineLevel="0" collapsed="false">
      <c r="A916" s="24"/>
      <c r="B916" s="27"/>
      <c r="C916" s="24"/>
      <c r="D916" s="28"/>
      <c r="E916" s="24"/>
      <c r="F916" s="24"/>
      <c r="G916" s="24"/>
      <c r="H916" s="24"/>
      <c r="I916" s="29" t="str">
        <f aca="false">IF($A916="","",COUNTIFS($H$2:$H$1001,$A916,$D$2:$D$1001,"Reuse"))</f>
        <v/>
      </c>
    </row>
    <row r="917" customFormat="false" ht="15" hidden="false" customHeight="false" outlineLevel="0" collapsed="false">
      <c r="A917" s="24"/>
      <c r="B917" s="27"/>
      <c r="C917" s="24"/>
      <c r="D917" s="28"/>
      <c r="E917" s="24"/>
      <c r="F917" s="24"/>
      <c r="G917" s="24"/>
      <c r="H917" s="24"/>
      <c r="I917" s="29" t="str">
        <f aca="false">IF($A917="","",COUNTIFS($H$2:$H$1001,$A917,$D$2:$D$1001,"Reuse"))</f>
        <v/>
      </c>
    </row>
    <row r="918" customFormat="false" ht="15" hidden="false" customHeight="false" outlineLevel="0" collapsed="false">
      <c r="A918" s="24"/>
      <c r="B918" s="27"/>
      <c r="C918" s="24"/>
      <c r="D918" s="28"/>
      <c r="E918" s="24"/>
      <c r="F918" s="24"/>
      <c r="G918" s="24"/>
      <c r="H918" s="24"/>
      <c r="I918" s="29" t="str">
        <f aca="false">IF($A918="","",COUNTIFS($H$2:$H$1001,$A918,$D$2:$D$1001,"Reuse"))</f>
        <v/>
      </c>
    </row>
    <row r="919" customFormat="false" ht="15" hidden="false" customHeight="false" outlineLevel="0" collapsed="false">
      <c r="A919" s="24"/>
      <c r="B919" s="27"/>
      <c r="C919" s="24"/>
      <c r="D919" s="28"/>
      <c r="E919" s="24"/>
      <c r="F919" s="24"/>
      <c r="G919" s="24"/>
      <c r="H919" s="24"/>
      <c r="I919" s="29" t="str">
        <f aca="false">IF($A919="","",COUNTIFS($H$2:$H$1001,$A919,$D$2:$D$1001,"Reuse"))</f>
        <v/>
      </c>
    </row>
    <row r="920" customFormat="false" ht="15" hidden="false" customHeight="false" outlineLevel="0" collapsed="false">
      <c r="A920" s="24"/>
      <c r="B920" s="27"/>
      <c r="C920" s="24"/>
      <c r="D920" s="28"/>
      <c r="E920" s="24"/>
      <c r="F920" s="24"/>
      <c r="G920" s="24"/>
      <c r="H920" s="24"/>
      <c r="I920" s="29" t="str">
        <f aca="false">IF($A920="","",COUNTIFS($H$2:$H$1001,$A920,$D$2:$D$1001,"Reuse"))</f>
        <v/>
      </c>
    </row>
    <row r="921" customFormat="false" ht="15" hidden="false" customHeight="false" outlineLevel="0" collapsed="false">
      <c r="A921" s="24"/>
      <c r="B921" s="27"/>
      <c r="C921" s="24"/>
      <c r="D921" s="28"/>
      <c r="E921" s="24"/>
      <c r="F921" s="24"/>
      <c r="G921" s="24"/>
      <c r="H921" s="24"/>
      <c r="I921" s="29" t="str">
        <f aca="false">IF($A921="","",COUNTIFS($H$2:$H$1001,$A921,$D$2:$D$1001,"Reuse"))</f>
        <v/>
      </c>
    </row>
    <row r="922" customFormat="false" ht="15" hidden="false" customHeight="false" outlineLevel="0" collapsed="false">
      <c r="A922" s="24"/>
      <c r="B922" s="27"/>
      <c r="C922" s="24"/>
      <c r="D922" s="28"/>
      <c r="E922" s="24"/>
      <c r="F922" s="24"/>
      <c r="G922" s="24"/>
      <c r="H922" s="24"/>
      <c r="I922" s="29" t="str">
        <f aca="false">IF($A922="","",COUNTIFS($H$2:$H$1001,$A922,$D$2:$D$1001,"Reuse"))</f>
        <v/>
      </c>
    </row>
    <row r="923" customFormat="false" ht="15" hidden="false" customHeight="false" outlineLevel="0" collapsed="false">
      <c r="A923" s="24"/>
      <c r="B923" s="27"/>
      <c r="C923" s="24"/>
      <c r="D923" s="28"/>
      <c r="E923" s="24"/>
      <c r="F923" s="24"/>
      <c r="G923" s="24"/>
      <c r="H923" s="24"/>
      <c r="I923" s="29" t="str">
        <f aca="false">IF($A923="","",COUNTIFS($H$2:$H$1001,$A923,$D$2:$D$1001,"Reuse"))</f>
        <v/>
      </c>
    </row>
    <row r="924" customFormat="false" ht="15" hidden="false" customHeight="false" outlineLevel="0" collapsed="false">
      <c r="A924" s="24"/>
      <c r="B924" s="27"/>
      <c r="C924" s="24"/>
      <c r="D924" s="28"/>
      <c r="E924" s="24"/>
      <c r="F924" s="24"/>
      <c r="G924" s="24"/>
      <c r="H924" s="24"/>
      <c r="I924" s="29" t="str">
        <f aca="false">IF($A924="","",COUNTIFS($H$2:$H$1001,$A924,$D$2:$D$1001,"Reuse"))</f>
        <v/>
      </c>
    </row>
    <row r="925" customFormat="false" ht="15" hidden="false" customHeight="false" outlineLevel="0" collapsed="false">
      <c r="A925" s="24"/>
      <c r="B925" s="27"/>
      <c r="C925" s="24"/>
      <c r="D925" s="28"/>
      <c r="E925" s="24"/>
      <c r="F925" s="24"/>
      <c r="G925" s="24"/>
      <c r="H925" s="24"/>
      <c r="I925" s="29" t="str">
        <f aca="false">IF($A925="","",COUNTIFS($H$2:$H$1001,$A925,$D$2:$D$1001,"Reuse"))</f>
        <v/>
      </c>
    </row>
    <row r="926" customFormat="false" ht="15" hidden="false" customHeight="false" outlineLevel="0" collapsed="false">
      <c r="A926" s="24"/>
      <c r="B926" s="27"/>
      <c r="C926" s="24"/>
      <c r="D926" s="28"/>
      <c r="E926" s="24"/>
      <c r="F926" s="24"/>
      <c r="G926" s="24"/>
      <c r="H926" s="24"/>
      <c r="I926" s="29" t="str">
        <f aca="false">IF($A926="","",COUNTIFS($H$2:$H$1001,$A926,$D$2:$D$1001,"Reuse"))</f>
        <v/>
      </c>
    </row>
    <row r="927" customFormat="false" ht="15" hidden="false" customHeight="false" outlineLevel="0" collapsed="false">
      <c r="A927" s="24"/>
      <c r="B927" s="27"/>
      <c r="C927" s="24"/>
      <c r="D927" s="28"/>
      <c r="E927" s="24"/>
      <c r="F927" s="24"/>
      <c r="G927" s="24"/>
      <c r="H927" s="24"/>
      <c r="I927" s="29" t="str">
        <f aca="false">IF($A927="","",COUNTIFS($H$2:$H$1001,$A927,$D$2:$D$1001,"Reuse"))</f>
        <v/>
      </c>
    </row>
    <row r="928" customFormat="false" ht="15" hidden="false" customHeight="false" outlineLevel="0" collapsed="false">
      <c r="A928" s="24"/>
      <c r="B928" s="27"/>
      <c r="C928" s="24"/>
      <c r="D928" s="28"/>
      <c r="E928" s="24"/>
      <c r="F928" s="24"/>
      <c r="G928" s="24"/>
      <c r="H928" s="24"/>
      <c r="I928" s="29" t="str">
        <f aca="false">IF($A928="","",COUNTIFS($H$2:$H$1001,$A928,$D$2:$D$1001,"Reuse"))</f>
        <v/>
      </c>
    </row>
    <row r="929" customFormat="false" ht="15" hidden="false" customHeight="false" outlineLevel="0" collapsed="false">
      <c r="A929" s="24"/>
      <c r="B929" s="27"/>
      <c r="C929" s="24"/>
      <c r="D929" s="28"/>
      <c r="E929" s="24"/>
      <c r="F929" s="24"/>
      <c r="G929" s="24"/>
      <c r="H929" s="24"/>
      <c r="I929" s="29" t="str">
        <f aca="false">IF($A929="","",COUNTIFS($H$2:$H$1001,$A929,$D$2:$D$1001,"Reuse"))</f>
        <v/>
      </c>
    </row>
    <row r="930" customFormat="false" ht="15" hidden="false" customHeight="false" outlineLevel="0" collapsed="false">
      <c r="A930" s="24"/>
      <c r="B930" s="27"/>
      <c r="C930" s="24"/>
      <c r="D930" s="28"/>
      <c r="E930" s="24"/>
      <c r="F930" s="24"/>
      <c r="G930" s="24"/>
      <c r="H930" s="24"/>
      <c r="I930" s="29" t="str">
        <f aca="false">IF($A930="","",COUNTIFS($H$2:$H$1001,$A930,$D$2:$D$1001,"Reuse"))</f>
        <v/>
      </c>
    </row>
    <row r="931" customFormat="false" ht="15" hidden="false" customHeight="false" outlineLevel="0" collapsed="false">
      <c r="A931" s="24"/>
      <c r="B931" s="27"/>
      <c r="C931" s="24"/>
      <c r="D931" s="28"/>
      <c r="E931" s="24"/>
      <c r="F931" s="24"/>
      <c r="G931" s="24"/>
      <c r="H931" s="24"/>
      <c r="I931" s="29" t="str">
        <f aca="false">IF($A931="","",COUNTIFS($H$2:$H$1001,$A931,$D$2:$D$1001,"Reuse"))</f>
        <v/>
      </c>
    </row>
    <row r="932" customFormat="false" ht="15" hidden="false" customHeight="false" outlineLevel="0" collapsed="false">
      <c r="A932" s="24"/>
      <c r="B932" s="27"/>
      <c r="C932" s="24"/>
      <c r="D932" s="28"/>
      <c r="E932" s="24"/>
      <c r="F932" s="24"/>
      <c r="G932" s="24"/>
      <c r="H932" s="24"/>
      <c r="I932" s="29" t="str">
        <f aca="false">IF($A932="","",COUNTIFS($H$2:$H$1001,$A932,$D$2:$D$1001,"Reuse"))</f>
        <v/>
      </c>
    </row>
    <row r="933" customFormat="false" ht="15" hidden="false" customHeight="false" outlineLevel="0" collapsed="false">
      <c r="A933" s="24"/>
      <c r="B933" s="27"/>
      <c r="C933" s="24"/>
      <c r="D933" s="28"/>
      <c r="E933" s="24"/>
      <c r="F933" s="24"/>
      <c r="G933" s="24"/>
      <c r="H933" s="24"/>
      <c r="I933" s="29" t="str">
        <f aca="false">IF($A933="","",COUNTIFS($H$2:$H$1001,$A933,$D$2:$D$1001,"Reuse"))</f>
        <v/>
      </c>
    </row>
    <row r="934" customFormat="false" ht="15" hidden="false" customHeight="false" outlineLevel="0" collapsed="false">
      <c r="A934" s="24"/>
      <c r="B934" s="27"/>
      <c r="C934" s="24"/>
      <c r="D934" s="28"/>
      <c r="E934" s="24"/>
      <c r="F934" s="24"/>
      <c r="G934" s="24"/>
      <c r="H934" s="24"/>
      <c r="I934" s="29" t="str">
        <f aca="false">IF($A934="","",COUNTIFS($H$2:$H$1001,$A934,$D$2:$D$1001,"Reuse"))</f>
        <v/>
      </c>
    </row>
    <row r="935" customFormat="false" ht="15" hidden="false" customHeight="false" outlineLevel="0" collapsed="false">
      <c r="A935" s="24"/>
      <c r="B935" s="27"/>
      <c r="C935" s="24"/>
      <c r="D935" s="28"/>
      <c r="E935" s="24"/>
      <c r="F935" s="24"/>
      <c r="G935" s="24"/>
      <c r="H935" s="24"/>
      <c r="I935" s="29" t="str">
        <f aca="false">IF($A935="","",COUNTIFS($H$2:$H$1001,$A935,$D$2:$D$1001,"Reuse"))</f>
        <v/>
      </c>
    </row>
    <row r="936" customFormat="false" ht="15" hidden="false" customHeight="false" outlineLevel="0" collapsed="false">
      <c r="A936" s="24"/>
      <c r="B936" s="27"/>
      <c r="C936" s="24"/>
      <c r="D936" s="28"/>
      <c r="E936" s="24"/>
      <c r="F936" s="24"/>
      <c r="G936" s="24"/>
      <c r="H936" s="24"/>
      <c r="I936" s="29" t="str">
        <f aca="false">IF($A936="","",COUNTIFS($H$2:$H$1001,$A936,$D$2:$D$1001,"Reuse"))</f>
        <v/>
      </c>
    </row>
    <row r="937" customFormat="false" ht="15" hidden="false" customHeight="false" outlineLevel="0" collapsed="false">
      <c r="A937" s="24"/>
      <c r="B937" s="27"/>
      <c r="C937" s="24"/>
      <c r="D937" s="28"/>
      <c r="E937" s="24"/>
      <c r="F937" s="24"/>
      <c r="G937" s="24"/>
      <c r="H937" s="24"/>
      <c r="I937" s="29" t="str">
        <f aca="false">IF($A937="","",COUNTIFS($H$2:$H$1001,$A937,$D$2:$D$1001,"Reuse"))</f>
        <v/>
      </c>
    </row>
    <row r="938" customFormat="false" ht="15" hidden="false" customHeight="false" outlineLevel="0" collapsed="false">
      <c r="A938" s="24"/>
      <c r="B938" s="27"/>
      <c r="C938" s="24"/>
      <c r="D938" s="28"/>
      <c r="E938" s="24"/>
      <c r="F938" s="24"/>
      <c r="G938" s="24"/>
      <c r="H938" s="24"/>
      <c r="I938" s="29" t="str">
        <f aca="false">IF($A938="","",COUNTIFS($H$2:$H$1001,$A938,$D$2:$D$1001,"Reuse"))</f>
        <v/>
      </c>
    </row>
    <row r="939" customFormat="false" ht="15" hidden="false" customHeight="false" outlineLevel="0" collapsed="false">
      <c r="A939" s="24"/>
      <c r="B939" s="27"/>
      <c r="C939" s="24"/>
      <c r="D939" s="28"/>
      <c r="E939" s="24"/>
      <c r="F939" s="24"/>
      <c r="G939" s="24"/>
      <c r="H939" s="24"/>
      <c r="I939" s="29" t="str">
        <f aca="false">IF($A939="","",COUNTIFS($H$2:$H$1001,$A939,$D$2:$D$1001,"Reuse"))</f>
        <v/>
      </c>
    </row>
    <row r="940" customFormat="false" ht="15" hidden="false" customHeight="false" outlineLevel="0" collapsed="false">
      <c r="A940" s="24"/>
      <c r="B940" s="27"/>
      <c r="C940" s="24"/>
      <c r="D940" s="28"/>
      <c r="E940" s="24"/>
      <c r="F940" s="24"/>
      <c r="G940" s="24"/>
      <c r="H940" s="24"/>
      <c r="I940" s="29" t="str">
        <f aca="false">IF($A940="","",COUNTIFS($H$2:$H$1001,$A940,$D$2:$D$1001,"Reuse"))</f>
        <v/>
      </c>
    </row>
    <row r="941" customFormat="false" ht="15" hidden="false" customHeight="false" outlineLevel="0" collapsed="false">
      <c r="A941" s="24"/>
      <c r="B941" s="27"/>
      <c r="C941" s="24"/>
      <c r="D941" s="28"/>
      <c r="E941" s="24"/>
      <c r="F941" s="24"/>
      <c r="G941" s="24"/>
      <c r="H941" s="24"/>
      <c r="I941" s="29" t="str">
        <f aca="false">IF($A941="","",COUNTIFS($H$2:$H$1001,$A941,$D$2:$D$1001,"Reuse"))</f>
        <v/>
      </c>
    </row>
    <row r="942" customFormat="false" ht="15" hidden="false" customHeight="false" outlineLevel="0" collapsed="false">
      <c r="A942" s="24"/>
      <c r="B942" s="27"/>
      <c r="C942" s="24"/>
      <c r="D942" s="28"/>
      <c r="E942" s="24"/>
      <c r="F942" s="24"/>
      <c r="G942" s="24"/>
      <c r="H942" s="24"/>
      <c r="I942" s="29" t="str">
        <f aca="false">IF($A942="","",COUNTIFS($H$2:$H$1001,$A942,$D$2:$D$1001,"Reuse"))</f>
        <v/>
      </c>
    </row>
    <row r="943" customFormat="false" ht="15" hidden="false" customHeight="false" outlineLevel="0" collapsed="false">
      <c r="A943" s="24"/>
      <c r="B943" s="27"/>
      <c r="C943" s="24"/>
      <c r="D943" s="28"/>
      <c r="E943" s="24"/>
      <c r="F943" s="24"/>
      <c r="G943" s="24"/>
      <c r="H943" s="24"/>
      <c r="I943" s="29" t="str">
        <f aca="false">IF($A943="","",COUNTIFS($H$2:$H$1001,$A943,$D$2:$D$1001,"Reuse"))</f>
        <v/>
      </c>
    </row>
    <row r="944" customFormat="false" ht="15" hidden="false" customHeight="false" outlineLevel="0" collapsed="false">
      <c r="A944" s="24"/>
      <c r="B944" s="27"/>
      <c r="C944" s="24"/>
      <c r="D944" s="28"/>
      <c r="E944" s="24"/>
      <c r="F944" s="24"/>
      <c r="G944" s="24"/>
      <c r="H944" s="24"/>
      <c r="I944" s="29" t="str">
        <f aca="false">IF($A944="","",COUNTIFS($H$2:$H$1001,$A944,$D$2:$D$1001,"Reuse"))</f>
        <v/>
      </c>
    </row>
    <row r="945" customFormat="false" ht="15" hidden="false" customHeight="false" outlineLevel="0" collapsed="false">
      <c r="A945" s="24"/>
      <c r="B945" s="27"/>
      <c r="C945" s="24"/>
      <c r="D945" s="28"/>
      <c r="E945" s="24"/>
      <c r="F945" s="24"/>
      <c r="G945" s="24"/>
      <c r="H945" s="24"/>
      <c r="I945" s="29" t="str">
        <f aca="false">IF($A945="","",COUNTIFS($H$2:$H$1001,$A945,$D$2:$D$1001,"Reuse"))</f>
        <v/>
      </c>
    </row>
    <row r="946" customFormat="false" ht="15" hidden="false" customHeight="false" outlineLevel="0" collapsed="false">
      <c r="A946" s="24"/>
      <c r="B946" s="27"/>
      <c r="C946" s="24"/>
      <c r="D946" s="28"/>
      <c r="E946" s="24"/>
      <c r="F946" s="24"/>
      <c r="G946" s="24"/>
      <c r="H946" s="24"/>
      <c r="I946" s="29" t="str">
        <f aca="false">IF($A946="","",COUNTIFS($H$2:$H$1001,$A946,$D$2:$D$1001,"Reuse"))</f>
        <v/>
      </c>
    </row>
    <row r="947" customFormat="false" ht="15" hidden="false" customHeight="false" outlineLevel="0" collapsed="false">
      <c r="A947" s="24"/>
      <c r="B947" s="27"/>
      <c r="C947" s="24"/>
      <c r="D947" s="28"/>
      <c r="E947" s="24"/>
      <c r="F947" s="24"/>
      <c r="G947" s="24"/>
      <c r="H947" s="24"/>
      <c r="I947" s="29" t="str">
        <f aca="false">IF($A947="","",COUNTIFS($H$2:$H$1001,$A947,$D$2:$D$1001,"Reuse"))</f>
        <v/>
      </c>
    </row>
    <row r="948" customFormat="false" ht="15" hidden="false" customHeight="false" outlineLevel="0" collapsed="false">
      <c r="A948" s="24"/>
      <c r="B948" s="27"/>
      <c r="C948" s="24"/>
      <c r="D948" s="28"/>
      <c r="E948" s="24"/>
      <c r="F948" s="24"/>
      <c r="G948" s="24"/>
      <c r="H948" s="24"/>
      <c r="I948" s="29" t="str">
        <f aca="false">IF($A948="","",COUNTIFS($H$2:$H$1001,$A948,$D$2:$D$1001,"Reuse"))</f>
        <v/>
      </c>
    </row>
    <row r="949" customFormat="false" ht="15" hidden="false" customHeight="false" outlineLevel="0" collapsed="false">
      <c r="A949" s="24"/>
      <c r="B949" s="27"/>
      <c r="C949" s="24"/>
      <c r="D949" s="28"/>
      <c r="E949" s="24"/>
      <c r="F949" s="24"/>
      <c r="G949" s="24"/>
      <c r="H949" s="24"/>
      <c r="I949" s="29" t="str">
        <f aca="false">IF($A949="","",COUNTIFS($H$2:$H$1001,$A949,$D$2:$D$1001,"Reuse"))</f>
        <v/>
      </c>
    </row>
    <row r="950" customFormat="false" ht="15" hidden="false" customHeight="false" outlineLevel="0" collapsed="false">
      <c r="A950" s="24"/>
      <c r="B950" s="27"/>
      <c r="C950" s="24"/>
      <c r="D950" s="28"/>
      <c r="E950" s="24"/>
      <c r="F950" s="24"/>
      <c r="G950" s="24"/>
      <c r="H950" s="24"/>
      <c r="I950" s="29" t="str">
        <f aca="false">IF($A950="","",COUNTIFS($H$2:$H$1001,$A950,$D$2:$D$1001,"Reuse"))</f>
        <v/>
      </c>
    </row>
    <row r="951" customFormat="false" ht="15" hidden="false" customHeight="false" outlineLevel="0" collapsed="false">
      <c r="A951" s="24"/>
      <c r="B951" s="27"/>
      <c r="C951" s="24"/>
      <c r="D951" s="28"/>
      <c r="E951" s="24"/>
      <c r="F951" s="24"/>
      <c r="G951" s="24"/>
      <c r="H951" s="24"/>
      <c r="I951" s="29" t="str">
        <f aca="false">IF($A951="","",COUNTIFS($H$2:$H$1001,$A951,$D$2:$D$1001,"Reuse"))</f>
        <v/>
      </c>
    </row>
    <row r="952" customFormat="false" ht="15" hidden="false" customHeight="false" outlineLevel="0" collapsed="false">
      <c r="A952" s="24"/>
      <c r="B952" s="27"/>
      <c r="C952" s="24"/>
      <c r="D952" s="28"/>
      <c r="E952" s="24"/>
      <c r="F952" s="24"/>
      <c r="G952" s="24"/>
      <c r="H952" s="24"/>
      <c r="I952" s="29" t="str">
        <f aca="false">IF($A952="","",COUNTIFS($H$2:$H$1001,$A952,$D$2:$D$1001,"Reuse"))</f>
        <v/>
      </c>
    </row>
    <row r="953" customFormat="false" ht="15" hidden="false" customHeight="false" outlineLevel="0" collapsed="false">
      <c r="A953" s="24"/>
      <c r="B953" s="27"/>
      <c r="C953" s="24"/>
      <c r="D953" s="28"/>
      <c r="E953" s="24"/>
      <c r="F953" s="24"/>
      <c r="G953" s="24"/>
      <c r="H953" s="24"/>
      <c r="I953" s="29" t="str">
        <f aca="false">IF($A953="","",COUNTIFS($H$2:$H$1001,$A953,$D$2:$D$1001,"Reuse"))</f>
        <v/>
      </c>
    </row>
    <row r="954" customFormat="false" ht="15" hidden="false" customHeight="false" outlineLevel="0" collapsed="false">
      <c r="A954" s="24"/>
      <c r="B954" s="27"/>
      <c r="C954" s="24"/>
      <c r="D954" s="28"/>
      <c r="E954" s="24"/>
      <c r="F954" s="24"/>
      <c r="G954" s="24"/>
      <c r="H954" s="24"/>
      <c r="I954" s="29" t="str">
        <f aca="false">IF($A954="","",COUNTIFS($H$2:$H$1001,$A954,$D$2:$D$1001,"Reuse"))</f>
        <v/>
      </c>
    </row>
    <row r="955" customFormat="false" ht="15" hidden="false" customHeight="false" outlineLevel="0" collapsed="false">
      <c r="A955" s="24"/>
      <c r="B955" s="27"/>
      <c r="C955" s="24"/>
      <c r="D955" s="28"/>
      <c r="E955" s="24"/>
      <c r="F955" s="24"/>
      <c r="G955" s="24"/>
      <c r="H955" s="24"/>
      <c r="I955" s="29" t="str">
        <f aca="false">IF($A955="","",COUNTIFS($H$2:$H$1001,$A955,$D$2:$D$1001,"Reuse"))</f>
        <v/>
      </c>
    </row>
    <row r="956" customFormat="false" ht="15" hidden="false" customHeight="false" outlineLevel="0" collapsed="false">
      <c r="A956" s="24"/>
      <c r="B956" s="27"/>
      <c r="C956" s="24"/>
      <c r="D956" s="28"/>
      <c r="E956" s="24"/>
      <c r="F956" s="24"/>
      <c r="G956" s="24"/>
      <c r="H956" s="24"/>
      <c r="I956" s="29" t="str">
        <f aca="false">IF($A956="","",COUNTIFS($H$2:$H$1001,$A956,$D$2:$D$1001,"Reuse"))</f>
        <v/>
      </c>
    </row>
    <row r="957" customFormat="false" ht="15" hidden="false" customHeight="false" outlineLevel="0" collapsed="false">
      <c r="A957" s="24"/>
      <c r="B957" s="27"/>
      <c r="C957" s="24"/>
      <c r="D957" s="28"/>
      <c r="E957" s="24"/>
      <c r="F957" s="24"/>
      <c r="G957" s="24"/>
      <c r="H957" s="24"/>
      <c r="I957" s="29" t="str">
        <f aca="false">IF($A957="","",COUNTIFS($H$2:$H$1001,$A957,$D$2:$D$1001,"Reuse"))</f>
        <v/>
      </c>
    </row>
    <row r="958" customFormat="false" ht="15" hidden="false" customHeight="false" outlineLevel="0" collapsed="false">
      <c r="A958" s="24"/>
      <c r="B958" s="27"/>
      <c r="C958" s="24"/>
      <c r="D958" s="28"/>
      <c r="E958" s="24"/>
      <c r="F958" s="24"/>
      <c r="G958" s="24"/>
      <c r="H958" s="24"/>
      <c r="I958" s="29" t="str">
        <f aca="false">IF($A958="","",COUNTIFS($H$2:$H$1001,$A958,$D$2:$D$1001,"Reuse"))</f>
        <v/>
      </c>
    </row>
    <row r="959" customFormat="false" ht="15" hidden="false" customHeight="false" outlineLevel="0" collapsed="false">
      <c r="A959" s="24"/>
      <c r="B959" s="27"/>
      <c r="C959" s="24"/>
      <c r="D959" s="28"/>
      <c r="E959" s="24"/>
      <c r="F959" s="24"/>
      <c r="G959" s="24"/>
      <c r="H959" s="24"/>
      <c r="I959" s="29" t="str">
        <f aca="false">IF($A959="","",COUNTIFS($H$2:$H$1001,$A959,$D$2:$D$1001,"Reuse"))</f>
        <v/>
      </c>
    </row>
    <row r="960" customFormat="false" ht="15" hidden="false" customHeight="false" outlineLevel="0" collapsed="false">
      <c r="A960" s="24"/>
      <c r="B960" s="27"/>
      <c r="C960" s="24"/>
      <c r="D960" s="28"/>
      <c r="E960" s="24"/>
      <c r="F960" s="24"/>
      <c r="G960" s="24"/>
      <c r="H960" s="24"/>
      <c r="I960" s="29" t="str">
        <f aca="false">IF($A960="","",COUNTIFS($H$2:$H$1001,$A960,$D$2:$D$1001,"Reuse"))</f>
        <v/>
      </c>
    </row>
    <row r="961" customFormat="false" ht="15" hidden="false" customHeight="false" outlineLevel="0" collapsed="false">
      <c r="A961" s="24"/>
      <c r="B961" s="27"/>
      <c r="C961" s="24"/>
      <c r="D961" s="28"/>
      <c r="E961" s="24"/>
      <c r="F961" s="24"/>
      <c r="G961" s="24"/>
      <c r="H961" s="24"/>
      <c r="I961" s="29" t="str">
        <f aca="false">IF($A961="","",COUNTIFS($H$2:$H$1001,$A961,$D$2:$D$1001,"Reuse"))</f>
        <v/>
      </c>
    </row>
    <row r="962" customFormat="false" ht="15" hidden="false" customHeight="false" outlineLevel="0" collapsed="false">
      <c r="A962" s="24"/>
      <c r="B962" s="27"/>
      <c r="C962" s="24"/>
      <c r="D962" s="28"/>
      <c r="E962" s="24"/>
      <c r="F962" s="24"/>
      <c r="G962" s="24"/>
      <c r="H962" s="24"/>
      <c r="I962" s="29" t="str">
        <f aca="false">IF($A962="","",COUNTIFS($H$2:$H$1001,$A962,$D$2:$D$1001,"Reuse"))</f>
        <v/>
      </c>
    </row>
    <row r="963" customFormat="false" ht="15" hidden="false" customHeight="false" outlineLevel="0" collapsed="false">
      <c r="A963" s="24"/>
      <c r="B963" s="27"/>
      <c r="C963" s="24"/>
      <c r="D963" s="28"/>
      <c r="E963" s="24"/>
      <c r="F963" s="24"/>
      <c r="G963" s="24"/>
      <c r="H963" s="24"/>
      <c r="I963" s="29" t="str">
        <f aca="false">IF($A963="","",COUNTIFS($H$2:$H$1001,$A963,$D$2:$D$1001,"Reuse"))</f>
        <v/>
      </c>
    </row>
    <row r="964" customFormat="false" ht="15" hidden="false" customHeight="false" outlineLevel="0" collapsed="false">
      <c r="A964" s="24"/>
      <c r="B964" s="27"/>
      <c r="C964" s="24"/>
      <c r="D964" s="28"/>
      <c r="E964" s="24"/>
      <c r="F964" s="24"/>
      <c r="G964" s="24"/>
      <c r="H964" s="24"/>
      <c r="I964" s="29" t="str">
        <f aca="false">IF($A964="","",COUNTIFS($H$2:$H$1001,$A964,$D$2:$D$1001,"Reuse"))</f>
        <v/>
      </c>
    </row>
    <row r="965" customFormat="false" ht="15" hidden="false" customHeight="false" outlineLevel="0" collapsed="false">
      <c r="A965" s="24"/>
      <c r="B965" s="27"/>
      <c r="C965" s="24"/>
      <c r="D965" s="28"/>
      <c r="E965" s="24"/>
      <c r="F965" s="24"/>
      <c r="G965" s="24"/>
      <c r="H965" s="24"/>
      <c r="I965" s="29" t="str">
        <f aca="false">IF($A965="","",COUNTIFS($H$2:$H$1001,$A965,$D$2:$D$1001,"Reuse"))</f>
        <v/>
      </c>
    </row>
    <row r="966" customFormat="false" ht="15" hidden="false" customHeight="false" outlineLevel="0" collapsed="false">
      <c r="A966" s="24"/>
      <c r="B966" s="27"/>
      <c r="C966" s="24"/>
      <c r="D966" s="28"/>
      <c r="E966" s="24"/>
      <c r="F966" s="24"/>
      <c r="G966" s="24"/>
      <c r="H966" s="24"/>
      <c r="I966" s="29" t="str">
        <f aca="false">IF($A966="","",COUNTIFS($H$2:$H$1001,$A966,$D$2:$D$1001,"Reuse"))</f>
        <v/>
      </c>
    </row>
    <row r="967" customFormat="false" ht="15" hidden="false" customHeight="false" outlineLevel="0" collapsed="false">
      <c r="A967" s="24"/>
      <c r="B967" s="27"/>
      <c r="C967" s="24"/>
      <c r="D967" s="28"/>
      <c r="E967" s="24"/>
      <c r="F967" s="24"/>
      <c r="G967" s="24"/>
      <c r="H967" s="24"/>
      <c r="I967" s="29" t="str">
        <f aca="false">IF($A967="","",COUNTIFS($H$2:$H$1001,$A967,$D$2:$D$1001,"Reuse"))</f>
        <v/>
      </c>
    </row>
    <row r="968" customFormat="false" ht="15" hidden="false" customHeight="false" outlineLevel="0" collapsed="false">
      <c r="A968" s="24"/>
      <c r="B968" s="27"/>
      <c r="C968" s="24"/>
      <c r="D968" s="28"/>
      <c r="E968" s="24"/>
      <c r="F968" s="24"/>
      <c r="G968" s="24"/>
      <c r="H968" s="24"/>
      <c r="I968" s="29" t="str">
        <f aca="false">IF($A968="","",COUNTIFS($H$2:$H$1001,$A968,$D$2:$D$1001,"Reuse"))</f>
        <v/>
      </c>
    </row>
    <row r="969" customFormat="false" ht="15" hidden="false" customHeight="false" outlineLevel="0" collapsed="false">
      <c r="A969" s="24"/>
      <c r="B969" s="27"/>
      <c r="C969" s="24"/>
      <c r="D969" s="28"/>
      <c r="E969" s="24"/>
      <c r="F969" s="24"/>
      <c r="G969" s="24"/>
      <c r="H969" s="24"/>
      <c r="I969" s="29" t="str">
        <f aca="false">IF($A969="","",COUNTIFS($H$2:$H$1001,$A969,$D$2:$D$1001,"Reuse"))</f>
        <v/>
      </c>
    </row>
    <row r="970" customFormat="false" ht="15" hidden="false" customHeight="false" outlineLevel="0" collapsed="false">
      <c r="A970" s="24"/>
      <c r="B970" s="27"/>
      <c r="C970" s="24"/>
      <c r="D970" s="28"/>
      <c r="E970" s="24"/>
      <c r="F970" s="24"/>
      <c r="G970" s="24"/>
      <c r="H970" s="24"/>
      <c r="I970" s="29" t="str">
        <f aca="false">IF($A970="","",COUNTIFS($H$2:$H$1001,$A970,$D$2:$D$1001,"Reuse"))</f>
        <v/>
      </c>
    </row>
    <row r="971" customFormat="false" ht="15" hidden="false" customHeight="false" outlineLevel="0" collapsed="false">
      <c r="A971" s="24"/>
      <c r="B971" s="27"/>
      <c r="C971" s="24"/>
      <c r="D971" s="28"/>
      <c r="E971" s="24"/>
      <c r="F971" s="24"/>
      <c r="G971" s="24"/>
      <c r="H971" s="24"/>
      <c r="I971" s="29" t="str">
        <f aca="false">IF($A971="","",COUNTIFS($H$2:$H$1001,$A971,$D$2:$D$1001,"Reuse"))</f>
        <v/>
      </c>
    </row>
    <row r="972" customFormat="false" ht="15" hidden="false" customHeight="false" outlineLevel="0" collapsed="false">
      <c r="A972" s="24"/>
      <c r="B972" s="27"/>
      <c r="C972" s="24"/>
      <c r="D972" s="28"/>
      <c r="E972" s="24"/>
      <c r="F972" s="24"/>
      <c r="G972" s="24"/>
      <c r="H972" s="24"/>
      <c r="I972" s="29" t="str">
        <f aca="false">IF($A972="","",COUNTIFS($H$2:$H$1001,$A972,$D$2:$D$1001,"Reuse"))</f>
        <v/>
      </c>
    </row>
    <row r="973" customFormat="false" ht="15" hidden="false" customHeight="false" outlineLevel="0" collapsed="false">
      <c r="A973" s="24"/>
      <c r="B973" s="27"/>
      <c r="C973" s="24"/>
      <c r="D973" s="28"/>
      <c r="E973" s="24"/>
      <c r="F973" s="24"/>
      <c r="G973" s="24"/>
      <c r="H973" s="24"/>
      <c r="I973" s="29" t="str">
        <f aca="false">IF($A973="","",COUNTIFS($H$2:$H$1001,$A973,$D$2:$D$1001,"Reuse"))</f>
        <v/>
      </c>
    </row>
    <row r="974" customFormat="false" ht="15" hidden="false" customHeight="false" outlineLevel="0" collapsed="false">
      <c r="A974" s="24"/>
      <c r="B974" s="27"/>
      <c r="C974" s="24"/>
      <c r="D974" s="28"/>
      <c r="E974" s="24"/>
      <c r="F974" s="24"/>
      <c r="G974" s="24"/>
      <c r="H974" s="24"/>
      <c r="I974" s="29" t="str">
        <f aca="false">IF($A974="","",COUNTIFS($H$2:$H$1001,$A974,$D$2:$D$1001,"Reuse"))</f>
        <v/>
      </c>
    </row>
    <row r="975" customFormat="false" ht="15" hidden="false" customHeight="false" outlineLevel="0" collapsed="false">
      <c r="A975" s="24"/>
      <c r="B975" s="27"/>
      <c r="C975" s="24"/>
      <c r="D975" s="28"/>
      <c r="E975" s="24"/>
      <c r="F975" s="24"/>
      <c r="G975" s="24"/>
      <c r="H975" s="24"/>
      <c r="I975" s="29" t="str">
        <f aca="false">IF($A975="","",COUNTIFS($H$2:$H$1001,$A975,$D$2:$D$1001,"Reuse"))</f>
        <v/>
      </c>
    </row>
    <row r="976" customFormat="false" ht="15" hidden="false" customHeight="false" outlineLevel="0" collapsed="false">
      <c r="A976" s="24"/>
      <c r="B976" s="27"/>
      <c r="C976" s="24"/>
      <c r="D976" s="28"/>
      <c r="E976" s="24"/>
      <c r="F976" s="24"/>
      <c r="G976" s="24"/>
      <c r="H976" s="24"/>
      <c r="I976" s="29" t="str">
        <f aca="false">IF($A976="","",COUNTIFS($H$2:$H$1001,$A976,$D$2:$D$1001,"Reuse"))</f>
        <v/>
      </c>
    </row>
    <row r="977" customFormat="false" ht="15" hidden="false" customHeight="false" outlineLevel="0" collapsed="false">
      <c r="A977" s="24"/>
      <c r="B977" s="27"/>
      <c r="C977" s="24"/>
      <c r="D977" s="28"/>
      <c r="E977" s="24"/>
      <c r="F977" s="24"/>
      <c r="G977" s="24"/>
      <c r="H977" s="24"/>
      <c r="I977" s="29" t="str">
        <f aca="false">IF($A977="","",COUNTIFS($H$2:$H$1001,$A977,$D$2:$D$1001,"Reuse"))</f>
        <v/>
      </c>
    </row>
    <row r="978" customFormat="false" ht="15" hidden="false" customHeight="false" outlineLevel="0" collapsed="false">
      <c r="A978" s="24"/>
      <c r="B978" s="27"/>
      <c r="C978" s="24"/>
      <c r="D978" s="28"/>
      <c r="E978" s="24"/>
      <c r="F978" s="24"/>
      <c r="G978" s="24"/>
      <c r="H978" s="24"/>
      <c r="I978" s="29" t="str">
        <f aca="false">IF($A978="","",COUNTIFS($H$2:$H$1001,$A978,$D$2:$D$1001,"Reuse"))</f>
        <v/>
      </c>
    </row>
    <row r="979" customFormat="false" ht="15" hidden="false" customHeight="false" outlineLevel="0" collapsed="false">
      <c r="A979" s="24"/>
      <c r="B979" s="27"/>
      <c r="C979" s="24"/>
      <c r="D979" s="28"/>
      <c r="E979" s="24"/>
      <c r="F979" s="24"/>
      <c r="G979" s="24"/>
      <c r="H979" s="24"/>
      <c r="I979" s="29" t="str">
        <f aca="false">IF($A979="","",COUNTIFS($H$2:$H$1001,$A979,$D$2:$D$1001,"Reuse"))</f>
        <v/>
      </c>
    </row>
    <row r="980" customFormat="false" ht="15" hidden="false" customHeight="false" outlineLevel="0" collapsed="false">
      <c r="A980" s="24"/>
      <c r="B980" s="27"/>
      <c r="C980" s="24"/>
      <c r="D980" s="28"/>
      <c r="E980" s="24"/>
      <c r="F980" s="24"/>
      <c r="G980" s="24"/>
      <c r="H980" s="24"/>
      <c r="I980" s="29" t="str">
        <f aca="false">IF($A980="","",COUNTIFS($H$2:$H$1001,$A980,$D$2:$D$1001,"Reuse"))</f>
        <v/>
      </c>
    </row>
    <row r="981" customFormat="false" ht="15" hidden="false" customHeight="false" outlineLevel="0" collapsed="false">
      <c r="A981" s="24"/>
      <c r="B981" s="27"/>
      <c r="C981" s="24"/>
      <c r="D981" s="28"/>
      <c r="E981" s="24"/>
      <c r="F981" s="24"/>
      <c r="G981" s="24"/>
      <c r="H981" s="24"/>
      <c r="I981" s="29" t="str">
        <f aca="false">IF($A981="","",COUNTIFS($H$2:$H$1001,$A981,$D$2:$D$1001,"Reuse"))</f>
        <v/>
      </c>
    </row>
    <row r="982" customFormat="false" ht="15" hidden="false" customHeight="false" outlineLevel="0" collapsed="false">
      <c r="A982" s="24"/>
      <c r="B982" s="27"/>
      <c r="C982" s="24"/>
      <c r="D982" s="28"/>
      <c r="E982" s="24"/>
      <c r="F982" s="24"/>
      <c r="G982" s="24"/>
      <c r="H982" s="24"/>
      <c r="I982" s="29" t="str">
        <f aca="false">IF($A982="","",COUNTIFS($H$2:$H$1001,$A982,$D$2:$D$1001,"Reuse"))</f>
        <v/>
      </c>
    </row>
    <row r="983" customFormat="false" ht="15" hidden="false" customHeight="false" outlineLevel="0" collapsed="false">
      <c r="A983" s="24"/>
      <c r="B983" s="27"/>
      <c r="C983" s="24"/>
      <c r="D983" s="28"/>
      <c r="E983" s="24"/>
      <c r="F983" s="24"/>
      <c r="G983" s="24"/>
      <c r="H983" s="24"/>
      <c r="I983" s="29" t="str">
        <f aca="false">IF($A983="","",COUNTIFS($H$2:$H$1001,$A983,$D$2:$D$1001,"Reuse"))</f>
        <v/>
      </c>
    </row>
    <row r="984" customFormat="false" ht="15" hidden="false" customHeight="false" outlineLevel="0" collapsed="false">
      <c r="A984" s="24"/>
      <c r="B984" s="27"/>
      <c r="C984" s="24"/>
      <c r="D984" s="28"/>
      <c r="E984" s="24"/>
      <c r="F984" s="24"/>
      <c r="G984" s="24"/>
      <c r="H984" s="24"/>
      <c r="I984" s="29" t="str">
        <f aca="false">IF($A984="","",COUNTIFS($H$2:$H$1001,$A984,$D$2:$D$1001,"Reuse"))</f>
        <v/>
      </c>
    </row>
    <row r="985" customFormat="false" ht="15" hidden="false" customHeight="false" outlineLevel="0" collapsed="false">
      <c r="A985" s="24"/>
      <c r="B985" s="27"/>
      <c r="C985" s="24"/>
      <c r="D985" s="28"/>
      <c r="E985" s="24"/>
      <c r="F985" s="24"/>
      <c r="G985" s="24"/>
      <c r="H985" s="24"/>
      <c r="I985" s="29" t="str">
        <f aca="false">IF($A985="","",COUNTIFS($H$2:$H$1001,$A985,$D$2:$D$1001,"Reuse"))</f>
        <v/>
      </c>
    </row>
    <row r="986" customFormat="false" ht="15" hidden="false" customHeight="false" outlineLevel="0" collapsed="false">
      <c r="A986" s="24"/>
      <c r="B986" s="27"/>
      <c r="C986" s="24"/>
      <c r="D986" s="28"/>
      <c r="E986" s="24"/>
      <c r="F986" s="24"/>
      <c r="G986" s="24"/>
      <c r="H986" s="24"/>
      <c r="I986" s="29" t="str">
        <f aca="false">IF($A986="","",COUNTIFS($H$2:$H$1001,$A986,$D$2:$D$1001,"Reuse"))</f>
        <v/>
      </c>
    </row>
    <row r="987" customFormat="false" ht="15" hidden="false" customHeight="false" outlineLevel="0" collapsed="false">
      <c r="A987" s="24"/>
      <c r="B987" s="27"/>
      <c r="C987" s="24"/>
      <c r="D987" s="28"/>
      <c r="E987" s="24"/>
      <c r="F987" s="24"/>
      <c r="G987" s="24"/>
      <c r="H987" s="24"/>
      <c r="I987" s="29" t="str">
        <f aca="false">IF($A987="","",COUNTIFS($H$2:$H$1001,$A987,$D$2:$D$1001,"Reuse"))</f>
        <v/>
      </c>
    </row>
    <row r="988" customFormat="false" ht="15" hidden="false" customHeight="false" outlineLevel="0" collapsed="false">
      <c r="A988" s="24"/>
      <c r="B988" s="27"/>
      <c r="C988" s="24"/>
      <c r="D988" s="28"/>
      <c r="E988" s="24"/>
      <c r="F988" s="24"/>
      <c r="G988" s="24"/>
      <c r="H988" s="24"/>
      <c r="I988" s="29" t="str">
        <f aca="false">IF($A988="","",COUNTIFS($H$2:$H$1001,$A988,$D$2:$D$1001,"Reuse"))</f>
        <v/>
      </c>
    </row>
    <row r="989" customFormat="false" ht="15" hidden="false" customHeight="false" outlineLevel="0" collapsed="false">
      <c r="A989" s="24"/>
      <c r="B989" s="27"/>
      <c r="C989" s="24"/>
      <c r="D989" s="28"/>
      <c r="E989" s="24"/>
      <c r="F989" s="24"/>
      <c r="G989" s="24"/>
      <c r="H989" s="24"/>
      <c r="I989" s="29" t="str">
        <f aca="false">IF($A989="","",COUNTIFS($H$2:$H$1001,$A989,$D$2:$D$1001,"Reuse"))</f>
        <v/>
      </c>
    </row>
    <row r="990" customFormat="false" ht="15" hidden="false" customHeight="false" outlineLevel="0" collapsed="false">
      <c r="A990" s="24"/>
      <c r="B990" s="27"/>
      <c r="C990" s="24"/>
      <c r="D990" s="28"/>
      <c r="E990" s="24"/>
      <c r="F990" s="24"/>
      <c r="G990" s="24"/>
      <c r="H990" s="24"/>
      <c r="I990" s="29" t="str">
        <f aca="false">IF($A990="","",COUNTIFS($H$2:$H$1001,$A990,$D$2:$D$1001,"Reuse"))</f>
        <v/>
      </c>
    </row>
    <row r="991" customFormat="false" ht="15" hidden="false" customHeight="false" outlineLevel="0" collapsed="false">
      <c r="A991" s="24"/>
      <c r="B991" s="27"/>
      <c r="C991" s="24"/>
      <c r="D991" s="28"/>
      <c r="E991" s="24"/>
      <c r="F991" s="24"/>
      <c r="G991" s="24"/>
      <c r="H991" s="24"/>
      <c r="I991" s="29" t="str">
        <f aca="false">IF($A991="","",COUNTIFS($H$2:$H$1001,$A991,$D$2:$D$1001,"Reuse"))</f>
        <v/>
      </c>
    </row>
    <row r="992" customFormat="false" ht="15" hidden="false" customHeight="false" outlineLevel="0" collapsed="false">
      <c r="A992" s="24"/>
      <c r="B992" s="27"/>
      <c r="C992" s="24"/>
      <c r="D992" s="28"/>
      <c r="E992" s="24"/>
      <c r="F992" s="24"/>
      <c r="G992" s="24"/>
      <c r="H992" s="24"/>
      <c r="I992" s="29" t="str">
        <f aca="false">IF($A992="","",COUNTIFS($H$2:$H$1001,$A992,$D$2:$D$1001,"Reuse"))</f>
        <v/>
      </c>
    </row>
    <row r="993" customFormat="false" ht="15" hidden="false" customHeight="false" outlineLevel="0" collapsed="false">
      <c r="A993" s="24"/>
      <c r="B993" s="27"/>
      <c r="C993" s="24"/>
      <c r="D993" s="28"/>
      <c r="E993" s="24"/>
      <c r="F993" s="24"/>
      <c r="G993" s="24"/>
      <c r="H993" s="24"/>
      <c r="I993" s="29" t="str">
        <f aca="false">IF($A993="","",COUNTIFS($H$2:$H$1001,$A993,$D$2:$D$1001,"Reuse"))</f>
        <v/>
      </c>
    </row>
    <row r="994" customFormat="false" ht="15" hidden="false" customHeight="false" outlineLevel="0" collapsed="false">
      <c r="A994" s="24"/>
      <c r="B994" s="27"/>
      <c r="C994" s="24"/>
      <c r="D994" s="28"/>
      <c r="E994" s="24"/>
      <c r="F994" s="24"/>
      <c r="G994" s="24"/>
      <c r="H994" s="24"/>
      <c r="I994" s="29" t="str">
        <f aca="false">IF($A994="","",COUNTIFS($H$2:$H$1001,$A994,$D$2:$D$1001,"Reuse"))</f>
        <v/>
      </c>
    </row>
    <row r="995" customFormat="false" ht="15" hidden="false" customHeight="false" outlineLevel="0" collapsed="false">
      <c r="A995" s="24"/>
      <c r="B995" s="27"/>
      <c r="C995" s="24"/>
      <c r="D995" s="28"/>
      <c r="E995" s="24"/>
      <c r="F995" s="24"/>
      <c r="G995" s="24"/>
      <c r="H995" s="24"/>
      <c r="I995" s="29" t="str">
        <f aca="false">IF($A995="","",COUNTIFS($H$2:$H$1001,$A995,$D$2:$D$1001,"Reuse"))</f>
        <v/>
      </c>
    </row>
    <row r="996" customFormat="false" ht="15" hidden="false" customHeight="false" outlineLevel="0" collapsed="false">
      <c r="A996" s="24"/>
      <c r="B996" s="27"/>
      <c r="C996" s="24"/>
      <c r="D996" s="28"/>
      <c r="E996" s="24"/>
      <c r="F996" s="24"/>
      <c r="G996" s="24"/>
      <c r="H996" s="24"/>
      <c r="I996" s="29" t="str">
        <f aca="false">IF($A996="","",COUNTIFS($H$2:$H$1001,$A996,$D$2:$D$1001,"Reuse"))</f>
        <v/>
      </c>
    </row>
    <row r="997" customFormat="false" ht="15" hidden="false" customHeight="false" outlineLevel="0" collapsed="false">
      <c r="A997" s="24"/>
      <c r="B997" s="27"/>
      <c r="C997" s="24"/>
      <c r="D997" s="28"/>
      <c r="E997" s="24"/>
      <c r="F997" s="24"/>
      <c r="G997" s="24"/>
      <c r="H997" s="24"/>
      <c r="I997" s="29" t="str">
        <f aca="false">IF($A997="","",COUNTIFS($H$2:$H$1001,$A997,$D$2:$D$1001,"Reuse"))</f>
        <v/>
      </c>
    </row>
    <row r="998" customFormat="false" ht="15" hidden="false" customHeight="false" outlineLevel="0" collapsed="false">
      <c r="A998" s="24"/>
      <c r="B998" s="27"/>
      <c r="C998" s="24"/>
      <c r="D998" s="28"/>
      <c r="E998" s="24"/>
      <c r="F998" s="24"/>
      <c r="G998" s="24"/>
      <c r="H998" s="24"/>
      <c r="I998" s="29" t="str">
        <f aca="false">IF($A998="","",COUNTIFS($H$2:$H$1001,$A998,$D$2:$D$1001,"Reuse"))</f>
        <v/>
      </c>
    </row>
    <row r="999" customFormat="false" ht="15" hidden="false" customHeight="false" outlineLevel="0" collapsed="false">
      <c r="A999" s="24"/>
      <c r="B999" s="27"/>
      <c r="C999" s="24"/>
      <c r="D999" s="28"/>
      <c r="E999" s="24"/>
      <c r="F999" s="24"/>
      <c r="G999" s="24"/>
      <c r="H999" s="24"/>
      <c r="I999" s="29" t="str">
        <f aca="false">IF($A999="","",COUNTIFS($H$2:$H$1001,$A999,$D$2:$D$1001,"Reuse"))</f>
        <v/>
      </c>
    </row>
    <row r="1000" customFormat="false" ht="15" hidden="false" customHeight="false" outlineLevel="0" collapsed="false">
      <c r="A1000" s="24"/>
      <c r="B1000" s="27"/>
      <c r="C1000" s="24"/>
      <c r="D1000" s="28"/>
      <c r="E1000" s="24"/>
      <c r="F1000" s="24"/>
      <c r="G1000" s="24"/>
      <c r="H1000" s="24"/>
      <c r="I1000" s="29" t="str">
        <f aca="false">IF($A1000="","",COUNTIFS($H$2:$H$1001,$A1000,$D$2:$D$1001,"Reuse"))</f>
        <v/>
      </c>
    </row>
    <row r="1001" customFormat="false" ht="15" hidden="false" customHeight="false" outlineLevel="0" collapsed="false">
      <c r="A1001" s="24"/>
      <c r="B1001" s="27"/>
      <c r="C1001" s="24"/>
      <c r="D1001" s="28"/>
      <c r="E1001" s="24"/>
      <c r="F1001" s="24"/>
      <c r="G1001" s="24"/>
      <c r="H1001" s="24"/>
      <c r="I1001" s="29" t="str">
        <f aca="false">IF($A1001="","",COUNTIFS($H$2:$H$1001,$A1001,$D$2:$D$1001,"Reuse"))</f>
        <v/>
      </c>
    </row>
  </sheetData>
  <autoFilter ref="A1:I1001"/>
  <dataValidations count="1">
    <dataValidation allowBlank="true" error="Pick one of: Answer, Routed, Reuse" errorStyle="stop" errorTitle="Not on the list" operator="between" showDropDown="false" showErrorMessage="true" showInputMessage="false" sqref="D2:D1001" type="list">
      <formula1>"Answer,Routed,Reuse"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27.75" hidden="false" customHeight="true" outlineLevel="0" collapsed="false">
      <c r="A1" s="25" t="s">
        <v>42</v>
      </c>
      <c r="B1" s="25" t="s">
        <v>71</v>
      </c>
      <c r="C1" s="25" t="s">
        <v>72</v>
      </c>
      <c r="D1" s="25" t="s">
        <v>73</v>
      </c>
      <c r="E1" s="25" t="s">
        <v>74</v>
      </c>
      <c r="F1" s="25" t="s">
        <v>75</v>
      </c>
      <c r="G1" s="25" t="s">
        <v>76</v>
      </c>
    </row>
    <row r="2" customFormat="false" ht="15" hidden="false" customHeight="false" outlineLevel="0" collapsed="false">
      <c r="A2" s="27"/>
      <c r="B2" s="24"/>
      <c r="C2" s="24"/>
      <c r="D2" s="24"/>
      <c r="E2" s="24"/>
      <c r="F2" s="28"/>
      <c r="G2" s="24"/>
    </row>
    <row r="3" customFormat="false" ht="15" hidden="false" customHeight="false" outlineLevel="0" collapsed="false">
      <c r="A3" s="27"/>
      <c r="B3" s="24"/>
      <c r="C3" s="24"/>
      <c r="D3" s="24"/>
      <c r="E3" s="24"/>
      <c r="F3" s="28"/>
      <c r="G3" s="24"/>
    </row>
    <row r="4" customFormat="false" ht="15" hidden="false" customHeight="false" outlineLevel="0" collapsed="false">
      <c r="A4" s="27"/>
      <c r="B4" s="24"/>
      <c r="C4" s="24"/>
      <c r="D4" s="24"/>
      <c r="E4" s="24"/>
      <c r="F4" s="28"/>
      <c r="G4" s="24"/>
    </row>
    <row r="5" customFormat="false" ht="15" hidden="false" customHeight="false" outlineLevel="0" collapsed="false">
      <c r="A5" s="27"/>
      <c r="B5" s="24"/>
      <c r="C5" s="24"/>
      <c r="D5" s="24"/>
      <c r="E5" s="24"/>
      <c r="F5" s="28"/>
      <c r="G5" s="24"/>
    </row>
    <row r="6" customFormat="false" ht="15" hidden="false" customHeight="false" outlineLevel="0" collapsed="false">
      <c r="A6" s="27"/>
      <c r="B6" s="24"/>
      <c r="C6" s="24"/>
      <c r="D6" s="24"/>
      <c r="E6" s="24"/>
      <c r="F6" s="28"/>
      <c r="G6" s="24"/>
    </row>
    <row r="7" customFormat="false" ht="15" hidden="false" customHeight="false" outlineLevel="0" collapsed="false">
      <c r="A7" s="27"/>
      <c r="B7" s="24"/>
      <c r="C7" s="24"/>
      <c r="D7" s="24"/>
      <c r="E7" s="24"/>
      <c r="F7" s="28"/>
      <c r="G7" s="24"/>
    </row>
    <row r="8" customFormat="false" ht="15" hidden="false" customHeight="false" outlineLevel="0" collapsed="false">
      <c r="A8" s="27"/>
      <c r="B8" s="24"/>
      <c r="C8" s="24"/>
      <c r="D8" s="24"/>
      <c r="E8" s="24"/>
      <c r="F8" s="28"/>
      <c r="G8" s="24"/>
    </row>
    <row r="9" customFormat="false" ht="15" hidden="false" customHeight="false" outlineLevel="0" collapsed="false">
      <c r="A9" s="27"/>
      <c r="B9" s="24"/>
      <c r="C9" s="24"/>
      <c r="D9" s="24"/>
      <c r="E9" s="24"/>
      <c r="F9" s="28"/>
      <c r="G9" s="24"/>
    </row>
    <row r="10" customFormat="false" ht="15" hidden="false" customHeight="false" outlineLevel="0" collapsed="false">
      <c r="A10" s="27"/>
      <c r="B10" s="24"/>
      <c r="C10" s="24"/>
      <c r="D10" s="24"/>
      <c r="E10" s="24"/>
      <c r="F10" s="28"/>
      <c r="G10" s="24"/>
    </row>
    <row r="11" customFormat="false" ht="15" hidden="false" customHeight="false" outlineLevel="0" collapsed="false">
      <c r="A11" s="27"/>
      <c r="B11" s="24"/>
      <c r="C11" s="24"/>
      <c r="D11" s="24"/>
      <c r="E11" s="24"/>
      <c r="F11" s="28"/>
      <c r="G11" s="24"/>
    </row>
    <row r="12" customFormat="false" ht="15" hidden="false" customHeight="false" outlineLevel="0" collapsed="false">
      <c r="A12" s="27"/>
      <c r="B12" s="24"/>
      <c r="C12" s="24"/>
      <c r="D12" s="24"/>
      <c r="E12" s="24"/>
      <c r="F12" s="28"/>
      <c r="G12" s="24"/>
    </row>
    <row r="13" customFormat="false" ht="15" hidden="false" customHeight="false" outlineLevel="0" collapsed="false">
      <c r="A13" s="27"/>
      <c r="B13" s="24"/>
      <c r="C13" s="24"/>
      <c r="D13" s="24"/>
      <c r="E13" s="24"/>
      <c r="F13" s="28"/>
      <c r="G13" s="24"/>
    </row>
    <row r="14" customFormat="false" ht="15" hidden="false" customHeight="false" outlineLevel="0" collapsed="false">
      <c r="A14" s="27"/>
      <c r="B14" s="24"/>
      <c r="C14" s="24"/>
      <c r="D14" s="24"/>
      <c r="E14" s="24"/>
      <c r="F14" s="28"/>
      <c r="G14" s="24"/>
    </row>
    <row r="15" customFormat="false" ht="15" hidden="false" customHeight="false" outlineLevel="0" collapsed="false">
      <c r="A15" s="27"/>
      <c r="B15" s="24"/>
      <c r="C15" s="24"/>
      <c r="D15" s="24"/>
      <c r="E15" s="24"/>
      <c r="F15" s="28"/>
      <c r="G15" s="24"/>
    </row>
    <row r="16" customFormat="false" ht="15" hidden="false" customHeight="false" outlineLevel="0" collapsed="false">
      <c r="A16" s="27"/>
      <c r="B16" s="24"/>
      <c r="C16" s="24"/>
      <c r="D16" s="24"/>
      <c r="E16" s="24"/>
      <c r="F16" s="28"/>
      <c r="G16" s="24"/>
    </row>
    <row r="17" customFormat="false" ht="15" hidden="false" customHeight="false" outlineLevel="0" collapsed="false">
      <c r="A17" s="27"/>
      <c r="B17" s="24"/>
      <c r="C17" s="24"/>
      <c r="D17" s="24"/>
      <c r="E17" s="24"/>
      <c r="F17" s="28"/>
      <c r="G17" s="24"/>
    </row>
    <row r="18" customFormat="false" ht="15" hidden="false" customHeight="false" outlineLevel="0" collapsed="false">
      <c r="A18" s="27"/>
      <c r="B18" s="24"/>
      <c r="C18" s="24"/>
      <c r="D18" s="24"/>
      <c r="E18" s="24"/>
      <c r="F18" s="28"/>
      <c r="G18" s="24"/>
    </row>
    <row r="19" customFormat="false" ht="15" hidden="false" customHeight="false" outlineLevel="0" collapsed="false">
      <c r="A19" s="27"/>
      <c r="B19" s="24"/>
      <c r="C19" s="24"/>
      <c r="D19" s="24"/>
      <c r="E19" s="24"/>
      <c r="F19" s="28"/>
      <c r="G19" s="24"/>
    </row>
    <row r="20" customFormat="false" ht="15" hidden="false" customHeight="false" outlineLevel="0" collapsed="false">
      <c r="A20" s="27"/>
      <c r="B20" s="24"/>
      <c r="C20" s="24"/>
      <c r="D20" s="24"/>
      <c r="E20" s="24"/>
      <c r="F20" s="28"/>
      <c r="G20" s="24"/>
    </row>
    <row r="21" customFormat="false" ht="15" hidden="false" customHeight="false" outlineLevel="0" collapsed="false">
      <c r="A21" s="27"/>
      <c r="B21" s="24"/>
      <c r="C21" s="24"/>
      <c r="D21" s="24"/>
      <c r="E21" s="24"/>
      <c r="F21" s="28"/>
      <c r="G21" s="24"/>
    </row>
    <row r="22" customFormat="false" ht="15" hidden="false" customHeight="false" outlineLevel="0" collapsed="false">
      <c r="A22" s="27"/>
      <c r="B22" s="24"/>
      <c r="C22" s="24"/>
      <c r="D22" s="24"/>
      <c r="E22" s="24"/>
      <c r="F22" s="28"/>
      <c r="G22" s="24"/>
    </row>
    <row r="23" customFormat="false" ht="15" hidden="false" customHeight="false" outlineLevel="0" collapsed="false">
      <c r="A23" s="27"/>
      <c r="B23" s="24"/>
      <c r="C23" s="24"/>
      <c r="D23" s="24"/>
      <c r="E23" s="24"/>
      <c r="F23" s="28"/>
      <c r="G23" s="24"/>
    </row>
    <row r="24" customFormat="false" ht="15" hidden="false" customHeight="false" outlineLevel="0" collapsed="false">
      <c r="A24" s="27"/>
      <c r="B24" s="24"/>
      <c r="C24" s="24"/>
      <c r="D24" s="24"/>
      <c r="E24" s="24"/>
      <c r="F24" s="28"/>
      <c r="G24" s="24"/>
    </row>
    <row r="25" customFormat="false" ht="15" hidden="false" customHeight="false" outlineLevel="0" collapsed="false">
      <c r="A25" s="27"/>
      <c r="B25" s="24"/>
      <c r="C25" s="24"/>
      <c r="D25" s="24"/>
      <c r="E25" s="24"/>
      <c r="F25" s="28"/>
      <c r="G25" s="24"/>
    </row>
    <row r="26" customFormat="false" ht="15" hidden="false" customHeight="false" outlineLevel="0" collapsed="false">
      <c r="A26" s="27"/>
      <c r="B26" s="24"/>
      <c r="C26" s="24"/>
      <c r="D26" s="24"/>
      <c r="E26" s="24"/>
      <c r="F26" s="28"/>
      <c r="G26" s="24"/>
    </row>
    <row r="27" customFormat="false" ht="15" hidden="false" customHeight="false" outlineLevel="0" collapsed="false">
      <c r="A27" s="27"/>
      <c r="B27" s="24"/>
      <c r="C27" s="24"/>
      <c r="D27" s="24"/>
      <c r="E27" s="24"/>
      <c r="F27" s="28"/>
      <c r="G27" s="24"/>
    </row>
    <row r="28" customFormat="false" ht="15" hidden="false" customHeight="false" outlineLevel="0" collapsed="false">
      <c r="A28" s="27"/>
      <c r="B28" s="24"/>
      <c r="C28" s="24"/>
      <c r="D28" s="24"/>
      <c r="E28" s="24"/>
      <c r="F28" s="28"/>
      <c r="G28" s="24"/>
    </row>
    <row r="29" customFormat="false" ht="15" hidden="false" customHeight="false" outlineLevel="0" collapsed="false">
      <c r="A29" s="27"/>
      <c r="B29" s="24"/>
      <c r="C29" s="24"/>
      <c r="D29" s="24"/>
      <c r="E29" s="24"/>
      <c r="F29" s="28"/>
      <c r="G29" s="24"/>
    </row>
    <row r="30" customFormat="false" ht="15" hidden="false" customHeight="false" outlineLevel="0" collapsed="false">
      <c r="A30" s="27"/>
      <c r="B30" s="24"/>
      <c r="C30" s="24"/>
      <c r="D30" s="24"/>
      <c r="E30" s="24"/>
      <c r="F30" s="28"/>
      <c r="G30" s="24"/>
    </row>
    <row r="31" customFormat="false" ht="15" hidden="false" customHeight="false" outlineLevel="0" collapsed="false">
      <c r="A31" s="27"/>
      <c r="B31" s="24"/>
      <c r="C31" s="24"/>
      <c r="D31" s="24"/>
      <c r="E31" s="24"/>
      <c r="F31" s="28"/>
      <c r="G31" s="24"/>
    </row>
    <row r="32" customFormat="false" ht="15" hidden="false" customHeight="false" outlineLevel="0" collapsed="false">
      <c r="A32" s="27"/>
      <c r="B32" s="24"/>
      <c r="C32" s="24"/>
      <c r="D32" s="24"/>
      <c r="E32" s="24"/>
      <c r="F32" s="28"/>
      <c r="G32" s="24"/>
    </row>
    <row r="33" customFormat="false" ht="15" hidden="false" customHeight="false" outlineLevel="0" collapsed="false">
      <c r="A33" s="27"/>
      <c r="B33" s="24"/>
      <c r="C33" s="24"/>
      <c r="D33" s="24"/>
      <c r="E33" s="24"/>
      <c r="F33" s="28"/>
      <c r="G33" s="24"/>
    </row>
    <row r="34" customFormat="false" ht="15" hidden="false" customHeight="false" outlineLevel="0" collapsed="false">
      <c r="A34" s="27"/>
      <c r="B34" s="24"/>
      <c r="C34" s="24"/>
      <c r="D34" s="24"/>
      <c r="E34" s="24"/>
      <c r="F34" s="28"/>
      <c r="G34" s="24"/>
    </row>
    <row r="35" customFormat="false" ht="15" hidden="false" customHeight="false" outlineLevel="0" collapsed="false">
      <c r="A35" s="27"/>
      <c r="B35" s="24"/>
      <c r="C35" s="24"/>
      <c r="D35" s="24"/>
      <c r="E35" s="24"/>
      <c r="F35" s="28"/>
      <c r="G35" s="24"/>
    </row>
    <row r="36" customFormat="false" ht="15" hidden="false" customHeight="false" outlineLevel="0" collapsed="false">
      <c r="A36" s="27"/>
      <c r="B36" s="24"/>
      <c r="C36" s="24"/>
      <c r="D36" s="24"/>
      <c r="E36" s="24"/>
      <c r="F36" s="28"/>
      <c r="G36" s="24"/>
    </row>
    <row r="37" customFormat="false" ht="15" hidden="false" customHeight="false" outlineLevel="0" collapsed="false">
      <c r="A37" s="27"/>
      <c r="B37" s="24"/>
      <c r="C37" s="24"/>
      <c r="D37" s="24"/>
      <c r="E37" s="24"/>
      <c r="F37" s="28"/>
      <c r="G37" s="24"/>
    </row>
    <row r="38" customFormat="false" ht="15" hidden="false" customHeight="false" outlineLevel="0" collapsed="false">
      <c r="A38" s="27"/>
      <c r="B38" s="24"/>
      <c r="C38" s="24"/>
      <c r="D38" s="24"/>
      <c r="E38" s="24"/>
      <c r="F38" s="28"/>
      <c r="G38" s="24"/>
    </row>
    <row r="39" customFormat="false" ht="15" hidden="false" customHeight="false" outlineLevel="0" collapsed="false">
      <c r="A39" s="27"/>
      <c r="B39" s="24"/>
      <c r="C39" s="24"/>
      <c r="D39" s="24"/>
      <c r="E39" s="24"/>
      <c r="F39" s="28"/>
      <c r="G39" s="24"/>
    </row>
    <row r="40" customFormat="false" ht="15" hidden="false" customHeight="false" outlineLevel="0" collapsed="false">
      <c r="A40" s="27"/>
      <c r="B40" s="24"/>
      <c r="C40" s="24"/>
      <c r="D40" s="24"/>
      <c r="E40" s="24"/>
      <c r="F40" s="28"/>
      <c r="G40" s="24"/>
    </row>
    <row r="41" customFormat="false" ht="15" hidden="false" customHeight="false" outlineLevel="0" collapsed="false">
      <c r="A41" s="27"/>
      <c r="B41" s="24"/>
      <c r="C41" s="24"/>
      <c r="D41" s="24"/>
      <c r="E41" s="24"/>
      <c r="F41" s="28"/>
      <c r="G41" s="24"/>
    </row>
    <row r="42" customFormat="false" ht="15" hidden="false" customHeight="false" outlineLevel="0" collapsed="false">
      <c r="A42" s="27"/>
      <c r="B42" s="24"/>
      <c r="C42" s="24"/>
      <c r="D42" s="24"/>
      <c r="E42" s="24"/>
      <c r="F42" s="28"/>
      <c r="G42" s="24"/>
    </row>
    <row r="43" customFormat="false" ht="15" hidden="false" customHeight="false" outlineLevel="0" collapsed="false">
      <c r="A43" s="27"/>
      <c r="B43" s="24"/>
      <c r="C43" s="24"/>
      <c r="D43" s="24"/>
      <c r="E43" s="24"/>
      <c r="F43" s="28"/>
      <c r="G43" s="24"/>
    </row>
    <row r="44" customFormat="false" ht="15" hidden="false" customHeight="false" outlineLevel="0" collapsed="false">
      <c r="A44" s="27"/>
      <c r="B44" s="24"/>
      <c r="C44" s="24"/>
      <c r="D44" s="24"/>
      <c r="E44" s="24"/>
      <c r="F44" s="28"/>
      <c r="G44" s="24"/>
    </row>
    <row r="45" customFormat="false" ht="15" hidden="false" customHeight="false" outlineLevel="0" collapsed="false">
      <c r="A45" s="27"/>
      <c r="B45" s="24"/>
      <c r="C45" s="24"/>
      <c r="D45" s="24"/>
      <c r="E45" s="24"/>
      <c r="F45" s="28"/>
      <c r="G45" s="24"/>
    </row>
    <row r="46" customFormat="false" ht="15" hidden="false" customHeight="false" outlineLevel="0" collapsed="false">
      <c r="A46" s="27"/>
      <c r="B46" s="24"/>
      <c r="C46" s="24"/>
      <c r="D46" s="24"/>
      <c r="E46" s="24"/>
      <c r="F46" s="28"/>
      <c r="G46" s="24"/>
    </row>
    <row r="47" customFormat="false" ht="15" hidden="false" customHeight="false" outlineLevel="0" collapsed="false">
      <c r="A47" s="27"/>
      <c r="B47" s="24"/>
      <c r="C47" s="24"/>
      <c r="D47" s="24"/>
      <c r="E47" s="24"/>
      <c r="F47" s="28"/>
      <c r="G47" s="24"/>
    </row>
    <row r="48" customFormat="false" ht="15" hidden="false" customHeight="false" outlineLevel="0" collapsed="false">
      <c r="A48" s="27"/>
      <c r="B48" s="24"/>
      <c r="C48" s="24"/>
      <c r="D48" s="24"/>
      <c r="E48" s="24"/>
      <c r="F48" s="28"/>
      <c r="G48" s="24"/>
    </row>
    <row r="49" customFormat="false" ht="15" hidden="false" customHeight="false" outlineLevel="0" collapsed="false">
      <c r="A49" s="27"/>
      <c r="B49" s="24"/>
      <c r="C49" s="24"/>
      <c r="D49" s="24"/>
      <c r="E49" s="24"/>
      <c r="F49" s="28"/>
      <c r="G49" s="24"/>
    </row>
    <row r="50" customFormat="false" ht="15" hidden="false" customHeight="false" outlineLevel="0" collapsed="false">
      <c r="A50" s="27"/>
      <c r="B50" s="24"/>
      <c r="C50" s="24"/>
      <c r="D50" s="24"/>
      <c r="E50" s="24"/>
      <c r="F50" s="28"/>
      <c r="G50" s="24"/>
    </row>
    <row r="51" customFormat="false" ht="15" hidden="false" customHeight="false" outlineLevel="0" collapsed="false">
      <c r="A51" s="27"/>
      <c r="B51" s="24"/>
      <c r="C51" s="24"/>
      <c r="D51" s="24"/>
      <c r="E51" s="24"/>
      <c r="F51" s="28"/>
      <c r="G51" s="24"/>
    </row>
    <row r="52" customFormat="false" ht="15" hidden="false" customHeight="false" outlineLevel="0" collapsed="false">
      <c r="A52" s="27"/>
      <c r="B52" s="24"/>
      <c r="C52" s="24"/>
      <c r="D52" s="24"/>
      <c r="E52" s="24"/>
      <c r="F52" s="28"/>
      <c r="G52" s="24"/>
    </row>
    <row r="53" customFormat="false" ht="15" hidden="false" customHeight="false" outlineLevel="0" collapsed="false">
      <c r="A53" s="27"/>
      <c r="B53" s="24"/>
      <c r="C53" s="24"/>
      <c r="D53" s="24"/>
      <c r="E53" s="24"/>
      <c r="F53" s="28"/>
      <c r="G53" s="24"/>
    </row>
    <row r="54" customFormat="false" ht="15" hidden="false" customHeight="false" outlineLevel="0" collapsed="false">
      <c r="A54" s="27"/>
      <c r="B54" s="24"/>
      <c r="C54" s="24"/>
      <c r="D54" s="24"/>
      <c r="E54" s="24"/>
      <c r="F54" s="28"/>
      <c r="G54" s="24"/>
    </row>
    <row r="55" customFormat="false" ht="15" hidden="false" customHeight="false" outlineLevel="0" collapsed="false">
      <c r="A55" s="27"/>
      <c r="B55" s="24"/>
      <c r="C55" s="24"/>
      <c r="D55" s="24"/>
      <c r="E55" s="24"/>
      <c r="F55" s="28"/>
      <c r="G55" s="24"/>
    </row>
    <row r="56" customFormat="false" ht="15" hidden="false" customHeight="false" outlineLevel="0" collapsed="false">
      <c r="A56" s="27"/>
      <c r="B56" s="24"/>
      <c r="C56" s="24"/>
      <c r="D56" s="24"/>
      <c r="E56" s="24"/>
      <c r="F56" s="28"/>
      <c r="G56" s="24"/>
    </row>
    <row r="57" customFormat="false" ht="15" hidden="false" customHeight="false" outlineLevel="0" collapsed="false">
      <c r="A57" s="27"/>
      <c r="B57" s="24"/>
      <c r="C57" s="24"/>
      <c r="D57" s="24"/>
      <c r="E57" s="24"/>
      <c r="F57" s="28"/>
      <c r="G57" s="24"/>
    </row>
    <row r="58" customFormat="false" ht="15" hidden="false" customHeight="false" outlineLevel="0" collapsed="false">
      <c r="A58" s="27"/>
      <c r="B58" s="24"/>
      <c r="C58" s="24"/>
      <c r="D58" s="24"/>
      <c r="E58" s="24"/>
      <c r="F58" s="28"/>
      <c r="G58" s="24"/>
    </row>
    <row r="59" customFormat="false" ht="15" hidden="false" customHeight="false" outlineLevel="0" collapsed="false">
      <c r="A59" s="27"/>
      <c r="B59" s="24"/>
      <c r="C59" s="24"/>
      <c r="D59" s="24"/>
      <c r="E59" s="24"/>
      <c r="F59" s="28"/>
      <c r="G59" s="24"/>
    </row>
    <row r="60" customFormat="false" ht="15" hidden="false" customHeight="false" outlineLevel="0" collapsed="false">
      <c r="A60" s="27"/>
      <c r="B60" s="24"/>
      <c r="C60" s="24"/>
      <c r="D60" s="24"/>
      <c r="E60" s="24"/>
      <c r="F60" s="28"/>
      <c r="G60" s="24"/>
    </row>
    <row r="61" customFormat="false" ht="15" hidden="false" customHeight="false" outlineLevel="0" collapsed="false">
      <c r="A61" s="27"/>
      <c r="B61" s="24"/>
      <c r="C61" s="24"/>
      <c r="D61" s="24"/>
      <c r="E61" s="24"/>
      <c r="F61" s="28"/>
      <c r="G61" s="24"/>
    </row>
    <row r="62" customFormat="false" ht="15" hidden="false" customHeight="false" outlineLevel="0" collapsed="false">
      <c r="A62" s="27"/>
      <c r="B62" s="24"/>
      <c r="C62" s="24"/>
      <c r="D62" s="24"/>
      <c r="E62" s="24"/>
      <c r="F62" s="28"/>
      <c r="G62" s="24"/>
    </row>
    <row r="63" customFormat="false" ht="15" hidden="false" customHeight="false" outlineLevel="0" collapsed="false">
      <c r="A63" s="27"/>
      <c r="B63" s="24"/>
      <c r="C63" s="24"/>
      <c r="D63" s="24"/>
      <c r="E63" s="24"/>
      <c r="F63" s="28"/>
      <c r="G63" s="24"/>
    </row>
    <row r="64" customFormat="false" ht="15" hidden="false" customHeight="false" outlineLevel="0" collapsed="false">
      <c r="A64" s="27"/>
      <c r="B64" s="24"/>
      <c r="C64" s="24"/>
      <c r="D64" s="24"/>
      <c r="E64" s="24"/>
      <c r="F64" s="28"/>
      <c r="G64" s="24"/>
    </row>
    <row r="65" customFormat="false" ht="15" hidden="false" customHeight="false" outlineLevel="0" collapsed="false">
      <c r="A65" s="27"/>
      <c r="B65" s="24"/>
      <c r="C65" s="24"/>
      <c r="D65" s="24"/>
      <c r="E65" s="24"/>
      <c r="F65" s="28"/>
      <c r="G65" s="24"/>
    </row>
    <row r="66" customFormat="false" ht="15" hidden="false" customHeight="false" outlineLevel="0" collapsed="false">
      <c r="A66" s="27"/>
      <c r="B66" s="24"/>
      <c r="C66" s="24"/>
      <c r="D66" s="24"/>
      <c r="E66" s="24"/>
      <c r="F66" s="28"/>
      <c r="G66" s="24"/>
    </row>
    <row r="67" customFormat="false" ht="15" hidden="false" customHeight="false" outlineLevel="0" collapsed="false">
      <c r="A67" s="27"/>
      <c r="B67" s="24"/>
      <c r="C67" s="24"/>
      <c r="D67" s="24"/>
      <c r="E67" s="24"/>
      <c r="F67" s="28"/>
      <c r="G67" s="24"/>
    </row>
    <row r="68" customFormat="false" ht="15" hidden="false" customHeight="false" outlineLevel="0" collapsed="false">
      <c r="A68" s="27"/>
      <c r="B68" s="24"/>
      <c r="C68" s="24"/>
      <c r="D68" s="24"/>
      <c r="E68" s="24"/>
      <c r="F68" s="28"/>
      <c r="G68" s="24"/>
    </row>
    <row r="69" customFormat="false" ht="15" hidden="false" customHeight="false" outlineLevel="0" collapsed="false">
      <c r="A69" s="27"/>
      <c r="B69" s="24"/>
      <c r="C69" s="24"/>
      <c r="D69" s="24"/>
      <c r="E69" s="24"/>
      <c r="F69" s="28"/>
      <c r="G69" s="24"/>
    </row>
    <row r="70" customFormat="false" ht="15" hidden="false" customHeight="false" outlineLevel="0" collapsed="false">
      <c r="A70" s="27"/>
      <c r="B70" s="24"/>
      <c r="C70" s="24"/>
      <c r="D70" s="24"/>
      <c r="E70" s="24"/>
      <c r="F70" s="28"/>
      <c r="G70" s="24"/>
    </row>
    <row r="71" customFormat="false" ht="15" hidden="false" customHeight="false" outlineLevel="0" collapsed="false">
      <c r="A71" s="27"/>
      <c r="B71" s="24"/>
      <c r="C71" s="24"/>
      <c r="D71" s="24"/>
      <c r="E71" s="24"/>
      <c r="F71" s="28"/>
      <c r="G71" s="24"/>
    </row>
    <row r="72" customFormat="false" ht="15" hidden="false" customHeight="false" outlineLevel="0" collapsed="false">
      <c r="A72" s="27"/>
      <c r="B72" s="24"/>
      <c r="C72" s="24"/>
      <c r="D72" s="24"/>
      <c r="E72" s="24"/>
      <c r="F72" s="28"/>
      <c r="G72" s="24"/>
    </row>
    <row r="73" customFormat="false" ht="15" hidden="false" customHeight="false" outlineLevel="0" collapsed="false">
      <c r="A73" s="27"/>
      <c r="B73" s="24"/>
      <c r="C73" s="24"/>
      <c r="D73" s="24"/>
      <c r="E73" s="24"/>
      <c r="F73" s="28"/>
      <c r="G73" s="24"/>
    </row>
    <row r="74" customFormat="false" ht="15" hidden="false" customHeight="false" outlineLevel="0" collapsed="false">
      <c r="A74" s="27"/>
      <c r="B74" s="24"/>
      <c r="C74" s="24"/>
      <c r="D74" s="24"/>
      <c r="E74" s="24"/>
      <c r="F74" s="28"/>
      <c r="G74" s="24"/>
    </row>
    <row r="75" customFormat="false" ht="15" hidden="false" customHeight="false" outlineLevel="0" collapsed="false">
      <c r="A75" s="27"/>
      <c r="B75" s="24"/>
      <c r="C75" s="24"/>
      <c r="D75" s="24"/>
      <c r="E75" s="24"/>
      <c r="F75" s="28"/>
      <c r="G75" s="24"/>
    </row>
    <row r="76" customFormat="false" ht="15" hidden="false" customHeight="false" outlineLevel="0" collapsed="false">
      <c r="A76" s="27"/>
      <c r="B76" s="24"/>
      <c r="C76" s="24"/>
      <c r="D76" s="24"/>
      <c r="E76" s="24"/>
      <c r="F76" s="28"/>
      <c r="G76" s="24"/>
    </row>
    <row r="77" customFormat="false" ht="15" hidden="false" customHeight="false" outlineLevel="0" collapsed="false">
      <c r="A77" s="27"/>
      <c r="B77" s="24"/>
      <c r="C77" s="24"/>
      <c r="D77" s="24"/>
      <c r="E77" s="24"/>
      <c r="F77" s="28"/>
      <c r="G77" s="24"/>
    </row>
    <row r="78" customFormat="false" ht="15" hidden="false" customHeight="false" outlineLevel="0" collapsed="false">
      <c r="A78" s="27"/>
      <c r="B78" s="24"/>
      <c r="C78" s="24"/>
      <c r="D78" s="24"/>
      <c r="E78" s="24"/>
      <c r="F78" s="28"/>
      <c r="G78" s="24"/>
    </row>
    <row r="79" customFormat="false" ht="15" hidden="false" customHeight="false" outlineLevel="0" collapsed="false">
      <c r="A79" s="27"/>
      <c r="B79" s="24"/>
      <c r="C79" s="24"/>
      <c r="D79" s="24"/>
      <c r="E79" s="24"/>
      <c r="F79" s="28"/>
      <c r="G79" s="24"/>
    </row>
    <row r="80" customFormat="false" ht="15" hidden="false" customHeight="false" outlineLevel="0" collapsed="false">
      <c r="A80" s="27"/>
      <c r="B80" s="24"/>
      <c r="C80" s="24"/>
      <c r="D80" s="24"/>
      <c r="E80" s="24"/>
      <c r="F80" s="28"/>
      <c r="G80" s="24"/>
    </row>
    <row r="81" customFormat="false" ht="15" hidden="false" customHeight="false" outlineLevel="0" collapsed="false">
      <c r="A81" s="27"/>
      <c r="B81" s="24"/>
      <c r="C81" s="24"/>
      <c r="D81" s="24"/>
      <c r="E81" s="24"/>
      <c r="F81" s="28"/>
      <c r="G81" s="24"/>
    </row>
    <row r="82" customFormat="false" ht="15" hidden="false" customHeight="false" outlineLevel="0" collapsed="false">
      <c r="A82" s="27"/>
      <c r="B82" s="24"/>
      <c r="C82" s="24"/>
      <c r="D82" s="24"/>
      <c r="E82" s="24"/>
      <c r="F82" s="28"/>
      <c r="G82" s="24"/>
    </row>
    <row r="83" customFormat="false" ht="15" hidden="false" customHeight="false" outlineLevel="0" collapsed="false">
      <c r="A83" s="27"/>
      <c r="B83" s="24"/>
      <c r="C83" s="24"/>
      <c r="D83" s="24"/>
      <c r="E83" s="24"/>
      <c r="F83" s="28"/>
      <c r="G83" s="24"/>
    </row>
    <row r="84" customFormat="false" ht="15" hidden="false" customHeight="false" outlineLevel="0" collapsed="false">
      <c r="A84" s="27"/>
      <c r="B84" s="24"/>
      <c r="C84" s="24"/>
      <c r="D84" s="24"/>
      <c r="E84" s="24"/>
      <c r="F84" s="28"/>
      <c r="G84" s="24"/>
    </row>
    <row r="85" customFormat="false" ht="15" hidden="false" customHeight="false" outlineLevel="0" collapsed="false">
      <c r="A85" s="27"/>
      <c r="B85" s="24"/>
      <c r="C85" s="24"/>
      <c r="D85" s="24"/>
      <c r="E85" s="24"/>
      <c r="F85" s="28"/>
      <c r="G85" s="24"/>
    </row>
    <row r="86" customFormat="false" ht="15" hidden="false" customHeight="false" outlineLevel="0" collapsed="false">
      <c r="A86" s="27"/>
      <c r="B86" s="24"/>
      <c r="C86" s="24"/>
      <c r="D86" s="24"/>
      <c r="E86" s="24"/>
      <c r="F86" s="28"/>
      <c r="G86" s="24"/>
    </row>
    <row r="87" customFormat="false" ht="15" hidden="false" customHeight="false" outlineLevel="0" collapsed="false">
      <c r="A87" s="27"/>
      <c r="B87" s="24"/>
      <c r="C87" s="24"/>
      <c r="D87" s="24"/>
      <c r="E87" s="24"/>
      <c r="F87" s="28"/>
      <c r="G87" s="24"/>
    </row>
    <row r="88" customFormat="false" ht="15" hidden="false" customHeight="false" outlineLevel="0" collapsed="false">
      <c r="A88" s="27"/>
      <c r="B88" s="24"/>
      <c r="C88" s="24"/>
      <c r="D88" s="24"/>
      <c r="E88" s="24"/>
      <c r="F88" s="28"/>
      <c r="G88" s="24"/>
    </row>
    <row r="89" customFormat="false" ht="15" hidden="false" customHeight="false" outlineLevel="0" collapsed="false">
      <c r="A89" s="27"/>
      <c r="B89" s="24"/>
      <c r="C89" s="24"/>
      <c r="D89" s="24"/>
      <c r="E89" s="24"/>
      <c r="F89" s="28"/>
      <c r="G89" s="24"/>
    </row>
    <row r="90" customFormat="false" ht="15" hidden="false" customHeight="false" outlineLevel="0" collapsed="false">
      <c r="A90" s="27"/>
      <c r="B90" s="24"/>
      <c r="C90" s="24"/>
      <c r="D90" s="24"/>
      <c r="E90" s="24"/>
      <c r="F90" s="28"/>
      <c r="G90" s="24"/>
    </row>
    <row r="91" customFormat="false" ht="15" hidden="false" customHeight="false" outlineLevel="0" collapsed="false">
      <c r="A91" s="27"/>
      <c r="B91" s="24"/>
      <c r="C91" s="24"/>
      <c r="D91" s="24"/>
      <c r="E91" s="24"/>
      <c r="F91" s="28"/>
      <c r="G91" s="24"/>
    </row>
    <row r="92" customFormat="false" ht="15" hidden="false" customHeight="false" outlineLevel="0" collapsed="false">
      <c r="A92" s="27"/>
      <c r="B92" s="24"/>
      <c r="C92" s="24"/>
      <c r="D92" s="24"/>
      <c r="E92" s="24"/>
      <c r="F92" s="28"/>
      <c r="G92" s="24"/>
    </row>
    <row r="93" customFormat="false" ht="15" hidden="false" customHeight="false" outlineLevel="0" collapsed="false">
      <c r="A93" s="27"/>
      <c r="B93" s="24"/>
      <c r="C93" s="24"/>
      <c r="D93" s="24"/>
      <c r="E93" s="24"/>
      <c r="F93" s="28"/>
      <c r="G93" s="24"/>
    </row>
    <row r="94" customFormat="false" ht="15" hidden="false" customHeight="false" outlineLevel="0" collapsed="false">
      <c r="A94" s="27"/>
      <c r="B94" s="24"/>
      <c r="C94" s="24"/>
      <c r="D94" s="24"/>
      <c r="E94" s="24"/>
      <c r="F94" s="28"/>
      <c r="G94" s="24"/>
    </row>
    <row r="95" customFormat="false" ht="15" hidden="false" customHeight="false" outlineLevel="0" collapsed="false">
      <c r="A95" s="27"/>
      <c r="B95" s="24"/>
      <c r="C95" s="24"/>
      <c r="D95" s="24"/>
      <c r="E95" s="24"/>
      <c r="F95" s="28"/>
      <c r="G95" s="24"/>
    </row>
    <row r="96" customFormat="false" ht="15" hidden="false" customHeight="false" outlineLevel="0" collapsed="false">
      <c r="A96" s="27"/>
      <c r="B96" s="24"/>
      <c r="C96" s="24"/>
      <c r="D96" s="24"/>
      <c r="E96" s="24"/>
      <c r="F96" s="28"/>
      <c r="G96" s="24"/>
    </row>
    <row r="97" customFormat="false" ht="15" hidden="false" customHeight="false" outlineLevel="0" collapsed="false">
      <c r="A97" s="27"/>
      <c r="B97" s="24"/>
      <c r="C97" s="24"/>
      <c r="D97" s="24"/>
      <c r="E97" s="24"/>
      <c r="F97" s="28"/>
      <c r="G97" s="24"/>
    </row>
    <row r="98" customFormat="false" ht="15" hidden="false" customHeight="false" outlineLevel="0" collapsed="false">
      <c r="A98" s="27"/>
      <c r="B98" s="24"/>
      <c r="C98" s="24"/>
      <c r="D98" s="24"/>
      <c r="E98" s="24"/>
      <c r="F98" s="28"/>
      <c r="G98" s="24"/>
    </row>
    <row r="99" customFormat="false" ht="15" hidden="false" customHeight="false" outlineLevel="0" collapsed="false">
      <c r="A99" s="27"/>
      <c r="B99" s="24"/>
      <c r="C99" s="24"/>
      <c r="D99" s="24"/>
      <c r="E99" s="24"/>
      <c r="F99" s="28"/>
      <c r="G99" s="24"/>
    </row>
    <row r="100" customFormat="false" ht="15" hidden="false" customHeight="false" outlineLevel="0" collapsed="false">
      <c r="A100" s="27"/>
      <c r="B100" s="24"/>
      <c r="C100" s="24"/>
      <c r="D100" s="24"/>
      <c r="E100" s="24"/>
      <c r="F100" s="28"/>
      <c r="G100" s="24"/>
    </row>
    <row r="101" customFormat="false" ht="15" hidden="false" customHeight="false" outlineLevel="0" collapsed="false">
      <c r="A101" s="27"/>
      <c r="B101" s="24"/>
      <c r="C101" s="24"/>
      <c r="D101" s="24"/>
      <c r="E101" s="24"/>
      <c r="F101" s="28"/>
      <c r="G101" s="24"/>
    </row>
    <row r="102" customFormat="false" ht="15" hidden="false" customHeight="false" outlineLevel="0" collapsed="false">
      <c r="A102" s="27"/>
      <c r="B102" s="24"/>
      <c r="C102" s="24"/>
      <c r="D102" s="24"/>
      <c r="E102" s="24"/>
      <c r="F102" s="28"/>
      <c r="G102" s="24"/>
    </row>
    <row r="103" customFormat="false" ht="15" hidden="false" customHeight="false" outlineLevel="0" collapsed="false">
      <c r="A103" s="27"/>
      <c r="B103" s="24"/>
      <c r="C103" s="24"/>
      <c r="D103" s="24"/>
      <c r="E103" s="24"/>
      <c r="F103" s="28"/>
      <c r="G103" s="24"/>
    </row>
    <row r="104" customFormat="false" ht="15" hidden="false" customHeight="false" outlineLevel="0" collapsed="false">
      <c r="A104" s="27"/>
      <c r="B104" s="24"/>
      <c r="C104" s="24"/>
      <c r="D104" s="24"/>
      <c r="E104" s="24"/>
      <c r="F104" s="28"/>
      <c r="G104" s="24"/>
    </row>
    <row r="105" customFormat="false" ht="15" hidden="false" customHeight="false" outlineLevel="0" collapsed="false">
      <c r="A105" s="27"/>
      <c r="B105" s="24"/>
      <c r="C105" s="24"/>
      <c r="D105" s="24"/>
      <c r="E105" s="24"/>
      <c r="F105" s="28"/>
      <c r="G105" s="24"/>
    </row>
    <row r="106" customFormat="false" ht="15" hidden="false" customHeight="false" outlineLevel="0" collapsed="false">
      <c r="A106" s="27"/>
      <c r="B106" s="24"/>
      <c r="C106" s="24"/>
      <c r="D106" s="24"/>
      <c r="E106" s="24"/>
      <c r="F106" s="28"/>
      <c r="G106" s="24"/>
    </row>
    <row r="107" customFormat="false" ht="15" hidden="false" customHeight="false" outlineLevel="0" collapsed="false">
      <c r="A107" s="27"/>
      <c r="B107" s="24"/>
      <c r="C107" s="24"/>
      <c r="D107" s="24"/>
      <c r="E107" s="24"/>
      <c r="F107" s="28"/>
      <c r="G107" s="24"/>
    </row>
    <row r="108" customFormat="false" ht="15" hidden="false" customHeight="false" outlineLevel="0" collapsed="false">
      <c r="A108" s="27"/>
      <c r="B108" s="24"/>
      <c r="C108" s="24"/>
      <c r="D108" s="24"/>
      <c r="E108" s="24"/>
      <c r="F108" s="28"/>
      <c r="G108" s="24"/>
    </row>
    <row r="109" customFormat="false" ht="15" hidden="false" customHeight="false" outlineLevel="0" collapsed="false">
      <c r="A109" s="27"/>
      <c r="B109" s="24"/>
      <c r="C109" s="24"/>
      <c r="D109" s="24"/>
      <c r="E109" s="24"/>
      <c r="F109" s="28"/>
      <c r="G109" s="24"/>
    </row>
    <row r="110" customFormat="false" ht="15" hidden="false" customHeight="false" outlineLevel="0" collapsed="false">
      <c r="A110" s="27"/>
      <c r="B110" s="24"/>
      <c r="C110" s="24"/>
      <c r="D110" s="24"/>
      <c r="E110" s="24"/>
      <c r="F110" s="28"/>
      <c r="G110" s="24"/>
    </row>
    <row r="111" customFormat="false" ht="15" hidden="false" customHeight="false" outlineLevel="0" collapsed="false">
      <c r="A111" s="27"/>
      <c r="B111" s="24"/>
      <c r="C111" s="24"/>
      <c r="D111" s="24"/>
      <c r="E111" s="24"/>
      <c r="F111" s="28"/>
      <c r="G111" s="24"/>
    </row>
    <row r="112" customFormat="false" ht="15" hidden="false" customHeight="false" outlineLevel="0" collapsed="false">
      <c r="A112" s="27"/>
      <c r="B112" s="24"/>
      <c r="C112" s="24"/>
      <c r="D112" s="24"/>
      <c r="E112" s="24"/>
      <c r="F112" s="28"/>
      <c r="G112" s="24"/>
    </row>
    <row r="113" customFormat="false" ht="15" hidden="false" customHeight="false" outlineLevel="0" collapsed="false">
      <c r="A113" s="27"/>
      <c r="B113" s="24"/>
      <c r="C113" s="24"/>
      <c r="D113" s="24"/>
      <c r="E113" s="24"/>
      <c r="F113" s="28"/>
      <c r="G113" s="24"/>
    </row>
    <row r="114" customFormat="false" ht="15" hidden="false" customHeight="false" outlineLevel="0" collapsed="false">
      <c r="A114" s="27"/>
      <c r="B114" s="24"/>
      <c r="C114" s="24"/>
      <c r="D114" s="24"/>
      <c r="E114" s="24"/>
      <c r="F114" s="28"/>
      <c r="G114" s="24"/>
    </row>
    <row r="115" customFormat="false" ht="15" hidden="false" customHeight="false" outlineLevel="0" collapsed="false">
      <c r="A115" s="27"/>
      <c r="B115" s="24"/>
      <c r="C115" s="24"/>
      <c r="D115" s="24"/>
      <c r="E115" s="24"/>
      <c r="F115" s="28"/>
      <c r="G115" s="24"/>
    </row>
    <row r="116" customFormat="false" ht="15" hidden="false" customHeight="false" outlineLevel="0" collapsed="false">
      <c r="A116" s="27"/>
      <c r="B116" s="24"/>
      <c r="C116" s="24"/>
      <c r="D116" s="24"/>
      <c r="E116" s="24"/>
      <c r="F116" s="28"/>
      <c r="G116" s="24"/>
    </row>
    <row r="117" customFormat="false" ht="15" hidden="false" customHeight="false" outlineLevel="0" collapsed="false">
      <c r="A117" s="27"/>
      <c r="B117" s="24"/>
      <c r="C117" s="24"/>
      <c r="D117" s="24"/>
      <c r="E117" s="24"/>
      <c r="F117" s="28"/>
      <c r="G117" s="24"/>
    </row>
    <row r="118" customFormat="false" ht="15" hidden="false" customHeight="false" outlineLevel="0" collapsed="false">
      <c r="A118" s="27"/>
      <c r="B118" s="24"/>
      <c r="C118" s="24"/>
      <c r="D118" s="24"/>
      <c r="E118" s="24"/>
      <c r="F118" s="28"/>
      <c r="G118" s="24"/>
    </row>
    <row r="119" customFormat="false" ht="15" hidden="false" customHeight="false" outlineLevel="0" collapsed="false">
      <c r="A119" s="27"/>
      <c r="B119" s="24"/>
      <c r="C119" s="24"/>
      <c r="D119" s="24"/>
      <c r="E119" s="24"/>
      <c r="F119" s="28"/>
      <c r="G119" s="24"/>
    </row>
    <row r="120" customFormat="false" ht="15" hidden="false" customHeight="false" outlineLevel="0" collapsed="false">
      <c r="A120" s="27"/>
      <c r="B120" s="24"/>
      <c r="C120" s="24"/>
      <c r="D120" s="24"/>
      <c r="E120" s="24"/>
      <c r="F120" s="28"/>
      <c r="G120" s="24"/>
    </row>
    <row r="121" customFormat="false" ht="15" hidden="false" customHeight="false" outlineLevel="0" collapsed="false">
      <c r="A121" s="27"/>
      <c r="B121" s="24"/>
      <c r="C121" s="24"/>
      <c r="D121" s="24"/>
      <c r="E121" s="24"/>
      <c r="F121" s="28"/>
      <c r="G121" s="24"/>
    </row>
    <row r="122" customFormat="false" ht="15" hidden="false" customHeight="false" outlineLevel="0" collapsed="false">
      <c r="A122" s="27"/>
      <c r="B122" s="24"/>
      <c r="C122" s="24"/>
      <c r="D122" s="24"/>
      <c r="E122" s="24"/>
      <c r="F122" s="28"/>
      <c r="G122" s="24"/>
    </row>
    <row r="123" customFormat="false" ht="15" hidden="false" customHeight="false" outlineLevel="0" collapsed="false">
      <c r="A123" s="27"/>
      <c r="B123" s="24"/>
      <c r="C123" s="24"/>
      <c r="D123" s="24"/>
      <c r="E123" s="24"/>
      <c r="F123" s="28"/>
      <c r="G123" s="24"/>
    </row>
    <row r="124" customFormat="false" ht="15" hidden="false" customHeight="false" outlineLevel="0" collapsed="false">
      <c r="A124" s="27"/>
      <c r="B124" s="24"/>
      <c r="C124" s="24"/>
      <c r="D124" s="24"/>
      <c r="E124" s="24"/>
      <c r="F124" s="28"/>
      <c r="G124" s="24"/>
    </row>
    <row r="125" customFormat="false" ht="15" hidden="false" customHeight="false" outlineLevel="0" collapsed="false">
      <c r="A125" s="27"/>
      <c r="B125" s="24"/>
      <c r="C125" s="24"/>
      <c r="D125" s="24"/>
      <c r="E125" s="24"/>
      <c r="F125" s="28"/>
      <c r="G125" s="24"/>
    </row>
    <row r="126" customFormat="false" ht="15" hidden="false" customHeight="false" outlineLevel="0" collapsed="false">
      <c r="A126" s="27"/>
      <c r="B126" s="24"/>
      <c r="C126" s="24"/>
      <c r="D126" s="24"/>
      <c r="E126" s="24"/>
      <c r="F126" s="28"/>
      <c r="G126" s="24"/>
    </row>
    <row r="127" customFormat="false" ht="15" hidden="false" customHeight="false" outlineLevel="0" collapsed="false">
      <c r="A127" s="27"/>
      <c r="B127" s="24"/>
      <c r="C127" s="24"/>
      <c r="D127" s="24"/>
      <c r="E127" s="24"/>
      <c r="F127" s="28"/>
      <c r="G127" s="24"/>
    </row>
    <row r="128" customFormat="false" ht="15" hidden="false" customHeight="false" outlineLevel="0" collapsed="false">
      <c r="A128" s="27"/>
      <c r="B128" s="24"/>
      <c r="C128" s="24"/>
      <c r="D128" s="24"/>
      <c r="E128" s="24"/>
      <c r="F128" s="28"/>
      <c r="G128" s="24"/>
    </row>
    <row r="129" customFormat="false" ht="15" hidden="false" customHeight="false" outlineLevel="0" collapsed="false">
      <c r="A129" s="27"/>
      <c r="B129" s="24"/>
      <c r="C129" s="24"/>
      <c r="D129" s="24"/>
      <c r="E129" s="24"/>
      <c r="F129" s="28"/>
      <c r="G129" s="24"/>
    </row>
    <row r="130" customFormat="false" ht="15" hidden="false" customHeight="false" outlineLevel="0" collapsed="false">
      <c r="A130" s="27"/>
      <c r="B130" s="24"/>
      <c r="C130" s="24"/>
      <c r="D130" s="24"/>
      <c r="E130" s="24"/>
      <c r="F130" s="28"/>
      <c r="G130" s="24"/>
    </row>
    <row r="131" customFormat="false" ht="15" hidden="false" customHeight="false" outlineLevel="0" collapsed="false">
      <c r="A131" s="27"/>
      <c r="B131" s="24"/>
      <c r="C131" s="24"/>
      <c r="D131" s="24"/>
      <c r="E131" s="24"/>
      <c r="F131" s="28"/>
      <c r="G131" s="24"/>
    </row>
    <row r="132" customFormat="false" ht="15" hidden="false" customHeight="false" outlineLevel="0" collapsed="false">
      <c r="A132" s="27"/>
      <c r="B132" s="24"/>
      <c r="C132" s="24"/>
      <c r="D132" s="24"/>
      <c r="E132" s="24"/>
      <c r="F132" s="28"/>
      <c r="G132" s="24"/>
    </row>
    <row r="133" customFormat="false" ht="15" hidden="false" customHeight="false" outlineLevel="0" collapsed="false">
      <c r="A133" s="27"/>
      <c r="B133" s="24"/>
      <c r="C133" s="24"/>
      <c r="D133" s="24"/>
      <c r="E133" s="24"/>
      <c r="F133" s="28"/>
      <c r="G133" s="24"/>
    </row>
    <row r="134" customFormat="false" ht="15" hidden="false" customHeight="false" outlineLevel="0" collapsed="false">
      <c r="A134" s="27"/>
      <c r="B134" s="24"/>
      <c r="C134" s="24"/>
      <c r="D134" s="24"/>
      <c r="E134" s="24"/>
      <c r="F134" s="28"/>
      <c r="G134" s="24"/>
    </row>
    <row r="135" customFormat="false" ht="15" hidden="false" customHeight="false" outlineLevel="0" collapsed="false">
      <c r="A135" s="27"/>
      <c r="B135" s="24"/>
      <c r="C135" s="24"/>
      <c r="D135" s="24"/>
      <c r="E135" s="24"/>
      <c r="F135" s="28"/>
      <c r="G135" s="24"/>
    </row>
    <row r="136" customFormat="false" ht="15" hidden="false" customHeight="false" outlineLevel="0" collapsed="false">
      <c r="A136" s="27"/>
      <c r="B136" s="24"/>
      <c r="C136" s="24"/>
      <c r="D136" s="24"/>
      <c r="E136" s="24"/>
      <c r="F136" s="28"/>
      <c r="G136" s="24"/>
    </row>
    <row r="137" customFormat="false" ht="15" hidden="false" customHeight="false" outlineLevel="0" collapsed="false">
      <c r="A137" s="27"/>
      <c r="B137" s="24"/>
      <c r="C137" s="24"/>
      <c r="D137" s="24"/>
      <c r="E137" s="24"/>
      <c r="F137" s="28"/>
      <c r="G137" s="24"/>
    </row>
    <row r="138" customFormat="false" ht="15" hidden="false" customHeight="false" outlineLevel="0" collapsed="false">
      <c r="A138" s="27"/>
      <c r="B138" s="24"/>
      <c r="C138" s="24"/>
      <c r="D138" s="24"/>
      <c r="E138" s="24"/>
      <c r="F138" s="28"/>
      <c r="G138" s="24"/>
    </row>
    <row r="139" customFormat="false" ht="15" hidden="false" customHeight="false" outlineLevel="0" collapsed="false">
      <c r="A139" s="27"/>
      <c r="B139" s="24"/>
      <c r="C139" s="24"/>
      <c r="D139" s="24"/>
      <c r="E139" s="24"/>
      <c r="F139" s="28"/>
      <c r="G139" s="24"/>
    </row>
    <row r="140" customFormat="false" ht="15" hidden="false" customHeight="false" outlineLevel="0" collapsed="false">
      <c r="A140" s="27"/>
      <c r="B140" s="24"/>
      <c r="C140" s="24"/>
      <c r="D140" s="24"/>
      <c r="E140" s="24"/>
      <c r="F140" s="28"/>
      <c r="G140" s="24"/>
    </row>
    <row r="141" customFormat="false" ht="15" hidden="false" customHeight="false" outlineLevel="0" collapsed="false">
      <c r="A141" s="27"/>
      <c r="B141" s="24"/>
      <c r="C141" s="24"/>
      <c r="D141" s="24"/>
      <c r="E141" s="24"/>
      <c r="F141" s="28"/>
      <c r="G141" s="24"/>
    </row>
    <row r="142" customFormat="false" ht="15" hidden="false" customHeight="false" outlineLevel="0" collapsed="false">
      <c r="A142" s="27"/>
      <c r="B142" s="24"/>
      <c r="C142" s="24"/>
      <c r="D142" s="24"/>
      <c r="E142" s="24"/>
      <c r="F142" s="28"/>
      <c r="G142" s="24"/>
    </row>
    <row r="143" customFormat="false" ht="15" hidden="false" customHeight="false" outlineLevel="0" collapsed="false">
      <c r="A143" s="27"/>
      <c r="B143" s="24"/>
      <c r="C143" s="24"/>
      <c r="D143" s="24"/>
      <c r="E143" s="24"/>
      <c r="F143" s="28"/>
      <c r="G143" s="24"/>
    </row>
    <row r="144" customFormat="false" ht="15" hidden="false" customHeight="false" outlineLevel="0" collapsed="false">
      <c r="A144" s="27"/>
      <c r="B144" s="24"/>
      <c r="C144" s="24"/>
      <c r="D144" s="24"/>
      <c r="E144" s="24"/>
      <c r="F144" s="28"/>
      <c r="G144" s="24"/>
    </row>
    <row r="145" customFormat="false" ht="15" hidden="false" customHeight="false" outlineLevel="0" collapsed="false">
      <c r="A145" s="27"/>
      <c r="B145" s="24"/>
      <c r="C145" s="24"/>
      <c r="D145" s="24"/>
      <c r="E145" s="24"/>
      <c r="F145" s="28"/>
      <c r="G145" s="24"/>
    </row>
    <row r="146" customFormat="false" ht="15" hidden="false" customHeight="false" outlineLevel="0" collapsed="false">
      <c r="A146" s="27"/>
      <c r="B146" s="24"/>
      <c r="C146" s="24"/>
      <c r="D146" s="24"/>
      <c r="E146" s="24"/>
      <c r="F146" s="28"/>
      <c r="G146" s="24"/>
    </row>
    <row r="147" customFormat="false" ht="15" hidden="false" customHeight="false" outlineLevel="0" collapsed="false">
      <c r="A147" s="27"/>
      <c r="B147" s="24"/>
      <c r="C147" s="24"/>
      <c r="D147" s="24"/>
      <c r="E147" s="24"/>
      <c r="F147" s="28"/>
      <c r="G147" s="24"/>
    </row>
    <row r="148" customFormat="false" ht="15" hidden="false" customHeight="false" outlineLevel="0" collapsed="false">
      <c r="A148" s="27"/>
      <c r="B148" s="24"/>
      <c r="C148" s="24"/>
      <c r="D148" s="24"/>
      <c r="E148" s="24"/>
      <c r="F148" s="28"/>
      <c r="G148" s="24"/>
    </row>
    <row r="149" customFormat="false" ht="15" hidden="false" customHeight="false" outlineLevel="0" collapsed="false">
      <c r="A149" s="27"/>
      <c r="B149" s="24"/>
      <c r="C149" s="24"/>
      <c r="D149" s="24"/>
      <c r="E149" s="24"/>
      <c r="F149" s="28"/>
      <c r="G149" s="24"/>
    </row>
    <row r="150" customFormat="false" ht="15" hidden="false" customHeight="false" outlineLevel="0" collapsed="false">
      <c r="A150" s="27"/>
      <c r="B150" s="24"/>
      <c r="C150" s="24"/>
      <c r="D150" s="24"/>
      <c r="E150" s="24"/>
      <c r="F150" s="28"/>
      <c r="G150" s="24"/>
    </row>
    <row r="151" customFormat="false" ht="15" hidden="false" customHeight="false" outlineLevel="0" collapsed="false">
      <c r="A151" s="27"/>
      <c r="B151" s="24"/>
      <c r="C151" s="24"/>
      <c r="D151" s="24"/>
      <c r="E151" s="24"/>
      <c r="F151" s="28"/>
      <c r="G151" s="24"/>
    </row>
    <row r="152" customFormat="false" ht="15" hidden="false" customHeight="false" outlineLevel="0" collapsed="false">
      <c r="A152" s="27"/>
      <c r="B152" s="24"/>
      <c r="C152" s="24"/>
      <c r="D152" s="24"/>
      <c r="E152" s="24"/>
      <c r="F152" s="28"/>
      <c r="G152" s="24"/>
    </row>
    <row r="153" customFormat="false" ht="15" hidden="false" customHeight="false" outlineLevel="0" collapsed="false">
      <c r="A153" s="27"/>
      <c r="B153" s="24"/>
      <c r="C153" s="24"/>
      <c r="D153" s="24"/>
      <c r="E153" s="24"/>
      <c r="F153" s="28"/>
      <c r="G153" s="24"/>
    </row>
    <row r="154" customFormat="false" ht="15" hidden="false" customHeight="false" outlineLevel="0" collapsed="false">
      <c r="A154" s="27"/>
      <c r="B154" s="24"/>
      <c r="C154" s="24"/>
      <c r="D154" s="24"/>
      <c r="E154" s="24"/>
      <c r="F154" s="28"/>
      <c r="G154" s="24"/>
    </row>
    <row r="155" customFormat="false" ht="15" hidden="false" customHeight="false" outlineLevel="0" collapsed="false">
      <c r="A155" s="27"/>
      <c r="B155" s="24"/>
      <c r="C155" s="24"/>
      <c r="D155" s="24"/>
      <c r="E155" s="24"/>
      <c r="F155" s="28"/>
      <c r="G155" s="24"/>
    </row>
    <row r="156" customFormat="false" ht="15" hidden="false" customHeight="false" outlineLevel="0" collapsed="false">
      <c r="A156" s="27"/>
      <c r="B156" s="24"/>
      <c r="C156" s="24"/>
      <c r="D156" s="24"/>
      <c r="E156" s="24"/>
      <c r="F156" s="28"/>
      <c r="G156" s="24"/>
    </row>
    <row r="157" customFormat="false" ht="15" hidden="false" customHeight="false" outlineLevel="0" collapsed="false">
      <c r="A157" s="27"/>
      <c r="B157" s="24"/>
      <c r="C157" s="24"/>
      <c r="D157" s="24"/>
      <c r="E157" s="24"/>
      <c r="F157" s="28"/>
      <c r="G157" s="24"/>
    </row>
    <row r="158" customFormat="false" ht="15" hidden="false" customHeight="false" outlineLevel="0" collapsed="false">
      <c r="A158" s="27"/>
      <c r="B158" s="24"/>
      <c r="C158" s="24"/>
      <c r="D158" s="24"/>
      <c r="E158" s="24"/>
      <c r="F158" s="28"/>
      <c r="G158" s="24"/>
    </row>
    <row r="159" customFormat="false" ht="15" hidden="false" customHeight="false" outlineLevel="0" collapsed="false">
      <c r="A159" s="27"/>
      <c r="B159" s="24"/>
      <c r="C159" s="24"/>
      <c r="D159" s="24"/>
      <c r="E159" s="24"/>
      <c r="F159" s="28"/>
      <c r="G159" s="24"/>
    </row>
    <row r="160" customFormat="false" ht="15" hidden="false" customHeight="false" outlineLevel="0" collapsed="false">
      <c r="A160" s="27"/>
      <c r="B160" s="24"/>
      <c r="C160" s="24"/>
      <c r="D160" s="24"/>
      <c r="E160" s="24"/>
      <c r="F160" s="28"/>
      <c r="G160" s="24"/>
    </row>
    <row r="161" customFormat="false" ht="15" hidden="false" customHeight="false" outlineLevel="0" collapsed="false">
      <c r="A161" s="27"/>
      <c r="B161" s="24"/>
      <c r="C161" s="24"/>
      <c r="D161" s="24"/>
      <c r="E161" s="24"/>
      <c r="F161" s="28"/>
      <c r="G161" s="24"/>
    </row>
    <row r="162" customFormat="false" ht="15" hidden="false" customHeight="false" outlineLevel="0" collapsed="false">
      <c r="A162" s="27"/>
      <c r="B162" s="24"/>
      <c r="C162" s="24"/>
      <c r="D162" s="24"/>
      <c r="E162" s="24"/>
      <c r="F162" s="28"/>
      <c r="G162" s="24"/>
    </row>
    <row r="163" customFormat="false" ht="15" hidden="false" customHeight="false" outlineLevel="0" collapsed="false">
      <c r="A163" s="27"/>
      <c r="B163" s="24"/>
      <c r="C163" s="24"/>
      <c r="D163" s="24"/>
      <c r="E163" s="24"/>
      <c r="F163" s="28"/>
      <c r="G163" s="24"/>
    </row>
    <row r="164" customFormat="false" ht="15" hidden="false" customHeight="false" outlineLevel="0" collapsed="false">
      <c r="A164" s="27"/>
      <c r="B164" s="24"/>
      <c r="C164" s="24"/>
      <c r="D164" s="24"/>
      <c r="E164" s="24"/>
      <c r="F164" s="28"/>
      <c r="G164" s="24"/>
    </row>
    <row r="165" customFormat="false" ht="15" hidden="false" customHeight="false" outlineLevel="0" collapsed="false">
      <c r="A165" s="27"/>
      <c r="B165" s="24"/>
      <c r="C165" s="24"/>
      <c r="D165" s="24"/>
      <c r="E165" s="24"/>
      <c r="F165" s="28"/>
      <c r="G165" s="24"/>
    </row>
    <row r="166" customFormat="false" ht="15" hidden="false" customHeight="false" outlineLevel="0" collapsed="false">
      <c r="A166" s="27"/>
      <c r="B166" s="24"/>
      <c r="C166" s="24"/>
      <c r="D166" s="24"/>
      <c r="E166" s="24"/>
      <c r="F166" s="28"/>
      <c r="G166" s="24"/>
    </row>
    <row r="167" customFormat="false" ht="15" hidden="false" customHeight="false" outlineLevel="0" collapsed="false">
      <c r="A167" s="27"/>
      <c r="B167" s="24"/>
      <c r="C167" s="24"/>
      <c r="D167" s="24"/>
      <c r="E167" s="24"/>
      <c r="F167" s="28"/>
      <c r="G167" s="24"/>
    </row>
    <row r="168" customFormat="false" ht="15" hidden="false" customHeight="false" outlineLevel="0" collapsed="false">
      <c r="A168" s="27"/>
      <c r="B168" s="24"/>
      <c r="C168" s="24"/>
      <c r="D168" s="24"/>
      <c r="E168" s="24"/>
      <c r="F168" s="28"/>
      <c r="G168" s="24"/>
    </row>
    <row r="169" customFormat="false" ht="15" hidden="false" customHeight="false" outlineLevel="0" collapsed="false">
      <c r="A169" s="27"/>
      <c r="B169" s="24"/>
      <c r="C169" s="24"/>
      <c r="D169" s="24"/>
      <c r="E169" s="24"/>
      <c r="F169" s="28"/>
      <c r="G169" s="24"/>
    </row>
    <row r="170" customFormat="false" ht="15" hidden="false" customHeight="false" outlineLevel="0" collapsed="false">
      <c r="A170" s="27"/>
      <c r="B170" s="24"/>
      <c r="C170" s="24"/>
      <c r="D170" s="24"/>
      <c r="E170" s="24"/>
      <c r="F170" s="28"/>
      <c r="G170" s="24"/>
    </row>
    <row r="171" customFormat="false" ht="15" hidden="false" customHeight="false" outlineLevel="0" collapsed="false">
      <c r="A171" s="27"/>
      <c r="B171" s="24"/>
      <c r="C171" s="24"/>
      <c r="D171" s="24"/>
      <c r="E171" s="24"/>
      <c r="F171" s="28"/>
      <c r="G171" s="24"/>
    </row>
    <row r="172" customFormat="false" ht="15" hidden="false" customHeight="false" outlineLevel="0" collapsed="false">
      <c r="A172" s="27"/>
      <c r="B172" s="24"/>
      <c r="C172" s="24"/>
      <c r="D172" s="24"/>
      <c r="E172" s="24"/>
      <c r="F172" s="28"/>
      <c r="G172" s="24"/>
    </row>
    <row r="173" customFormat="false" ht="15" hidden="false" customHeight="false" outlineLevel="0" collapsed="false">
      <c r="A173" s="27"/>
      <c r="B173" s="24"/>
      <c r="C173" s="24"/>
      <c r="D173" s="24"/>
      <c r="E173" s="24"/>
      <c r="F173" s="28"/>
      <c r="G173" s="24"/>
    </row>
    <row r="174" customFormat="false" ht="15" hidden="false" customHeight="false" outlineLevel="0" collapsed="false">
      <c r="A174" s="27"/>
      <c r="B174" s="24"/>
      <c r="C174" s="24"/>
      <c r="D174" s="24"/>
      <c r="E174" s="24"/>
      <c r="F174" s="28"/>
      <c r="G174" s="24"/>
    </row>
    <row r="175" customFormat="false" ht="15" hidden="false" customHeight="false" outlineLevel="0" collapsed="false">
      <c r="A175" s="27"/>
      <c r="B175" s="24"/>
      <c r="C175" s="24"/>
      <c r="D175" s="24"/>
      <c r="E175" s="24"/>
      <c r="F175" s="28"/>
      <c r="G175" s="24"/>
    </row>
    <row r="176" customFormat="false" ht="15" hidden="false" customHeight="false" outlineLevel="0" collapsed="false">
      <c r="A176" s="27"/>
      <c r="B176" s="24"/>
      <c r="C176" s="24"/>
      <c r="D176" s="24"/>
      <c r="E176" s="24"/>
      <c r="F176" s="28"/>
      <c r="G176" s="24"/>
    </row>
    <row r="177" customFormat="false" ht="15" hidden="false" customHeight="false" outlineLevel="0" collapsed="false">
      <c r="A177" s="27"/>
      <c r="B177" s="24"/>
      <c r="C177" s="24"/>
      <c r="D177" s="24"/>
      <c r="E177" s="24"/>
      <c r="F177" s="28"/>
      <c r="G177" s="24"/>
    </row>
    <row r="178" customFormat="false" ht="15" hidden="false" customHeight="false" outlineLevel="0" collapsed="false">
      <c r="A178" s="27"/>
      <c r="B178" s="24"/>
      <c r="C178" s="24"/>
      <c r="D178" s="24"/>
      <c r="E178" s="24"/>
      <c r="F178" s="28"/>
      <c r="G178" s="24"/>
    </row>
    <row r="179" customFormat="false" ht="15" hidden="false" customHeight="false" outlineLevel="0" collapsed="false">
      <c r="A179" s="27"/>
      <c r="B179" s="24"/>
      <c r="C179" s="24"/>
      <c r="D179" s="24"/>
      <c r="E179" s="24"/>
      <c r="F179" s="28"/>
      <c r="G179" s="24"/>
    </row>
    <row r="180" customFormat="false" ht="15" hidden="false" customHeight="false" outlineLevel="0" collapsed="false">
      <c r="A180" s="27"/>
      <c r="B180" s="24"/>
      <c r="C180" s="24"/>
      <c r="D180" s="24"/>
      <c r="E180" s="24"/>
      <c r="F180" s="28"/>
      <c r="G180" s="24"/>
    </row>
    <row r="181" customFormat="false" ht="15" hidden="false" customHeight="false" outlineLevel="0" collapsed="false">
      <c r="A181" s="27"/>
      <c r="B181" s="24"/>
      <c r="C181" s="24"/>
      <c r="D181" s="24"/>
      <c r="E181" s="24"/>
      <c r="F181" s="28"/>
      <c r="G181" s="24"/>
    </row>
    <row r="182" customFormat="false" ht="15" hidden="false" customHeight="false" outlineLevel="0" collapsed="false">
      <c r="A182" s="27"/>
      <c r="B182" s="24"/>
      <c r="C182" s="24"/>
      <c r="D182" s="24"/>
      <c r="E182" s="24"/>
      <c r="F182" s="28"/>
      <c r="G182" s="24"/>
    </row>
    <row r="183" customFormat="false" ht="15" hidden="false" customHeight="false" outlineLevel="0" collapsed="false">
      <c r="A183" s="27"/>
      <c r="B183" s="24"/>
      <c r="C183" s="24"/>
      <c r="D183" s="24"/>
      <c r="E183" s="24"/>
      <c r="F183" s="28"/>
      <c r="G183" s="24"/>
    </row>
    <row r="184" customFormat="false" ht="15" hidden="false" customHeight="false" outlineLevel="0" collapsed="false">
      <c r="A184" s="27"/>
      <c r="B184" s="24"/>
      <c r="C184" s="24"/>
      <c r="D184" s="24"/>
      <c r="E184" s="24"/>
      <c r="F184" s="28"/>
      <c r="G184" s="24"/>
    </row>
    <row r="185" customFormat="false" ht="15" hidden="false" customHeight="false" outlineLevel="0" collapsed="false">
      <c r="A185" s="27"/>
      <c r="B185" s="24"/>
      <c r="C185" s="24"/>
      <c r="D185" s="24"/>
      <c r="E185" s="24"/>
      <c r="F185" s="28"/>
      <c r="G185" s="24"/>
    </row>
    <row r="186" customFormat="false" ht="15" hidden="false" customHeight="false" outlineLevel="0" collapsed="false">
      <c r="A186" s="27"/>
      <c r="B186" s="24"/>
      <c r="C186" s="24"/>
      <c r="D186" s="24"/>
      <c r="E186" s="24"/>
      <c r="F186" s="28"/>
      <c r="G186" s="24"/>
    </row>
    <row r="187" customFormat="false" ht="15" hidden="false" customHeight="false" outlineLevel="0" collapsed="false">
      <c r="A187" s="27"/>
      <c r="B187" s="24"/>
      <c r="C187" s="24"/>
      <c r="D187" s="24"/>
      <c r="E187" s="24"/>
      <c r="F187" s="28"/>
      <c r="G187" s="24"/>
    </row>
    <row r="188" customFormat="false" ht="15" hidden="false" customHeight="false" outlineLevel="0" collapsed="false">
      <c r="A188" s="27"/>
      <c r="B188" s="24"/>
      <c r="C188" s="24"/>
      <c r="D188" s="24"/>
      <c r="E188" s="24"/>
      <c r="F188" s="28"/>
      <c r="G188" s="24"/>
    </row>
    <row r="189" customFormat="false" ht="15" hidden="false" customHeight="false" outlineLevel="0" collapsed="false">
      <c r="A189" s="27"/>
      <c r="B189" s="24"/>
      <c r="C189" s="24"/>
      <c r="D189" s="24"/>
      <c r="E189" s="24"/>
      <c r="F189" s="28"/>
      <c r="G189" s="24"/>
    </row>
    <row r="190" customFormat="false" ht="15" hidden="false" customHeight="false" outlineLevel="0" collapsed="false">
      <c r="A190" s="27"/>
      <c r="B190" s="24"/>
      <c r="C190" s="24"/>
      <c r="D190" s="24"/>
      <c r="E190" s="24"/>
      <c r="F190" s="28"/>
      <c r="G190" s="24"/>
    </row>
    <row r="191" customFormat="false" ht="15" hidden="false" customHeight="false" outlineLevel="0" collapsed="false">
      <c r="A191" s="27"/>
      <c r="B191" s="24"/>
      <c r="C191" s="24"/>
      <c r="D191" s="24"/>
      <c r="E191" s="24"/>
      <c r="F191" s="28"/>
      <c r="G191" s="24"/>
    </row>
    <row r="192" customFormat="false" ht="15" hidden="false" customHeight="false" outlineLevel="0" collapsed="false">
      <c r="A192" s="27"/>
      <c r="B192" s="24"/>
      <c r="C192" s="24"/>
      <c r="D192" s="24"/>
      <c r="E192" s="24"/>
      <c r="F192" s="28"/>
      <c r="G192" s="24"/>
    </row>
    <row r="193" customFormat="false" ht="15" hidden="false" customHeight="false" outlineLevel="0" collapsed="false">
      <c r="A193" s="27"/>
      <c r="B193" s="24"/>
      <c r="C193" s="24"/>
      <c r="D193" s="24"/>
      <c r="E193" s="24"/>
      <c r="F193" s="28"/>
      <c r="G193" s="24"/>
    </row>
    <row r="194" customFormat="false" ht="15" hidden="false" customHeight="false" outlineLevel="0" collapsed="false">
      <c r="A194" s="27"/>
      <c r="B194" s="24"/>
      <c r="C194" s="24"/>
      <c r="D194" s="24"/>
      <c r="E194" s="24"/>
      <c r="F194" s="28"/>
      <c r="G194" s="24"/>
    </row>
    <row r="195" customFormat="false" ht="15" hidden="false" customHeight="false" outlineLevel="0" collapsed="false">
      <c r="A195" s="27"/>
      <c r="B195" s="24"/>
      <c r="C195" s="24"/>
      <c r="D195" s="24"/>
      <c r="E195" s="24"/>
      <c r="F195" s="28"/>
      <c r="G195" s="24"/>
    </row>
    <row r="196" customFormat="false" ht="15" hidden="false" customHeight="false" outlineLevel="0" collapsed="false">
      <c r="A196" s="27"/>
      <c r="B196" s="24"/>
      <c r="C196" s="24"/>
      <c r="D196" s="24"/>
      <c r="E196" s="24"/>
      <c r="F196" s="28"/>
      <c r="G196" s="24"/>
    </row>
    <row r="197" customFormat="false" ht="15" hidden="false" customHeight="false" outlineLevel="0" collapsed="false">
      <c r="A197" s="27"/>
      <c r="B197" s="24"/>
      <c r="C197" s="24"/>
      <c r="D197" s="24"/>
      <c r="E197" s="24"/>
      <c r="F197" s="28"/>
      <c r="G197" s="24"/>
    </row>
    <row r="198" customFormat="false" ht="15" hidden="false" customHeight="false" outlineLevel="0" collapsed="false">
      <c r="A198" s="27"/>
      <c r="B198" s="24"/>
      <c r="C198" s="24"/>
      <c r="D198" s="24"/>
      <c r="E198" s="24"/>
      <c r="F198" s="28"/>
      <c r="G198" s="24"/>
    </row>
    <row r="199" customFormat="false" ht="15" hidden="false" customHeight="false" outlineLevel="0" collapsed="false">
      <c r="A199" s="27"/>
      <c r="B199" s="24"/>
      <c r="C199" s="24"/>
      <c r="D199" s="24"/>
      <c r="E199" s="24"/>
      <c r="F199" s="28"/>
      <c r="G199" s="24"/>
    </row>
    <row r="200" customFormat="false" ht="15" hidden="false" customHeight="false" outlineLevel="0" collapsed="false">
      <c r="A200" s="27"/>
      <c r="B200" s="24"/>
      <c r="C200" s="24"/>
      <c r="D200" s="24"/>
      <c r="E200" s="24"/>
      <c r="F200" s="28"/>
      <c r="G200" s="24"/>
    </row>
    <row r="201" customFormat="false" ht="15" hidden="false" customHeight="false" outlineLevel="0" collapsed="false">
      <c r="A201" s="27"/>
      <c r="B201" s="24"/>
      <c r="C201" s="24"/>
      <c r="D201" s="24"/>
      <c r="E201" s="24"/>
      <c r="F201" s="28"/>
      <c r="G201" s="24"/>
    </row>
    <row r="202" customFormat="false" ht="15" hidden="false" customHeight="false" outlineLevel="0" collapsed="false">
      <c r="A202" s="27"/>
      <c r="B202" s="24"/>
      <c r="C202" s="24"/>
      <c r="D202" s="24"/>
      <c r="E202" s="24"/>
      <c r="F202" s="28"/>
      <c r="G202" s="24"/>
    </row>
    <row r="203" customFormat="false" ht="15" hidden="false" customHeight="false" outlineLevel="0" collapsed="false">
      <c r="A203" s="27"/>
      <c r="B203" s="24"/>
      <c r="C203" s="24"/>
      <c r="D203" s="24"/>
      <c r="E203" s="24"/>
      <c r="F203" s="28"/>
      <c r="G203" s="24"/>
    </row>
    <row r="204" customFormat="false" ht="15" hidden="false" customHeight="false" outlineLevel="0" collapsed="false">
      <c r="A204" s="27"/>
      <c r="B204" s="24"/>
      <c r="C204" s="24"/>
      <c r="D204" s="24"/>
      <c r="E204" s="24"/>
      <c r="F204" s="28"/>
      <c r="G204" s="24"/>
    </row>
    <row r="205" customFormat="false" ht="15" hidden="false" customHeight="false" outlineLevel="0" collapsed="false">
      <c r="A205" s="27"/>
      <c r="B205" s="24"/>
      <c r="C205" s="24"/>
      <c r="D205" s="24"/>
      <c r="E205" s="24"/>
      <c r="F205" s="28"/>
      <c r="G205" s="24"/>
    </row>
    <row r="206" customFormat="false" ht="15" hidden="false" customHeight="false" outlineLevel="0" collapsed="false">
      <c r="A206" s="27"/>
      <c r="B206" s="24"/>
      <c r="C206" s="24"/>
      <c r="D206" s="24"/>
      <c r="E206" s="24"/>
      <c r="F206" s="28"/>
      <c r="G206" s="24"/>
    </row>
    <row r="207" customFormat="false" ht="15" hidden="false" customHeight="false" outlineLevel="0" collapsed="false">
      <c r="A207" s="27"/>
      <c r="B207" s="24"/>
      <c r="C207" s="24"/>
      <c r="D207" s="24"/>
      <c r="E207" s="24"/>
      <c r="F207" s="28"/>
      <c r="G207" s="24"/>
    </row>
    <row r="208" customFormat="false" ht="15" hidden="false" customHeight="false" outlineLevel="0" collapsed="false">
      <c r="A208" s="27"/>
      <c r="B208" s="24"/>
      <c r="C208" s="24"/>
      <c r="D208" s="24"/>
      <c r="E208" s="24"/>
      <c r="F208" s="28"/>
      <c r="G208" s="24"/>
    </row>
    <row r="209" customFormat="false" ht="15" hidden="false" customHeight="false" outlineLevel="0" collapsed="false">
      <c r="A209" s="27"/>
      <c r="B209" s="24"/>
      <c r="C209" s="24"/>
      <c r="D209" s="24"/>
      <c r="E209" s="24"/>
      <c r="F209" s="28"/>
      <c r="G209" s="24"/>
    </row>
    <row r="210" customFormat="false" ht="15" hidden="false" customHeight="false" outlineLevel="0" collapsed="false">
      <c r="A210" s="27"/>
      <c r="B210" s="24"/>
      <c r="C210" s="24"/>
      <c r="D210" s="24"/>
      <c r="E210" s="24"/>
      <c r="F210" s="28"/>
      <c r="G210" s="24"/>
    </row>
    <row r="211" customFormat="false" ht="15" hidden="false" customHeight="false" outlineLevel="0" collapsed="false">
      <c r="A211" s="27"/>
      <c r="B211" s="24"/>
      <c r="C211" s="24"/>
      <c r="D211" s="24"/>
      <c r="E211" s="24"/>
      <c r="F211" s="28"/>
      <c r="G211" s="24"/>
    </row>
    <row r="212" customFormat="false" ht="15" hidden="false" customHeight="false" outlineLevel="0" collapsed="false">
      <c r="A212" s="27"/>
      <c r="B212" s="24"/>
      <c r="C212" s="24"/>
      <c r="D212" s="24"/>
      <c r="E212" s="24"/>
      <c r="F212" s="28"/>
      <c r="G212" s="24"/>
    </row>
    <row r="213" customFormat="false" ht="15" hidden="false" customHeight="false" outlineLevel="0" collapsed="false">
      <c r="A213" s="27"/>
      <c r="B213" s="24"/>
      <c r="C213" s="24"/>
      <c r="D213" s="24"/>
      <c r="E213" s="24"/>
      <c r="F213" s="28"/>
      <c r="G213" s="24"/>
    </row>
    <row r="214" customFormat="false" ht="15" hidden="false" customHeight="false" outlineLevel="0" collapsed="false">
      <c r="A214" s="27"/>
      <c r="B214" s="24"/>
      <c r="C214" s="24"/>
      <c r="D214" s="24"/>
      <c r="E214" s="24"/>
      <c r="F214" s="28"/>
      <c r="G214" s="24"/>
    </row>
    <row r="215" customFormat="false" ht="15" hidden="false" customHeight="false" outlineLevel="0" collapsed="false">
      <c r="A215" s="27"/>
      <c r="B215" s="24"/>
      <c r="C215" s="24"/>
      <c r="D215" s="24"/>
      <c r="E215" s="24"/>
      <c r="F215" s="28"/>
      <c r="G215" s="24"/>
    </row>
    <row r="216" customFormat="false" ht="15" hidden="false" customHeight="false" outlineLevel="0" collapsed="false">
      <c r="A216" s="27"/>
      <c r="B216" s="24"/>
      <c r="C216" s="24"/>
      <c r="D216" s="24"/>
      <c r="E216" s="24"/>
      <c r="F216" s="28"/>
      <c r="G216" s="24"/>
    </row>
    <row r="217" customFormat="false" ht="15" hidden="false" customHeight="false" outlineLevel="0" collapsed="false">
      <c r="A217" s="27"/>
      <c r="B217" s="24"/>
      <c r="C217" s="24"/>
      <c r="D217" s="24"/>
      <c r="E217" s="24"/>
      <c r="F217" s="28"/>
      <c r="G217" s="24"/>
    </row>
    <row r="218" customFormat="false" ht="15" hidden="false" customHeight="false" outlineLevel="0" collapsed="false">
      <c r="A218" s="27"/>
      <c r="B218" s="24"/>
      <c r="C218" s="24"/>
      <c r="D218" s="24"/>
      <c r="E218" s="24"/>
      <c r="F218" s="28"/>
      <c r="G218" s="24"/>
    </row>
    <row r="219" customFormat="false" ht="15" hidden="false" customHeight="false" outlineLevel="0" collapsed="false">
      <c r="A219" s="27"/>
      <c r="B219" s="24"/>
      <c r="C219" s="24"/>
      <c r="D219" s="24"/>
      <c r="E219" s="24"/>
      <c r="F219" s="28"/>
      <c r="G219" s="24"/>
    </row>
    <row r="220" customFormat="false" ht="15" hidden="false" customHeight="false" outlineLevel="0" collapsed="false">
      <c r="A220" s="27"/>
      <c r="B220" s="24"/>
      <c r="C220" s="24"/>
      <c r="D220" s="24"/>
      <c r="E220" s="24"/>
      <c r="F220" s="28"/>
      <c r="G220" s="24"/>
    </row>
    <row r="221" customFormat="false" ht="15" hidden="false" customHeight="false" outlineLevel="0" collapsed="false">
      <c r="A221" s="27"/>
      <c r="B221" s="24"/>
      <c r="C221" s="24"/>
      <c r="D221" s="24"/>
      <c r="E221" s="24"/>
      <c r="F221" s="28"/>
      <c r="G221" s="24"/>
    </row>
    <row r="222" customFormat="false" ht="15" hidden="false" customHeight="false" outlineLevel="0" collapsed="false">
      <c r="A222" s="27"/>
      <c r="B222" s="24"/>
      <c r="C222" s="24"/>
      <c r="D222" s="24"/>
      <c r="E222" s="24"/>
      <c r="F222" s="28"/>
      <c r="G222" s="24"/>
    </row>
    <row r="223" customFormat="false" ht="15" hidden="false" customHeight="false" outlineLevel="0" collapsed="false">
      <c r="A223" s="27"/>
      <c r="B223" s="24"/>
      <c r="C223" s="24"/>
      <c r="D223" s="24"/>
      <c r="E223" s="24"/>
      <c r="F223" s="28"/>
      <c r="G223" s="24"/>
    </row>
    <row r="224" customFormat="false" ht="15" hidden="false" customHeight="false" outlineLevel="0" collapsed="false">
      <c r="A224" s="27"/>
      <c r="B224" s="24"/>
      <c r="C224" s="24"/>
      <c r="D224" s="24"/>
      <c r="E224" s="24"/>
      <c r="F224" s="28"/>
      <c r="G224" s="24"/>
    </row>
    <row r="225" customFormat="false" ht="15" hidden="false" customHeight="false" outlineLevel="0" collapsed="false">
      <c r="A225" s="27"/>
      <c r="B225" s="24"/>
      <c r="C225" s="24"/>
      <c r="D225" s="24"/>
      <c r="E225" s="24"/>
      <c r="F225" s="28"/>
      <c r="G225" s="24"/>
    </row>
    <row r="226" customFormat="false" ht="15" hidden="false" customHeight="false" outlineLevel="0" collapsed="false">
      <c r="A226" s="27"/>
      <c r="B226" s="24"/>
      <c r="C226" s="24"/>
      <c r="D226" s="24"/>
      <c r="E226" s="24"/>
      <c r="F226" s="28"/>
      <c r="G226" s="24"/>
    </row>
    <row r="227" customFormat="false" ht="15" hidden="false" customHeight="false" outlineLevel="0" collapsed="false">
      <c r="A227" s="27"/>
      <c r="B227" s="24"/>
      <c r="C227" s="24"/>
      <c r="D227" s="24"/>
      <c r="E227" s="24"/>
      <c r="F227" s="28"/>
      <c r="G227" s="24"/>
    </row>
    <row r="228" customFormat="false" ht="15" hidden="false" customHeight="false" outlineLevel="0" collapsed="false">
      <c r="A228" s="27"/>
      <c r="B228" s="24"/>
      <c r="C228" s="24"/>
      <c r="D228" s="24"/>
      <c r="E228" s="24"/>
      <c r="F228" s="28"/>
      <c r="G228" s="24"/>
    </row>
    <row r="229" customFormat="false" ht="15" hidden="false" customHeight="false" outlineLevel="0" collapsed="false">
      <c r="A229" s="27"/>
      <c r="B229" s="24"/>
      <c r="C229" s="24"/>
      <c r="D229" s="24"/>
      <c r="E229" s="24"/>
      <c r="F229" s="28"/>
      <c r="G229" s="24"/>
    </row>
    <row r="230" customFormat="false" ht="15" hidden="false" customHeight="false" outlineLevel="0" collapsed="false">
      <c r="A230" s="27"/>
      <c r="B230" s="24"/>
      <c r="C230" s="24"/>
      <c r="D230" s="24"/>
      <c r="E230" s="24"/>
      <c r="F230" s="28"/>
      <c r="G230" s="24"/>
    </row>
    <row r="231" customFormat="false" ht="15" hidden="false" customHeight="false" outlineLevel="0" collapsed="false">
      <c r="A231" s="27"/>
      <c r="B231" s="24"/>
      <c r="C231" s="24"/>
      <c r="D231" s="24"/>
      <c r="E231" s="24"/>
      <c r="F231" s="28"/>
      <c r="G231" s="24"/>
    </row>
    <row r="232" customFormat="false" ht="15" hidden="false" customHeight="false" outlineLevel="0" collapsed="false">
      <c r="A232" s="27"/>
      <c r="B232" s="24"/>
      <c r="C232" s="24"/>
      <c r="D232" s="24"/>
      <c r="E232" s="24"/>
      <c r="F232" s="28"/>
      <c r="G232" s="24"/>
    </row>
    <row r="233" customFormat="false" ht="15" hidden="false" customHeight="false" outlineLevel="0" collapsed="false">
      <c r="A233" s="27"/>
      <c r="B233" s="24"/>
      <c r="C233" s="24"/>
      <c r="D233" s="24"/>
      <c r="E233" s="24"/>
      <c r="F233" s="28"/>
      <c r="G233" s="24"/>
    </row>
    <row r="234" customFormat="false" ht="15" hidden="false" customHeight="false" outlineLevel="0" collapsed="false">
      <c r="A234" s="27"/>
      <c r="B234" s="24"/>
      <c r="C234" s="24"/>
      <c r="D234" s="24"/>
      <c r="E234" s="24"/>
      <c r="F234" s="28"/>
      <c r="G234" s="24"/>
    </row>
    <row r="235" customFormat="false" ht="15" hidden="false" customHeight="false" outlineLevel="0" collapsed="false">
      <c r="A235" s="27"/>
      <c r="B235" s="24"/>
      <c r="C235" s="24"/>
      <c r="D235" s="24"/>
      <c r="E235" s="24"/>
      <c r="F235" s="28"/>
      <c r="G235" s="24"/>
    </row>
    <row r="236" customFormat="false" ht="15" hidden="false" customHeight="false" outlineLevel="0" collapsed="false">
      <c r="A236" s="27"/>
      <c r="B236" s="24"/>
      <c r="C236" s="24"/>
      <c r="D236" s="24"/>
      <c r="E236" s="24"/>
      <c r="F236" s="28"/>
      <c r="G236" s="24"/>
    </row>
    <row r="237" customFormat="false" ht="15" hidden="false" customHeight="false" outlineLevel="0" collapsed="false">
      <c r="A237" s="27"/>
      <c r="B237" s="24"/>
      <c r="C237" s="24"/>
      <c r="D237" s="24"/>
      <c r="E237" s="24"/>
      <c r="F237" s="28"/>
      <c r="G237" s="24"/>
    </row>
    <row r="238" customFormat="false" ht="15" hidden="false" customHeight="false" outlineLevel="0" collapsed="false">
      <c r="A238" s="27"/>
      <c r="B238" s="24"/>
      <c r="C238" s="24"/>
      <c r="D238" s="24"/>
      <c r="E238" s="24"/>
      <c r="F238" s="28"/>
      <c r="G238" s="24"/>
    </row>
    <row r="239" customFormat="false" ht="15" hidden="false" customHeight="false" outlineLevel="0" collapsed="false">
      <c r="A239" s="27"/>
      <c r="B239" s="24"/>
      <c r="C239" s="24"/>
      <c r="D239" s="24"/>
      <c r="E239" s="24"/>
      <c r="F239" s="28"/>
      <c r="G239" s="24"/>
    </row>
    <row r="240" customFormat="false" ht="15" hidden="false" customHeight="false" outlineLevel="0" collapsed="false">
      <c r="A240" s="27"/>
      <c r="B240" s="24"/>
      <c r="C240" s="24"/>
      <c r="D240" s="24"/>
      <c r="E240" s="24"/>
      <c r="F240" s="28"/>
      <c r="G240" s="24"/>
    </row>
    <row r="241" customFormat="false" ht="15" hidden="false" customHeight="false" outlineLevel="0" collapsed="false">
      <c r="A241" s="27"/>
      <c r="B241" s="24"/>
      <c r="C241" s="24"/>
      <c r="D241" s="24"/>
      <c r="E241" s="24"/>
      <c r="F241" s="28"/>
      <c r="G241" s="24"/>
    </row>
    <row r="242" customFormat="false" ht="15" hidden="false" customHeight="false" outlineLevel="0" collapsed="false">
      <c r="A242" s="27"/>
      <c r="B242" s="24"/>
      <c r="C242" s="24"/>
      <c r="D242" s="24"/>
      <c r="E242" s="24"/>
      <c r="F242" s="28"/>
      <c r="G242" s="24"/>
    </row>
    <row r="243" customFormat="false" ht="15" hidden="false" customHeight="false" outlineLevel="0" collapsed="false">
      <c r="A243" s="27"/>
      <c r="B243" s="24"/>
      <c r="C243" s="24"/>
      <c r="D243" s="24"/>
      <c r="E243" s="24"/>
      <c r="F243" s="28"/>
      <c r="G243" s="24"/>
    </row>
    <row r="244" customFormat="false" ht="15" hidden="false" customHeight="false" outlineLevel="0" collapsed="false">
      <c r="A244" s="27"/>
      <c r="B244" s="24"/>
      <c r="C244" s="24"/>
      <c r="D244" s="24"/>
      <c r="E244" s="24"/>
      <c r="F244" s="28"/>
      <c r="G244" s="24"/>
    </row>
    <row r="245" customFormat="false" ht="15" hidden="false" customHeight="false" outlineLevel="0" collapsed="false">
      <c r="A245" s="27"/>
      <c r="B245" s="24"/>
      <c r="C245" s="24"/>
      <c r="D245" s="24"/>
      <c r="E245" s="24"/>
      <c r="F245" s="28"/>
      <c r="G245" s="24"/>
    </row>
    <row r="246" customFormat="false" ht="15" hidden="false" customHeight="false" outlineLevel="0" collapsed="false">
      <c r="A246" s="27"/>
      <c r="B246" s="24"/>
      <c r="C246" s="24"/>
      <c r="D246" s="24"/>
      <c r="E246" s="24"/>
      <c r="F246" s="28"/>
      <c r="G246" s="24"/>
    </row>
    <row r="247" customFormat="false" ht="15" hidden="false" customHeight="false" outlineLevel="0" collapsed="false">
      <c r="A247" s="27"/>
      <c r="B247" s="24"/>
      <c r="C247" s="24"/>
      <c r="D247" s="24"/>
      <c r="E247" s="24"/>
      <c r="F247" s="28"/>
      <c r="G247" s="24"/>
    </row>
    <row r="248" customFormat="false" ht="15" hidden="false" customHeight="false" outlineLevel="0" collapsed="false">
      <c r="A248" s="27"/>
      <c r="B248" s="24"/>
      <c r="C248" s="24"/>
      <c r="D248" s="24"/>
      <c r="E248" s="24"/>
      <c r="F248" s="28"/>
      <c r="G248" s="24"/>
    </row>
    <row r="249" customFormat="false" ht="15" hidden="false" customHeight="false" outlineLevel="0" collapsed="false">
      <c r="A249" s="27"/>
      <c r="B249" s="24"/>
      <c r="C249" s="24"/>
      <c r="D249" s="24"/>
      <c r="E249" s="24"/>
      <c r="F249" s="28"/>
      <c r="G249" s="24"/>
    </row>
    <row r="250" customFormat="false" ht="15" hidden="false" customHeight="false" outlineLevel="0" collapsed="false">
      <c r="A250" s="27"/>
      <c r="B250" s="24"/>
      <c r="C250" s="24"/>
      <c r="D250" s="24"/>
      <c r="E250" s="24"/>
      <c r="F250" s="28"/>
      <c r="G250" s="24"/>
    </row>
    <row r="251" customFormat="false" ht="15" hidden="false" customHeight="false" outlineLevel="0" collapsed="false">
      <c r="A251" s="27"/>
      <c r="B251" s="24"/>
      <c r="C251" s="24"/>
      <c r="D251" s="24"/>
      <c r="E251" s="24"/>
      <c r="F251" s="28"/>
      <c r="G251" s="24"/>
    </row>
    <row r="252" customFormat="false" ht="15" hidden="false" customHeight="false" outlineLevel="0" collapsed="false">
      <c r="A252" s="27"/>
      <c r="B252" s="24"/>
      <c r="C252" s="24"/>
      <c r="D252" s="24"/>
      <c r="E252" s="24"/>
      <c r="F252" s="28"/>
      <c r="G252" s="24"/>
    </row>
    <row r="253" customFormat="false" ht="15" hidden="false" customHeight="false" outlineLevel="0" collapsed="false">
      <c r="A253" s="27"/>
      <c r="B253" s="24"/>
      <c r="C253" s="24"/>
      <c r="D253" s="24"/>
      <c r="E253" s="24"/>
      <c r="F253" s="28"/>
      <c r="G253" s="24"/>
    </row>
    <row r="254" customFormat="false" ht="15" hidden="false" customHeight="false" outlineLevel="0" collapsed="false">
      <c r="A254" s="27"/>
      <c r="B254" s="24"/>
      <c r="C254" s="24"/>
      <c r="D254" s="24"/>
      <c r="E254" s="24"/>
      <c r="F254" s="28"/>
      <c r="G254" s="24"/>
    </row>
    <row r="255" customFormat="false" ht="15" hidden="false" customHeight="false" outlineLevel="0" collapsed="false">
      <c r="A255" s="27"/>
      <c r="B255" s="24"/>
      <c r="C255" s="24"/>
      <c r="D255" s="24"/>
      <c r="E255" s="24"/>
      <c r="F255" s="28"/>
      <c r="G255" s="24"/>
    </row>
    <row r="256" customFormat="false" ht="15" hidden="false" customHeight="false" outlineLevel="0" collapsed="false">
      <c r="A256" s="27"/>
      <c r="B256" s="24"/>
      <c r="C256" s="24"/>
      <c r="D256" s="24"/>
      <c r="E256" s="24"/>
      <c r="F256" s="28"/>
      <c r="G256" s="24"/>
    </row>
    <row r="257" customFormat="false" ht="15" hidden="false" customHeight="false" outlineLevel="0" collapsed="false">
      <c r="A257" s="27"/>
      <c r="B257" s="24"/>
      <c r="C257" s="24"/>
      <c r="D257" s="24"/>
      <c r="E257" s="24"/>
      <c r="F257" s="28"/>
      <c r="G257" s="24"/>
    </row>
    <row r="258" customFormat="false" ht="15" hidden="false" customHeight="false" outlineLevel="0" collapsed="false">
      <c r="A258" s="27"/>
      <c r="B258" s="24"/>
      <c r="C258" s="24"/>
      <c r="D258" s="24"/>
      <c r="E258" s="24"/>
      <c r="F258" s="28"/>
      <c r="G258" s="24"/>
    </row>
    <row r="259" customFormat="false" ht="15" hidden="false" customHeight="false" outlineLevel="0" collapsed="false">
      <c r="A259" s="27"/>
      <c r="B259" s="24"/>
      <c r="C259" s="24"/>
      <c r="D259" s="24"/>
      <c r="E259" s="24"/>
      <c r="F259" s="28"/>
      <c r="G259" s="24"/>
    </row>
    <row r="260" customFormat="false" ht="15" hidden="false" customHeight="false" outlineLevel="0" collapsed="false">
      <c r="A260" s="27"/>
      <c r="B260" s="24"/>
      <c r="C260" s="24"/>
      <c r="D260" s="24"/>
      <c r="E260" s="24"/>
      <c r="F260" s="28"/>
      <c r="G260" s="24"/>
    </row>
    <row r="261" customFormat="false" ht="15" hidden="false" customHeight="false" outlineLevel="0" collapsed="false">
      <c r="A261" s="27"/>
      <c r="B261" s="24"/>
      <c r="C261" s="24"/>
      <c r="D261" s="24"/>
      <c r="E261" s="24"/>
      <c r="F261" s="28"/>
      <c r="G261" s="24"/>
    </row>
    <row r="262" customFormat="false" ht="15" hidden="false" customHeight="false" outlineLevel="0" collapsed="false">
      <c r="A262" s="27"/>
      <c r="B262" s="24"/>
      <c r="C262" s="24"/>
      <c r="D262" s="24"/>
      <c r="E262" s="24"/>
      <c r="F262" s="28"/>
      <c r="G262" s="24"/>
    </row>
    <row r="263" customFormat="false" ht="15" hidden="false" customHeight="false" outlineLevel="0" collapsed="false">
      <c r="A263" s="27"/>
      <c r="B263" s="24"/>
      <c r="C263" s="24"/>
      <c r="D263" s="24"/>
      <c r="E263" s="24"/>
      <c r="F263" s="28"/>
      <c r="G263" s="24"/>
    </row>
    <row r="264" customFormat="false" ht="15" hidden="false" customHeight="false" outlineLevel="0" collapsed="false">
      <c r="A264" s="27"/>
      <c r="B264" s="24"/>
      <c r="C264" s="24"/>
      <c r="D264" s="24"/>
      <c r="E264" s="24"/>
      <c r="F264" s="28"/>
      <c r="G264" s="24"/>
    </row>
    <row r="265" customFormat="false" ht="15" hidden="false" customHeight="false" outlineLevel="0" collapsed="false">
      <c r="A265" s="27"/>
      <c r="B265" s="24"/>
      <c r="C265" s="24"/>
      <c r="D265" s="24"/>
      <c r="E265" s="24"/>
      <c r="F265" s="28"/>
      <c r="G265" s="24"/>
    </row>
    <row r="266" customFormat="false" ht="15" hidden="false" customHeight="false" outlineLevel="0" collapsed="false">
      <c r="A266" s="27"/>
      <c r="B266" s="24"/>
      <c r="C266" s="24"/>
      <c r="D266" s="24"/>
      <c r="E266" s="24"/>
      <c r="F266" s="28"/>
      <c r="G266" s="24"/>
    </row>
    <row r="267" customFormat="false" ht="15" hidden="false" customHeight="false" outlineLevel="0" collapsed="false">
      <c r="A267" s="27"/>
      <c r="B267" s="24"/>
      <c r="C267" s="24"/>
      <c r="D267" s="24"/>
      <c r="E267" s="24"/>
      <c r="F267" s="28"/>
      <c r="G267" s="24"/>
    </row>
    <row r="268" customFormat="false" ht="15" hidden="false" customHeight="false" outlineLevel="0" collapsed="false">
      <c r="A268" s="27"/>
      <c r="B268" s="24"/>
      <c r="C268" s="24"/>
      <c r="D268" s="24"/>
      <c r="E268" s="24"/>
      <c r="F268" s="28"/>
      <c r="G268" s="24"/>
    </row>
    <row r="269" customFormat="false" ht="15" hidden="false" customHeight="false" outlineLevel="0" collapsed="false">
      <c r="A269" s="27"/>
      <c r="B269" s="24"/>
      <c r="C269" s="24"/>
      <c r="D269" s="24"/>
      <c r="E269" s="24"/>
      <c r="F269" s="28"/>
      <c r="G269" s="24"/>
    </row>
    <row r="270" customFormat="false" ht="15" hidden="false" customHeight="false" outlineLevel="0" collapsed="false">
      <c r="A270" s="27"/>
      <c r="B270" s="24"/>
      <c r="C270" s="24"/>
      <c r="D270" s="24"/>
      <c r="E270" s="24"/>
      <c r="F270" s="28"/>
      <c r="G270" s="24"/>
    </row>
    <row r="271" customFormat="false" ht="15" hidden="false" customHeight="false" outlineLevel="0" collapsed="false">
      <c r="A271" s="27"/>
      <c r="B271" s="24"/>
      <c r="C271" s="24"/>
      <c r="D271" s="24"/>
      <c r="E271" s="24"/>
      <c r="F271" s="28"/>
      <c r="G271" s="24"/>
    </row>
    <row r="272" customFormat="false" ht="15" hidden="false" customHeight="false" outlineLevel="0" collapsed="false">
      <c r="A272" s="27"/>
      <c r="B272" s="24"/>
      <c r="C272" s="24"/>
      <c r="D272" s="24"/>
      <c r="E272" s="24"/>
      <c r="F272" s="28"/>
      <c r="G272" s="24"/>
    </row>
    <row r="273" customFormat="false" ht="15" hidden="false" customHeight="false" outlineLevel="0" collapsed="false">
      <c r="A273" s="27"/>
      <c r="B273" s="24"/>
      <c r="C273" s="24"/>
      <c r="D273" s="24"/>
      <c r="E273" s="24"/>
      <c r="F273" s="28"/>
      <c r="G273" s="24"/>
    </row>
    <row r="274" customFormat="false" ht="15" hidden="false" customHeight="false" outlineLevel="0" collapsed="false">
      <c r="A274" s="27"/>
      <c r="B274" s="24"/>
      <c r="C274" s="24"/>
      <c r="D274" s="24"/>
      <c r="E274" s="24"/>
      <c r="F274" s="28"/>
      <c r="G274" s="24"/>
    </row>
    <row r="275" customFormat="false" ht="15" hidden="false" customHeight="false" outlineLevel="0" collapsed="false">
      <c r="A275" s="27"/>
      <c r="B275" s="24"/>
      <c r="C275" s="24"/>
      <c r="D275" s="24"/>
      <c r="E275" s="24"/>
      <c r="F275" s="28"/>
      <c r="G275" s="24"/>
    </row>
    <row r="276" customFormat="false" ht="15" hidden="false" customHeight="false" outlineLevel="0" collapsed="false">
      <c r="A276" s="27"/>
      <c r="B276" s="24"/>
      <c r="C276" s="24"/>
      <c r="D276" s="24"/>
      <c r="E276" s="24"/>
      <c r="F276" s="28"/>
      <c r="G276" s="24"/>
    </row>
    <row r="277" customFormat="false" ht="15" hidden="false" customHeight="false" outlineLevel="0" collapsed="false">
      <c r="A277" s="27"/>
      <c r="B277" s="24"/>
      <c r="C277" s="24"/>
      <c r="D277" s="24"/>
      <c r="E277" s="24"/>
      <c r="F277" s="28"/>
      <c r="G277" s="24"/>
    </row>
    <row r="278" customFormat="false" ht="15" hidden="false" customHeight="false" outlineLevel="0" collapsed="false">
      <c r="A278" s="27"/>
      <c r="B278" s="24"/>
      <c r="C278" s="24"/>
      <c r="D278" s="24"/>
      <c r="E278" s="24"/>
      <c r="F278" s="28"/>
      <c r="G278" s="24"/>
    </row>
    <row r="279" customFormat="false" ht="15" hidden="false" customHeight="false" outlineLevel="0" collapsed="false">
      <c r="A279" s="27"/>
      <c r="B279" s="24"/>
      <c r="C279" s="24"/>
      <c r="D279" s="24"/>
      <c r="E279" s="24"/>
      <c r="F279" s="28"/>
      <c r="G279" s="24"/>
    </row>
    <row r="280" customFormat="false" ht="15" hidden="false" customHeight="false" outlineLevel="0" collapsed="false">
      <c r="A280" s="27"/>
      <c r="B280" s="24"/>
      <c r="C280" s="24"/>
      <c r="D280" s="24"/>
      <c r="E280" s="24"/>
      <c r="F280" s="28"/>
      <c r="G280" s="24"/>
    </row>
    <row r="281" customFormat="false" ht="15" hidden="false" customHeight="false" outlineLevel="0" collapsed="false">
      <c r="A281" s="27"/>
      <c r="B281" s="24"/>
      <c r="C281" s="24"/>
      <c r="D281" s="24"/>
      <c r="E281" s="24"/>
      <c r="F281" s="28"/>
      <c r="G281" s="24"/>
    </row>
    <row r="282" customFormat="false" ht="15" hidden="false" customHeight="false" outlineLevel="0" collapsed="false">
      <c r="A282" s="27"/>
      <c r="B282" s="24"/>
      <c r="C282" s="24"/>
      <c r="D282" s="24"/>
      <c r="E282" s="24"/>
      <c r="F282" s="28"/>
      <c r="G282" s="24"/>
    </row>
    <row r="283" customFormat="false" ht="15" hidden="false" customHeight="false" outlineLevel="0" collapsed="false">
      <c r="A283" s="27"/>
      <c r="B283" s="24"/>
      <c r="C283" s="24"/>
      <c r="D283" s="24"/>
      <c r="E283" s="24"/>
      <c r="F283" s="28"/>
      <c r="G283" s="24"/>
    </row>
    <row r="284" customFormat="false" ht="15" hidden="false" customHeight="false" outlineLevel="0" collapsed="false">
      <c r="A284" s="27"/>
      <c r="B284" s="24"/>
      <c r="C284" s="24"/>
      <c r="D284" s="24"/>
      <c r="E284" s="24"/>
      <c r="F284" s="28"/>
      <c r="G284" s="24"/>
    </row>
    <row r="285" customFormat="false" ht="15" hidden="false" customHeight="false" outlineLevel="0" collapsed="false">
      <c r="A285" s="27"/>
      <c r="B285" s="24"/>
      <c r="C285" s="24"/>
      <c r="D285" s="24"/>
      <c r="E285" s="24"/>
      <c r="F285" s="28"/>
      <c r="G285" s="24"/>
    </row>
    <row r="286" customFormat="false" ht="15" hidden="false" customHeight="false" outlineLevel="0" collapsed="false">
      <c r="A286" s="27"/>
      <c r="B286" s="24"/>
      <c r="C286" s="24"/>
      <c r="D286" s="24"/>
      <c r="E286" s="24"/>
      <c r="F286" s="28"/>
      <c r="G286" s="24"/>
    </row>
    <row r="287" customFormat="false" ht="15" hidden="false" customHeight="false" outlineLevel="0" collapsed="false">
      <c r="A287" s="27"/>
      <c r="B287" s="24"/>
      <c r="C287" s="24"/>
      <c r="D287" s="24"/>
      <c r="E287" s="24"/>
      <c r="F287" s="28"/>
      <c r="G287" s="24"/>
    </row>
    <row r="288" customFormat="false" ht="15" hidden="false" customHeight="false" outlineLevel="0" collapsed="false">
      <c r="A288" s="27"/>
      <c r="B288" s="24"/>
      <c r="C288" s="24"/>
      <c r="D288" s="24"/>
      <c r="E288" s="24"/>
      <c r="F288" s="28"/>
      <c r="G288" s="24"/>
    </row>
    <row r="289" customFormat="false" ht="15" hidden="false" customHeight="false" outlineLevel="0" collapsed="false">
      <c r="A289" s="27"/>
      <c r="B289" s="24"/>
      <c r="C289" s="24"/>
      <c r="D289" s="24"/>
      <c r="E289" s="24"/>
      <c r="F289" s="28"/>
      <c r="G289" s="24"/>
    </row>
    <row r="290" customFormat="false" ht="15" hidden="false" customHeight="false" outlineLevel="0" collapsed="false">
      <c r="A290" s="27"/>
      <c r="B290" s="24"/>
      <c r="C290" s="24"/>
      <c r="D290" s="24"/>
      <c r="E290" s="24"/>
      <c r="F290" s="28"/>
      <c r="G290" s="24"/>
    </row>
    <row r="291" customFormat="false" ht="15" hidden="false" customHeight="false" outlineLevel="0" collapsed="false">
      <c r="A291" s="27"/>
      <c r="B291" s="24"/>
      <c r="C291" s="24"/>
      <c r="D291" s="24"/>
      <c r="E291" s="24"/>
      <c r="F291" s="28"/>
      <c r="G291" s="24"/>
    </row>
    <row r="292" customFormat="false" ht="15" hidden="false" customHeight="false" outlineLevel="0" collapsed="false">
      <c r="A292" s="27"/>
      <c r="B292" s="24"/>
      <c r="C292" s="24"/>
      <c r="D292" s="24"/>
      <c r="E292" s="24"/>
      <c r="F292" s="28"/>
      <c r="G292" s="24"/>
    </row>
    <row r="293" customFormat="false" ht="15" hidden="false" customHeight="false" outlineLevel="0" collapsed="false">
      <c r="A293" s="27"/>
      <c r="B293" s="24"/>
      <c r="C293" s="24"/>
      <c r="D293" s="24"/>
      <c r="E293" s="24"/>
      <c r="F293" s="28"/>
      <c r="G293" s="24"/>
    </row>
    <row r="294" customFormat="false" ht="15" hidden="false" customHeight="false" outlineLevel="0" collapsed="false">
      <c r="A294" s="27"/>
      <c r="B294" s="24"/>
      <c r="C294" s="24"/>
      <c r="D294" s="24"/>
      <c r="E294" s="24"/>
      <c r="F294" s="28"/>
      <c r="G294" s="24"/>
    </row>
    <row r="295" customFormat="false" ht="15" hidden="false" customHeight="false" outlineLevel="0" collapsed="false">
      <c r="A295" s="27"/>
      <c r="B295" s="24"/>
      <c r="C295" s="24"/>
      <c r="D295" s="24"/>
      <c r="E295" s="24"/>
      <c r="F295" s="28"/>
      <c r="G295" s="24"/>
    </row>
    <row r="296" customFormat="false" ht="15" hidden="false" customHeight="false" outlineLevel="0" collapsed="false">
      <c r="A296" s="27"/>
      <c r="B296" s="24"/>
      <c r="C296" s="24"/>
      <c r="D296" s="24"/>
      <c r="E296" s="24"/>
      <c r="F296" s="28"/>
      <c r="G296" s="24"/>
    </row>
    <row r="297" customFormat="false" ht="15" hidden="false" customHeight="false" outlineLevel="0" collapsed="false">
      <c r="A297" s="27"/>
      <c r="B297" s="24"/>
      <c r="C297" s="24"/>
      <c r="D297" s="24"/>
      <c r="E297" s="24"/>
      <c r="F297" s="28"/>
      <c r="G297" s="24"/>
    </row>
    <row r="298" customFormat="false" ht="15" hidden="false" customHeight="false" outlineLevel="0" collapsed="false">
      <c r="A298" s="27"/>
      <c r="B298" s="24"/>
      <c r="C298" s="24"/>
      <c r="D298" s="24"/>
      <c r="E298" s="24"/>
      <c r="F298" s="28"/>
      <c r="G298" s="24"/>
    </row>
    <row r="299" customFormat="false" ht="15" hidden="false" customHeight="false" outlineLevel="0" collapsed="false">
      <c r="A299" s="27"/>
      <c r="B299" s="24"/>
      <c r="C299" s="24"/>
      <c r="D299" s="24"/>
      <c r="E299" s="24"/>
      <c r="F299" s="28"/>
      <c r="G299" s="24"/>
    </row>
    <row r="300" customFormat="false" ht="15" hidden="false" customHeight="false" outlineLevel="0" collapsed="false">
      <c r="A300" s="27"/>
      <c r="B300" s="24"/>
      <c r="C300" s="24"/>
      <c r="D300" s="24"/>
      <c r="E300" s="24"/>
      <c r="F300" s="28"/>
      <c r="G300" s="24"/>
    </row>
    <row r="301" customFormat="false" ht="15" hidden="false" customHeight="false" outlineLevel="0" collapsed="false">
      <c r="A301" s="27"/>
      <c r="B301" s="24"/>
      <c r="C301" s="24"/>
      <c r="D301" s="24"/>
      <c r="E301" s="24"/>
      <c r="F301" s="28"/>
      <c r="G301" s="24"/>
    </row>
    <row r="302" customFormat="false" ht="15" hidden="false" customHeight="false" outlineLevel="0" collapsed="false">
      <c r="A302" s="27"/>
      <c r="B302" s="24"/>
      <c r="C302" s="24"/>
      <c r="D302" s="24"/>
      <c r="E302" s="24"/>
      <c r="F302" s="28"/>
      <c r="G302" s="24"/>
    </row>
    <row r="303" customFormat="false" ht="15" hidden="false" customHeight="false" outlineLevel="0" collapsed="false">
      <c r="A303" s="27"/>
      <c r="B303" s="24"/>
      <c r="C303" s="24"/>
      <c r="D303" s="24"/>
      <c r="E303" s="24"/>
      <c r="F303" s="28"/>
      <c r="G303" s="24"/>
    </row>
    <row r="304" customFormat="false" ht="15" hidden="false" customHeight="false" outlineLevel="0" collapsed="false">
      <c r="A304" s="27"/>
      <c r="B304" s="24"/>
      <c r="C304" s="24"/>
      <c r="D304" s="24"/>
      <c r="E304" s="24"/>
      <c r="F304" s="28"/>
      <c r="G304" s="24"/>
    </row>
    <row r="305" customFormat="false" ht="15" hidden="false" customHeight="false" outlineLevel="0" collapsed="false">
      <c r="A305" s="27"/>
      <c r="B305" s="24"/>
      <c r="C305" s="24"/>
      <c r="D305" s="24"/>
      <c r="E305" s="24"/>
      <c r="F305" s="28"/>
      <c r="G305" s="24"/>
    </row>
    <row r="306" customFormat="false" ht="15" hidden="false" customHeight="false" outlineLevel="0" collapsed="false">
      <c r="A306" s="27"/>
      <c r="B306" s="24"/>
      <c r="C306" s="24"/>
      <c r="D306" s="24"/>
      <c r="E306" s="24"/>
      <c r="F306" s="28"/>
      <c r="G306" s="24"/>
    </row>
    <row r="307" customFormat="false" ht="15" hidden="false" customHeight="false" outlineLevel="0" collapsed="false">
      <c r="A307" s="27"/>
      <c r="B307" s="24"/>
      <c r="C307" s="24"/>
      <c r="D307" s="24"/>
      <c r="E307" s="24"/>
      <c r="F307" s="28"/>
      <c r="G307" s="24"/>
    </row>
    <row r="308" customFormat="false" ht="15" hidden="false" customHeight="false" outlineLevel="0" collapsed="false">
      <c r="A308" s="27"/>
      <c r="B308" s="24"/>
      <c r="C308" s="24"/>
      <c r="D308" s="24"/>
      <c r="E308" s="24"/>
      <c r="F308" s="28"/>
      <c r="G308" s="24"/>
    </row>
    <row r="309" customFormat="false" ht="15" hidden="false" customHeight="false" outlineLevel="0" collapsed="false">
      <c r="A309" s="27"/>
      <c r="B309" s="24"/>
      <c r="C309" s="24"/>
      <c r="D309" s="24"/>
      <c r="E309" s="24"/>
      <c r="F309" s="28"/>
      <c r="G309" s="24"/>
    </row>
    <row r="310" customFormat="false" ht="15" hidden="false" customHeight="false" outlineLevel="0" collapsed="false">
      <c r="A310" s="27"/>
      <c r="B310" s="24"/>
      <c r="C310" s="24"/>
      <c r="D310" s="24"/>
      <c r="E310" s="24"/>
      <c r="F310" s="28"/>
      <c r="G310" s="24"/>
    </row>
    <row r="311" customFormat="false" ht="15" hidden="false" customHeight="false" outlineLevel="0" collapsed="false">
      <c r="A311" s="27"/>
      <c r="B311" s="24"/>
      <c r="C311" s="24"/>
      <c r="D311" s="24"/>
      <c r="E311" s="24"/>
      <c r="F311" s="28"/>
      <c r="G311" s="24"/>
    </row>
    <row r="312" customFormat="false" ht="15" hidden="false" customHeight="false" outlineLevel="0" collapsed="false">
      <c r="A312" s="27"/>
      <c r="B312" s="24"/>
      <c r="C312" s="24"/>
      <c r="D312" s="24"/>
      <c r="E312" s="24"/>
      <c r="F312" s="28"/>
      <c r="G312" s="24"/>
    </row>
    <row r="313" customFormat="false" ht="15" hidden="false" customHeight="false" outlineLevel="0" collapsed="false">
      <c r="A313" s="27"/>
      <c r="B313" s="24"/>
      <c r="C313" s="24"/>
      <c r="D313" s="24"/>
      <c r="E313" s="24"/>
      <c r="F313" s="28"/>
      <c r="G313" s="24"/>
    </row>
    <row r="314" customFormat="false" ht="15" hidden="false" customHeight="false" outlineLevel="0" collapsed="false">
      <c r="A314" s="27"/>
      <c r="B314" s="24"/>
      <c r="C314" s="24"/>
      <c r="D314" s="24"/>
      <c r="E314" s="24"/>
      <c r="F314" s="28"/>
      <c r="G314" s="24"/>
    </row>
    <row r="315" customFormat="false" ht="15" hidden="false" customHeight="false" outlineLevel="0" collapsed="false">
      <c r="A315" s="27"/>
      <c r="B315" s="24"/>
      <c r="C315" s="24"/>
      <c r="D315" s="24"/>
      <c r="E315" s="24"/>
      <c r="F315" s="28"/>
      <c r="G315" s="24"/>
    </row>
    <row r="316" customFormat="false" ht="15" hidden="false" customHeight="false" outlineLevel="0" collapsed="false">
      <c r="A316" s="27"/>
      <c r="B316" s="24"/>
      <c r="C316" s="24"/>
      <c r="D316" s="24"/>
      <c r="E316" s="24"/>
      <c r="F316" s="28"/>
      <c r="G316" s="24"/>
    </row>
    <row r="317" customFormat="false" ht="15" hidden="false" customHeight="false" outlineLevel="0" collapsed="false">
      <c r="A317" s="27"/>
      <c r="B317" s="24"/>
      <c r="C317" s="24"/>
      <c r="D317" s="24"/>
      <c r="E317" s="24"/>
      <c r="F317" s="28"/>
      <c r="G317" s="24"/>
    </row>
    <row r="318" customFormat="false" ht="15" hidden="false" customHeight="false" outlineLevel="0" collapsed="false">
      <c r="A318" s="27"/>
      <c r="B318" s="24"/>
      <c r="C318" s="24"/>
      <c r="D318" s="24"/>
      <c r="E318" s="24"/>
      <c r="F318" s="28"/>
      <c r="G318" s="24"/>
    </row>
    <row r="319" customFormat="false" ht="15" hidden="false" customHeight="false" outlineLevel="0" collapsed="false">
      <c r="A319" s="27"/>
      <c r="B319" s="24"/>
      <c r="C319" s="24"/>
      <c r="D319" s="24"/>
      <c r="E319" s="24"/>
      <c r="F319" s="28"/>
      <c r="G319" s="24"/>
    </row>
    <row r="320" customFormat="false" ht="15" hidden="false" customHeight="false" outlineLevel="0" collapsed="false">
      <c r="A320" s="27"/>
      <c r="B320" s="24"/>
      <c r="C320" s="24"/>
      <c r="D320" s="24"/>
      <c r="E320" s="24"/>
      <c r="F320" s="28"/>
      <c r="G320" s="24"/>
    </row>
    <row r="321" customFormat="false" ht="15" hidden="false" customHeight="false" outlineLevel="0" collapsed="false">
      <c r="A321" s="27"/>
      <c r="B321" s="24"/>
      <c r="C321" s="24"/>
      <c r="D321" s="24"/>
      <c r="E321" s="24"/>
      <c r="F321" s="28"/>
      <c r="G321" s="24"/>
    </row>
    <row r="322" customFormat="false" ht="15" hidden="false" customHeight="false" outlineLevel="0" collapsed="false">
      <c r="A322" s="27"/>
      <c r="B322" s="24"/>
      <c r="C322" s="24"/>
      <c r="D322" s="24"/>
      <c r="E322" s="24"/>
      <c r="F322" s="28"/>
      <c r="G322" s="24"/>
    </row>
    <row r="323" customFormat="false" ht="15" hidden="false" customHeight="false" outlineLevel="0" collapsed="false">
      <c r="A323" s="27"/>
      <c r="B323" s="24"/>
      <c r="C323" s="24"/>
      <c r="D323" s="24"/>
      <c r="E323" s="24"/>
      <c r="F323" s="28"/>
      <c r="G323" s="24"/>
    </row>
    <row r="324" customFormat="false" ht="15" hidden="false" customHeight="false" outlineLevel="0" collapsed="false">
      <c r="A324" s="27"/>
      <c r="B324" s="24"/>
      <c r="C324" s="24"/>
      <c r="D324" s="24"/>
      <c r="E324" s="24"/>
      <c r="F324" s="28"/>
      <c r="G324" s="24"/>
    </row>
    <row r="325" customFormat="false" ht="15" hidden="false" customHeight="false" outlineLevel="0" collapsed="false">
      <c r="A325" s="27"/>
      <c r="B325" s="24"/>
      <c r="C325" s="24"/>
      <c r="D325" s="24"/>
      <c r="E325" s="24"/>
      <c r="F325" s="28"/>
      <c r="G325" s="24"/>
    </row>
    <row r="326" customFormat="false" ht="15" hidden="false" customHeight="false" outlineLevel="0" collapsed="false">
      <c r="A326" s="27"/>
      <c r="B326" s="24"/>
      <c r="C326" s="24"/>
      <c r="D326" s="24"/>
      <c r="E326" s="24"/>
      <c r="F326" s="28"/>
      <c r="G326" s="24"/>
    </row>
    <row r="327" customFormat="false" ht="15" hidden="false" customHeight="false" outlineLevel="0" collapsed="false">
      <c r="A327" s="27"/>
      <c r="B327" s="24"/>
      <c r="C327" s="24"/>
      <c r="D327" s="24"/>
      <c r="E327" s="24"/>
      <c r="F327" s="28"/>
      <c r="G327" s="24"/>
    </row>
    <row r="328" customFormat="false" ht="15" hidden="false" customHeight="false" outlineLevel="0" collapsed="false">
      <c r="A328" s="27"/>
      <c r="B328" s="24"/>
      <c r="C328" s="24"/>
      <c r="D328" s="24"/>
      <c r="E328" s="24"/>
      <c r="F328" s="28"/>
      <c r="G328" s="24"/>
    </row>
    <row r="329" customFormat="false" ht="15" hidden="false" customHeight="false" outlineLevel="0" collapsed="false">
      <c r="A329" s="27"/>
      <c r="B329" s="24"/>
      <c r="C329" s="24"/>
      <c r="D329" s="24"/>
      <c r="E329" s="24"/>
      <c r="F329" s="28"/>
      <c r="G329" s="24"/>
    </row>
    <row r="330" customFormat="false" ht="15" hidden="false" customHeight="false" outlineLevel="0" collapsed="false">
      <c r="A330" s="27"/>
      <c r="B330" s="24"/>
      <c r="C330" s="24"/>
      <c r="D330" s="24"/>
      <c r="E330" s="24"/>
      <c r="F330" s="28"/>
      <c r="G330" s="24"/>
    </row>
    <row r="331" customFormat="false" ht="15" hidden="false" customHeight="false" outlineLevel="0" collapsed="false">
      <c r="A331" s="27"/>
      <c r="B331" s="24"/>
      <c r="C331" s="24"/>
      <c r="D331" s="24"/>
      <c r="E331" s="24"/>
      <c r="F331" s="28"/>
      <c r="G331" s="24"/>
    </row>
    <row r="332" customFormat="false" ht="15" hidden="false" customHeight="false" outlineLevel="0" collapsed="false">
      <c r="A332" s="27"/>
      <c r="B332" s="24"/>
      <c r="C332" s="24"/>
      <c r="D332" s="24"/>
      <c r="E332" s="24"/>
      <c r="F332" s="28"/>
      <c r="G332" s="24"/>
    </row>
    <row r="333" customFormat="false" ht="15" hidden="false" customHeight="false" outlineLevel="0" collapsed="false">
      <c r="A333" s="27"/>
      <c r="B333" s="24"/>
      <c r="C333" s="24"/>
      <c r="D333" s="24"/>
      <c r="E333" s="24"/>
      <c r="F333" s="28"/>
      <c r="G333" s="24"/>
    </row>
    <row r="334" customFormat="false" ht="15" hidden="false" customHeight="false" outlineLevel="0" collapsed="false">
      <c r="A334" s="27"/>
      <c r="B334" s="24"/>
      <c r="C334" s="24"/>
      <c r="D334" s="24"/>
      <c r="E334" s="24"/>
      <c r="F334" s="28"/>
      <c r="G334" s="24"/>
    </row>
    <row r="335" customFormat="false" ht="15" hidden="false" customHeight="false" outlineLevel="0" collapsed="false">
      <c r="A335" s="27"/>
      <c r="B335" s="24"/>
      <c r="C335" s="24"/>
      <c r="D335" s="24"/>
      <c r="E335" s="24"/>
      <c r="F335" s="28"/>
      <c r="G335" s="24"/>
    </row>
    <row r="336" customFormat="false" ht="15" hidden="false" customHeight="false" outlineLevel="0" collapsed="false">
      <c r="A336" s="27"/>
      <c r="B336" s="24"/>
      <c r="C336" s="24"/>
      <c r="D336" s="24"/>
      <c r="E336" s="24"/>
      <c r="F336" s="28"/>
      <c r="G336" s="24"/>
    </row>
    <row r="337" customFormat="false" ht="15" hidden="false" customHeight="false" outlineLevel="0" collapsed="false">
      <c r="A337" s="27"/>
      <c r="B337" s="24"/>
      <c r="C337" s="24"/>
      <c r="D337" s="24"/>
      <c r="E337" s="24"/>
      <c r="F337" s="28"/>
      <c r="G337" s="24"/>
    </row>
    <row r="338" customFormat="false" ht="15" hidden="false" customHeight="false" outlineLevel="0" collapsed="false">
      <c r="A338" s="27"/>
      <c r="B338" s="24"/>
      <c r="C338" s="24"/>
      <c r="D338" s="24"/>
      <c r="E338" s="24"/>
      <c r="F338" s="28"/>
      <c r="G338" s="24"/>
    </row>
    <row r="339" customFormat="false" ht="15" hidden="false" customHeight="false" outlineLevel="0" collapsed="false">
      <c r="A339" s="27"/>
      <c r="B339" s="24"/>
      <c r="C339" s="24"/>
      <c r="D339" s="24"/>
      <c r="E339" s="24"/>
      <c r="F339" s="28"/>
      <c r="G339" s="24"/>
    </row>
    <row r="340" customFormat="false" ht="15" hidden="false" customHeight="false" outlineLevel="0" collapsed="false">
      <c r="A340" s="27"/>
      <c r="B340" s="24"/>
      <c r="C340" s="24"/>
      <c r="D340" s="24"/>
      <c r="E340" s="24"/>
      <c r="F340" s="28"/>
      <c r="G340" s="24"/>
    </row>
    <row r="341" customFormat="false" ht="15" hidden="false" customHeight="false" outlineLevel="0" collapsed="false">
      <c r="A341" s="27"/>
      <c r="B341" s="24"/>
      <c r="C341" s="24"/>
      <c r="D341" s="24"/>
      <c r="E341" s="24"/>
      <c r="F341" s="28"/>
      <c r="G341" s="24"/>
    </row>
    <row r="342" customFormat="false" ht="15" hidden="false" customHeight="false" outlineLevel="0" collapsed="false">
      <c r="A342" s="27"/>
      <c r="B342" s="24"/>
      <c r="C342" s="24"/>
      <c r="D342" s="24"/>
      <c r="E342" s="24"/>
      <c r="F342" s="28"/>
      <c r="G342" s="24"/>
    </row>
    <row r="343" customFormat="false" ht="15" hidden="false" customHeight="false" outlineLevel="0" collapsed="false">
      <c r="A343" s="27"/>
      <c r="B343" s="24"/>
      <c r="C343" s="24"/>
      <c r="D343" s="24"/>
      <c r="E343" s="24"/>
      <c r="F343" s="28"/>
      <c r="G343" s="24"/>
    </row>
    <row r="344" customFormat="false" ht="15" hidden="false" customHeight="false" outlineLevel="0" collapsed="false">
      <c r="A344" s="27"/>
      <c r="B344" s="24"/>
      <c r="C344" s="24"/>
      <c r="D344" s="24"/>
      <c r="E344" s="24"/>
      <c r="F344" s="28"/>
      <c r="G344" s="24"/>
    </row>
    <row r="345" customFormat="false" ht="15" hidden="false" customHeight="false" outlineLevel="0" collapsed="false">
      <c r="A345" s="27"/>
      <c r="B345" s="24"/>
      <c r="C345" s="24"/>
      <c r="D345" s="24"/>
      <c r="E345" s="24"/>
      <c r="F345" s="28"/>
      <c r="G345" s="24"/>
    </row>
    <row r="346" customFormat="false" ht="15" hidden="false" customHeight="false" outlineLevel="0" collapsed="false">
      <c r="A346" s="27"/>
      <c r="B346" s="24"/>
      <c r="C346" s="24"/>
      <c r="D346" s="24"/>
      <c r="E346" s="24"/>
      <c r="F346" s="28"/>
      <c r="G346" s="24"/>
    </row>
    <row r="347" customFormat="false" ht="15" hidden="false" customHeight="false" outlineLevel="0" collapsed="false">
      <c r="A347" s="27"/>
      <c r="B347" s="24"/>
      <c r="C347" s="24"/>
      <c r="D347" s="24"/>
      <c r="E347" s="24"/>
      <c r="F347" s="28"/>
      <c r="G347" s="24"/>
    </row>
    <row r="348" customFormat="false" ht="15" hidden="false" customHeight="false" outlineLevel="0" collapsed="false">
      <c r="A348" s="27"/>
      <c r="B348" s="24"/>
      <c r="C348" s="24"/>
      <c r="D348" s="24"/>
      <c r="E348" s="24"/>
      <c r="F348" s="28"/>
      <c r="G348" s="24"/>
    </row>
    <row r="349" customFormat="false" ht="15" hidden="false" customHeight="false" outlineLevel="0" collapsed="false">
      <c r="A349" s="27"/>
      <c r="B349" s="24"/>
      <c r="C349" s="24"/>
      <c r="D349" s="24"/>
      <c r="E349" s="24"/>
      <c r="F349" s="28"/>
      <c r="G349" s="24"/>
    </row>
    <row r="350" customFormat="false" ht="15" hidden="false" customHeight="false" outlineLevel="0" collapsed="false">
      <c r="A350" s="27"/>
      <c r="B350" s="24"/>
      <c r="C350" s="24"/>
      <c r="D350" s="24"/>
      <c r="E350" s="24"/>
      <c r="F350" s="28"/>
      <c r="G350" s="24"/>
    </row>
    <row r="351" customFormat="false" ht="15" hidden="false" customHeight="false" outlineLevel="0" collapsed="false">
      <c r="A351" s="27"/>
      <c r="B351" s="24"/>
      <c r="C351" s="24"/>
      <c r="D351" s="24"/>
      <c r="E351" s="24"/>
      <c r="F351" s="28"/>
      <c r="G351" s="24"/>
    </row>
    <row r="352" customFormat="false" ht="15" hidden="false" customHeight="false" outlineLevel="0" collapsed="false">
      <c r="A352" s="27"/>
      <c r="B352" s="24"/>
      <c r="C352" s="24"/>
      <c r="D352" s="24"/>
      <c r="E352" s="24"/>
      <c r="F352" s="28"/>
      <c r="G352" s="24"/>
    </row>
    <row r="353" customFormat="false" ht="15" hidden="false" customHeight="false" outlineLevel="0" collapsed="false">
      <c r="A353" s="27"/>
      <c r="B353" s="24"/>
      <c r="C353" s="24"/>
      <c r="D353" s="24"/>
      <c r="E353" s="24"/>
      <c r="F353" s="28"/>
      <c r="G353" s="24"/>
    </row>
    <row r="354" customFormat="false" ht="15" hidden="false" customHeight="false" outlineLevel="0" collapsed="false">
      <c r="A354" s="27"/>
      <c r="B354" s="24"/>
      <c r="C354" s="24"/>
      <c r="D354" s="24"/>
      <c r="E354" s="24"/>
      <c r="F354" s="28"/>
      <c r="G354" s="24"/>
    </row>
    <row r="355" customFormat="false" ht="15" hidden="false" customHeight="false" outlineLevel="0" collapsed="false">
      <c r="A355" s="27"/>
      <c r="B355" s="24"/>
      <c r="C355" s="24"/>
      <c r="D355" s="24"/>
      <c r="E355" s="24"/>
      <c r="F355" s="28"/>
      <c r="G355" s="24"/>
    </row>
    <row r="356" customFormat="false" ht="15" hidden="false" customHeight="false" outlineLevel="0" collapsed="false">
      <c r="A356" s="27"/>
      <c r="B356" s="24"/>
      <c r="C356" s="24"/>
      <c r="D356" s="24"/>
      <c r="E356" s="24"/>
      <c r="F356" s="28"/>
      <c r="G356" s="24"/>
    </row>
    <row r="357" customFormat="false" ht="15" hidden="false" customHeight="false" outlineLevel="0" collapsed="false">
      <c r="A357" s="27"/>
      <c r="B357" s="24"/>
      <c r="C357" s="24"/>
      <c r="D357" s="24"/>
      <c r="E357" s="24"/>
      <c r="F357" s="28"/>
      <c r="G357" s="24"/>
    </row>
    <row r="358" customFormat="false" ht="15" hidden="false" customHeight="false" outlineLevel="0" collapsed="false">
      <c r="A358" s="27"/>
      <c r="B358" s="24"/>
      <c r="C358" s="24"/>
      <c r="D358" s="24"/>
      <c r="E358" s="24"/>
      <c r="F358" s="28"/>
      <c r="G358" s="24"/>
    </row>
    <row r="359" customFormat="false" ht="15" hidden="false" customHeight="false" outlineLevel="0" collapsed="false">
      <c r="A359" s="27"/>
      <c r="B359" s="24"/>
      <c r="C359" s="24"/>
      <c r="D359" s="24"/>
      <c r="E359" s="24"/>
      <c r="F359" s="28"/>
      <c r="G359" s="24"/>
    </row>
    <row r="360" customFormat="false" ht="15" hidden="false" customHeight="false" outlineLevel="0" collapsed="false">
      <c r="A360" s="27"/>
      <c r="B360" s="24"/>
      <c r="C360" s="24"/>
      <c r="D360" s="24"/>
      <c r="E360" s="24"/>
      <c r="F360" s="28"/>
      <c r="G360" s="24"/>
    </row>
    <row r="361" customFormat="false" ht="15" hidden="false" customHeight="false" outlineLevel="0" collapsed="false">
      <c r="A361" s="27"/>
      <c r="B361" s="24"/>
      <c r="C361" s="24"/>
      <c r="D361" s="24"/>
      <c r="E361" s="24"/>
      <c r="F361" s="28"/>
      <c r="G361" s="24"/>
    </row>
    <row r="362" customFormat="false" ht="15" hidden="false" customHeight="false" outlineLevel="0" collapsed="false">
      <c r="A362" s="27"/>
      <c r="B362" s="24"/>
      <c r="C362" s="24"/>
      <c r="D362" s="24"/>
      <c r="E362" s="24"/>
      <c r="F362" s="28"/>
      <c r="G362" s="24"/>
    </row>
    <row r="363" customFormat="false" ht="15" hidden="false" customHeight="false" outlineLevel="0" collapsed="false">
      <c r="A363" s="27"/>
      <c r="B363" s="24"/>
      <c r="C363" s="24"/>
      <c r="D363" s="24"/>
      <c r="E363" s="24"/>
      <c r="F363" s="28"/>
      <c r="G363" s="24"/>
    </row>
    <row r="364" customFormat="false" ht="15" hidden="false" customHeight="false" outlineLevel="0" collapsed="false">
      <c r="A364" s="27"/>
      <c r="B364" s="24"/>
      <c r="C364" s="24"/>
      <c r="D364" s="24"/>
      <c r="E364" s="24"/>
      <c r="F364" s="28"/>
      <c r="G364" s="24"/>
    </row>
    <row r="365" customFormat="false" ht="15" hidden="false" customHeight="false" outlineLevel="0" collapsed="false">
      <c r="A365" s="27"/>
      <c r="B365" s="24"/>
      <c r="C365" s="24"/>
      <c r="D365" s="24"/>
      <c r="E365" s="24"/>
      <c r="F365" s="28"/>
      <c r="G365" s="24"/>
    </row>
    <row r="366" customFormat="false" ht="15" hidden="false" customHeight="false" outlineLevel="0" collapsed="false">
      <c r="A366" s="27"/>
      <c r="B366" s="24"/>
      <c r="C366" s="24"/>
      <c r="D366" s="24"/>
      <c r="E366" s="24"/>
      <c r="F366" s="28"/>
      <c r="G366" s="24"/>
    </row>
    <row r="367" customFormat="false" ht="15" hidden="false" customHeight="false" outlineLevel="0" collapsed="false">
      <c r="A367" s="27"/>
      <c r="B367" s="24"/>
      <c r="C367" s="24"/>
      <c r="D367" s="24"/>
      <c r="E367" s="24"/>
      <c r="F367" s="28"/>
      <c r="G367" s="24"/>
    </row>
    <row r="368" customFormat="false" ht="15" hidden="false" customHeight="false" outlineLevel="0" collapsed="false">
      <c r="A368" s="27"/>
      <c r="B368" s="24"/>
      <c r="C368" s="24"/>
      <c r="D368" s="24"/>
      <c r="E368" s="24"/>
      <c r="F368" s="28"/>
      <c r="G368" s="24"/>
    </row>
    <row r="369" customFormat="false" ht="15" hidden="false" customHeight="false" outlineLevel="0" collapsed="false">
      <c r="A369" s="27"/>
      <c r="B369" s="24"/>
      <c r="C369" s="24"/>
      <c r="D369" s="24"/>
      <c r="E369" s="24"/>
      <c r="F369" s="28"/>
      <c r="G369" s="24"/>
    </row>
    <row r="370" customFormat="false" ht="15" hidden="false" customHeight="false" outlineLevel="0" collapsed="false">
      <c r="A370" s="27"/>
      <c r="B370" s="24"/>
      <c r="C370" s="24"/>
      <c r="D370" s="24"/>
      <c r="E370" s="24"/>
      <c r="F370" s="28"/>
      <c r="G370" s="24"/>
    </row>
    <row r="371" customFormat="false" ht="15" hidden="false" customHeight="false" outlineLevel="0" collapsed="false">
      <c r="A371" s="27"/>
      <c r="B371" s="24"/>
      <c r="C371" s="24"/>
      <c r="D371" s="24"/>
      <c r="E371" s="24"/>
      <c r="F371" s="28"/>
      <c r="G371" s="24"/>
    </row>
    <row r="372" customFormat="false" ht="15" hidden="false" customHeight="false" outlineLevel="0" collapsed="false">
      <c r="A372" s="27"/>
      <c r="B372" s="24"/>
      <c r="C372" s="24"/>
      <c r="D372" s="24"/>
      <c r="E372" s="24"/>
      <c r="F372" s="28"/>
      <c r="G372" s="24"/>
    </row>
    <row r="373" customFormat="false" ht="15" hidden="false" customHeight="false" outlineLevel="0" collapsed="false">
      <c r="A373" s="27"/>
      <c r="B373" s="24"/>
      <c r="C373" s="24"/>
      <c r="D373" s="24"/>
      <c r="E373" s="24"/>
      <c r="F373" s="28"/>
      <c r="G373" s="24"/>
    </row>
    <row r="374" customFormat="false" ht="15" hidden="false" customHeight="false" outlineLevel="0" collapsed="false">
      <c r="A374" s="27"/>
      <c r="B374" s="24"/>
      <c r="C374" s="24"/>
      <c r="D374" s="24"/>
      <c r="E374" s="24"/>
      <c r="F374" s="28"/>
      <c r="G374" s="24"/>
    </row>
    <row r="375" customFormat="false" ht="15" hidden="false" customHeight="false" outlineLevel="0" collapsed="false">
      <c r="A375" s="27"/>
      <c r="B375" s="24"/>
      <c r="C375" s="24"/>
      <c r="D375" s="24"/>
      <c r="E375" s="24"/>
      <c r="F375" s="28"/>
      <c r="G375" s="24"/>
    </row>
    <row r="376" customFormat="false" ht="15" hidden="false" customHeight="false" outlineLevel="0" collapsed="false">
      <c r="A376" s="27"/>
      <c r="B376" s="24"/>
      <c r="C376" s="24"/>
      <c r="D376" s="24"/>
      <c r="E376" s="24"/>
      <c r="F376" s="28"/>
      <c r="G376" s="24"/>
    </row>
    <row r="377" customFormat="false" ht="15" hidden="false" customHeight="false" outlineLevel="0" collapsed="false">
      <c r="A377" s="27"/>
      <c r="B377" s="24"/>
      <c r="C377" s="24"/>
      <c r="D377" s="24"/>
      <c r="E377" s="24"/>
      <c r="F377" s="28"/>
      <c r="G377" s="24"/>
    </row>
    <row r="378" customFormat="false" ht="15" hidden="false" customHeight="false" outlineLevel="0" collapsed="false">
      <c r="A378" s="27"/>
      <c r="B378" s="24"/>
      <c r="C378" s="24"/>
      <c r="D378" s="24"/>
      <c r="E378" s="24"/>
      <c r="F378" s="28"/>
      <c r="G378" s="24"/>
    </row>
    <row r="379" customFormat="false" ht="15" hidden="false" customHeight="false" outlineLevel="0" collapsed="false">
      <c r="A379" s="27"/>
      <c r="B379" s="24"/>
      <c r="C379" s="24"/>
      <c r="D379" s="24"/>
      <c r="E379" s="24"/>
      <c r="F379" s="28"/>
      <c r="G379" s="24"/>
    </row>
    <row r="380" customFormat="false" ht="15" hidden="false" customHeight="false" outlineLevel="0" collapsed="false">
      <c r="A380" s="27"/>
      <c r="B380" s="24"/>
      <c r="C380" s="24"/>
      <c r="D380" s="24"/>
      <c r="E380" s="24"/>
      <c r="F380" s="28"/>
      <c r="G380" s="24"/>
    </row>
    <row r="381" customFormat="false" ht="15" hidden="false" customHeight="false" outlineLevel="0" collapsed="false">
      <c r="A381" s="27"/>
      <c r="B381" s="24"/>
      <c r="C381" s="24"/>
      <c r="D381" s="24"/>
      <c r="E381" s="24"/>
      <c r="F381" s="28"/>
      <c r="G381" s="24"/>
    </row>
    <row r="382" customFormat="false" ht="15" hidden="false" customHeight="false" outlineLevel="0" collapsed="false">
      <c r="A382" s="27"/>
      <c r="B382" s="24"/>
      <c r="C382" s="24"/>
      <c r="D382" s="24"/>
      <c r="E382" s="24"/>
      <c r="F382" s="28"/>
      <c r="G382" s="24"/>
    </row>
    <row r="383" customFormat="false" ht="15" hidden="false" customHeight="false" outlineLevel="0" collapsed="false">
      <c r="A383" s="27"/>
      <c r="B383" s="24"/>
      <c r="C383" s="24"/>
      <c r="D383" s="24"/>
      <c r="E383" s="24"/>
      <c r="F383" s="28"/>
      <c r="G383" s="24"/>
    </row>
    <row r="384" customFormat="false" ht="15" hidden="false" customHeight="false" outlineLevel="0" collapsed="false">
      <c r="A384" s="27"/>
      <c r="B384" s="24"/>
      <c r="C384" s="24"/>
      <c r="D384" s="24"/>
      <c r="E384" s="24"/>
      <c r="F384" s="28"/>
      <c r="G384" s="24"/>
    </row>
    <row r="385" customFormat="false" ht="15" hidden="false" customHeight="false" outlineLevel="0" collapsed="false">
      <c r="A385" s="27"/>
      <c r="B385" s="24"/>
      <c r="C385" s="24"/>
      <c r="D385" s="24"/>
      <c r="E385" s="24"/>
      <c r="F385" s="28"/>
      <c r="G385" s="24"/>
    </row>
    <row r="386" customFormat="false" ht="15" hidden="false" customHeight="false" outlineLevel="0" collapsed="false">
      <c r="A386" s="27"/>
      <c r="B386" s="24"/>
      <c r="C386" s="24"/>
      <c r="D386" s="24"/>
      <c r="E386" s="24"/>
      <c r="F386" s="28"/>
      <c r="G386" s="24"/>
    </row>
    <row r="387" customFormat="false" ht="15" hidden="false" customHeight="false" outlineLevel="0" collapsed="false">
      <c r="A387" s="27"/>
      <c r="B387" s="24"/>
      <c r="C387" s="24"/>
      <c r="D387" s="24"/>
      <c r="E387" s="24"/>
      <c r="F387" s="28"/>
      <c r="G387" s="24"/>
    </row>
    <row r="388" customFormat="false" ht="15" hidden="false" customHeight="false" outlineLevel="0" collapsed="false">
      <c r="A388" s="27"/>
      <c r="B388" s="24"/>
      <c r="C388" s="24"/>
      <c r="D388" s="24"/>
      <c r="E388" s="24"/>
      <c r="F388" s="28"/>
      <c r="G388" s="24"/>
    </row>
    <row r="389" customFormat="false" ht="15" hidden="false" customHeight="false" outlineLevel="0" collapsed="false">
      <c r="A389" s="27"/>
      <c r="B389" s="24"/>
      <c r="C389" s="24"/>
      <c r="D389" s="24"/>
      <c r="E389" s="24"/>
      <c r="F389" s="28"/>
      <c r="G389" s="24"/>
    </row>
    <row r="390" customFormat="false" ht="15" hidden="false" customHeight="false" outlineLevel="0" collapsed="false">
      <c r="A390" s="27"/>
      <c r="B390" s="24"/>
      <c r="C390" s="24"/>
      <c r="D390" s="24"/>
      <c r="E390" s="24"/>
      <c r="F390" s="28"/>
      <c r="G390" s="24"/>
    </row>
    <row r="391" customFormat="false" ht="15" hidden="false" customHeight="false" outlineLevel="0" collapsed="false">
      <c r="A391" s="27"/>
      <c r="B391" s="24"/>
      <c r="C391" s="24"/>
      <c r="D391" s="24"/>
      <c r="E391" s="24"/>
      <c r="F391" s="28"/>
      <c r="G391" s="24"/>
    </row>
    <row r="392" customFormat="false" ht="15" hidden="false" customHeight="false" outlineLevel="0" collapsed="false">
      <c r="A392" s="27"/>
      <c r="B392" s="24"/>
      <c r="C392" s="24"/>
      <c r="D392" s="24"/>
      <c r="E392" s="24"/>
      <c r="F392" s="28"/>
      <c r="G392" s="24"/>
    </row>
    <row r="393" customFormat="false" ht="15" hidden="false" customHeight="false" outlineLevel="0" collapsed="false">
      <c r="A393" s="27"/>
      <c r="B393" s="24"/>
      <c r="C393" s="24"/>
      <c r="D393" s="24"/>
      <c r="E393" s="24"/>
      <c r="F393" s="28"/>
      <c r="G393" s="24"/>
    </row>
    <row r="394" customFormat="false" ht="15" hidden="false" customHeight="false" outlineLevel="0" collapsed="false">
      <c r="A394" s="27"/>
      <c r="B394" s="24"/>
      <c r="C394" s="24"/>
      <c r="D394" s="24"/>
      <c r="E394" s="24"/>
      <c r="F394" s="28"/>
      <c r="G394" s="24"/>
    </row>
    <row r="395" customFormat="false" ht="15" hidden="false" customHeight="false" outlineLevel="0" collapsed="false">
      <c r="A395" s="27"/>
      <c r="B395" s="24"/>
      <c r="C395" s="24"/>
      <c r="D395" s="24"/>
      <c r="E395" s="24"/>
      <c r="F395" s="28"/>
      <c r="G395" s="24"/>
    </row>
    <row r="396" customFormat="false" ht="15" hidden="false" customHeight="false" outlineLevel="0" collapsed="false">
      <c r="A396" s="27"/>
      <c r="B396" s="24"/>
      <c r="C396" s="24"/>
      <c r="D396" s="24"/>
      <c r="E396" s="24"/>
      <c r="F396" s="28"/>
      <c r="G396" s="24"/>
    </row>
    <row r="397" customFormat="false" ht="15" hidden="false" customHeight="false" outlineLevel="0" collapsed="false">
      <c r="A397" s="27"/>
      <c r="B397" s="24"/>
      <c r="C397" s="24"/>
      <c r="D397" s="24"/>
      <c r="E397" s="24"/>
      <c r="F397" s="28"/>
      <c r="G397" s="24"/>
    </row>
    <row r="398" customFormat="false" ht="15" hidden="false" customHeight="false" outlineLevel="0" collapsed="false">
      <c r="A398" s="27"/>
      <c r="B398" s="24"/>
      <c r="C398" s="24"/>
      <c r="D398" s="24"/>
      <c r="E398" s="24"/>
      <c r="F398" s="28"/>
      <c r="G398" s="24"/>
    </row>
    <row r="399" customFormat="false" ht="15" hidden="false" customHeight="false" outlineLevel="0" collapsed="false">
      <c r="A399" s="27"/>
      <c r="B399" s="24"/>
      <c r="C399" s="24"/>
      <c r="D399" s="24"/>
      <c r="E399" s="24"/>
      <c r="F399" s="28"/>
      <c r="G399" s="24"/>
    </row>
    <row r="400" customFormat="false" ht="15" hidden="false" customHeight="false" outlineLevel="0" collapsed="false">
      <c r="A400" s="27"/>
      <c r="B400" s="24"/>
      <c r="C400" s="24"/>
      <c r="D400" s="24"/>
      <c r="E400" s="24"/>
      <c r="F400" s="28"/>
      <c r="G400" s="24"/>
    </row>
    <row r="401" customFormat="false" ht="15" hidden="false" customHeight="false" outlineLevel="0" collapsed="false">
      <c r="A401" s="27"/>
      <c r="B401" s="24"/>
      <c r="C401" s="24"/>
      <c r="D401" s="24"/>
      <c r="E401" s="24"/>
      <c r="F401" s="28"/>
      <c r="G401" s="24"/>
    </row>
    <row r="402" customFormat="false" ht="15" hidden="false" customHeight="false" outlineLevel="0" collapsed="false">
      <c r="A402" s="27"/>
      <c r="B402" s="24"/>
      <c r="C402" s="24"/>
      <c r="D402" s="24"/>
      <c r="E402" s="24"/>
      <c r="F402" s="28"/>
      <c r="G402" s="24"/>
    </row>
    <row r="403" customFormat="false" ht="15" hidden="false" customHeight="false" outlineLevel="0" collapsed="false">
      <c r="A403" s="27"/>
      <c r="B403" s="24"/>
      <c r="C403" s="24"/>
      <c r="D403" s="24"/>
      <c r="E403" s="24"/>
      <c r="F403" s="28"/>
      <c r="G403" s="24"/>
    </row>
    <row r="404" customFormat="false" ht="15" hidden="false" customHeight="false" outlineLevel="0" collapsed="false">
      <c r="A404" s="27"/>
      <c r="B404" s="24"/>
      <c r="C404" s="24"/>
      <c r="D404" s="24"/>
      <c r="E404" s="24"/>
      <c r="F404" s="28"/>
      <c r="G404" s="24"/>
    </row>
    <row r="405" customFormat="false" ht="15" hidden="false" customHeight="false" outlineLevel="0" collapsed="false">
      <c r="A405" s="27"/>
      <c r="B405" s="24"/>
      <c r="C405" s="24"/>
      <c r="D405" s="24"/>
      <c r="E405" s="24"/>
      <c r="F405" s="28"/>
      <c r="G405" s="24"/>
    </row>
    <row r="406" customFormat="false" ht="15" hidden="false" customHeight="false" outlineLevel="0" collapsed="false">
      <c r="A406" s="27"/>
      <c r="B406" s="24"/>
      <c r="C406" s="24"/>
      <c r="D406" s="24"/>
      <c r="E406" s="24"/>
      <c r="F406" s="28"/>
      <c r="G406" s="24"/>
    </row>
    <row r="407" customFormat="false" ht="15" hidden="false" customHeight="false" outlineLevel="0" collapsed="false">
      <c r="A407" s="27"/>
      <c r="B407" s="24"/>
      <c r="C407" s="24"/>
      <c r="D407" s="24"/>
      <c r="E407" s="24"/>
      <c r="F407" s="28"/>
      <c r="G407" s="24"/>
    </row>
    <row r="408" customFormat="false" ht="15" hidden="false" customHeight="false" outlineLevel="0" collapsed="false">
      <c r="A408" s="27"/>
      <c r="B408" s="24"/>
      <c r="C408" s="24"/>
      <c r="D408" s="24"/>
      <c r="E408" s="24"/>
      <c r="F408" s="28"/>
      <c r="G408" s="24"/>
    </row>
    <row r="409" customFormat="false" ht="15" hidden="false" customHeight="false" outlineLevel="0" collapsed="false">
      <c r="A409" s="27"/>
      <c r="B409" s="24"/>
      <c r="C409" s="24"/>
      <c r="D409" s="24"/>
      <c r="E409" s="24"/>
      <c r="F409" s="28"/>
      <c r="G409" s="24"/>
    </row>
    <row r="410" customFormat="false" ht="15" hidden="false" customHeight="false" outlineLevel="0" collapsed="false">
      <c r="A410" s="27"/>
      <c r="B410" s="24"/>
      <c r="C410" s="24"/>
      <c r="D410" s="24"/>
      <c r="E410" s="24"/>
      <c r="F410" s="28"/>
      <c r="G410" s="24"/>
    </row>
    <row r="411" customFormat="false" ht="15" hidden="false" customHeight="false" outlineLevel="0" collapsed="false">
      <c r="A411" s="27"/>
      <c r="B411" s="24"/>
      <c r="C411" s="24"/>
      <c r="D411" s="24"/>
      <c r="E411" s="24"/>
      <c r="F411" s="28"/>
      <c r="G411" s="24"/>
    </row>
    <row r="412" customFormat="false" ht="15" hidden="false" customHeight="false" outlineLevel="0" collapsed="false">
      <c r="A412" s="27"/>
      <c r="B412" s="24"/>
      <c r="C412" s="24"/>
      <c r="D412" s="24"/>
      <c r="E412" s="24"/>
      <c r="F412" s="28"/>
      <c r="G412" s="24"/>
    </row>
    <row r="413" customFormat="false" ht="15" hidden="false" customHeight="false" outlineLevel="0" collapsed="false">
      <c r="A413" s="27"/>
      <c r="B413" s="24"/>
      <c r="C413" s="24"/>
      <c r="D413" s="24"/>
      <c r="E413" s="24"/>
      <c r="F413" s="28"/>
      <c r="G413" s="24"/>
    </row>
    <row r="414" customFormat="false" ht="15" hidden="false" customHeight="false" outlineLevel="0" collapsed="false">
      <c r="A414" s="27"/>
      <c r="B414" s="24"/>
      <c r="C414" s="24"/>
      <c r="D414" s="24"/>
      <c r="E414" s="24"/>
      <c r="F414" s="28"/>
      <c r="G414" s="24"/>
    </row>
    <row r="415" customFormat="false" ht="15" hidden="false" customHeight="false" outlineLevel="0" collapsed="false">
      <c r="A415" s="27"/>
      <c r="B415" s="24"/>
      <c r="C415" s="24"/>
      <c r="D415" s="24"/>
      <c r="E415" s="24"/>
      <c r="F415" s="28"/>
      <c r="G415" s="24"/>
    </row>
    <row r="416" customFormat="false" ht="15" hidden="false" customHeight="false" outlineLevel="0" collapsed="false">
      <c r="A416" s="27"/>
      <c r="B416" s="24"/>
      <c r="C416" s="24"/>
      <c r="D416" s="24"/>
      <c r="E416" s="24"/>
      <c r="F416" s="28"/>
      <c r="G416" s="24"/>
    </row>
    <row r="417" customFormat="false" ht="15" hidden="false" customHeight="false" outlineLevel="0" collapsed="false">
      <c r="A417" s="27"/>
      <c r="B417" s="24"/>
      <c r="C417" s="24"/>
      <c r="D417" s="24"/>
      <c r="E417" s="24"/>
      <c r="F417" s="28"/>
      <c r="G417" s="24"/>
    </row>
    <row r="418" customFormat="false" ht="15" hidden="false" customHeight="false" outlineLevel="0" collapsed="false">
      <c r="A418" s="27"/>
      <c r="B418" s="24"/>
      <c r="C418" s="24"/>
      <c r="D418" s="24"/>
      <c r="E418" s="24"/>
      <c r="F418" s="28"/>
      <c r="G418" s="24"/>
    </row>
    <row r="419" customFormat="false" ht="15" hidden="false" customHeight="false" outlineLevel="0" collapsed="false">
      <c r="A419" s="27"/>
      <c r="B419" s="24"/>
      <c r="C419" s="24"/>
      <c r="D419" s="24"/>
      <c r="E419" s="24"/>
      <c r="F419" s="28"/>
      <c r="G419" s="24"/>
    </row>
    <row r="420" customFormat="false" ht="15" hidden="false" customHeight="false" outlineLevel="0" collapsed="false">
      <c r="A420" s="27"/>
      <c r="B420" s="24"/>
      <c r="C420" s="24"/>
      <c r="D420" s="24"/>
      <c r="E420" s="24"/>
      <c r="F420" s="28"/>
      <c r="G420" s="24"/>
    </row>
    <row r="421" customFormat="false" ht="15" hidden="false" customHeight="false" outlineLevel="0" collapsed="false">
      <c r="A421" s="27"/>
      <c r="B421" s="24"/>
      <c r="C421" s="24"/>
      <c r="D421" s="24"/>
      <c r="E421" s="24"/>
      <c r="F421" s="28"/>
      <c r="G421" s="24"/>
    </row>
    <row r="422" customFormat="false" ht="15" hidden="false" customHeight="false" outlineLevel="0" collapsed="false">
      <c r="A422" s="27"/>
      <c r="B422" s="24"/>
      <c r="C422" s="24"/>
      <c r="D422" s="24"/>
      <c r="E422" s="24"/>
      <c r="F422" s="28"/>
      <c r="G422" s="24"/>
    </row>
    <row r="423" customFormat="false" ht="15" hidden="false" customHeight="false" outlineLevel="0" collapsed="false">
      <c r="A423" s="27"/>
      <c r="B423" s="24"/>
      <c r="C423" s="24"/>
      <c r="D423" s="24"/>
      <c r="E423" s="24"/>
      <c r="F423" s="28"/>
      <c r="G423" s="24"/>
    </row>
    <row r="424" customFormat="false" ht="15" hidden="false" customHeight="false" outlineLevel="0" collapsed="false">
      <c r="A424" s="27"/>
      <c r="B424" s="24"/>
      <c r="C424" s="24"/>
      <c r="D424" s="24"/>
      <c r="E424" s="24"/>
      <c r="F424" s="28"/>
      <c r="G424" s="24"/>
    </row>
    <row r="425" customFormat="false" ht="15" hidden="false" customHeight="false" outlineLevel="0" collapsed="false">
      <c r="A425" s="27"/>
      <c r="B425" s="24"/>
      <c r="C425" s="24"/>
      <c r="D425" s="24"/>
      <c r="E425" s="24"/>
      <c r="F425" s="28"/>
      <c r="G425" s="24"/>
    </row>
    <row r="426" customFormat="false" ht="15" hidden="false" customHeight="false" outlineLevel="0" collapsed="false">
      <c r="A426" s="27"/>
      <c r="B426" s="24"/>
      <c r="C426" s="24"/>
      <c r="D426" s="24"/>
      <c r="E426" s="24"/>
      <c r="F426" s="28"/>
      <c r="G426" s="24"/>
    </row>
    <row r="427" customFormat="false" ht="15" hidden="false" customHeight="false" outlineLevel="0" collapsed="false">
      <c r="A427" s="27"/>
      <c r="B427" s="24"/>
      <c r="C427" s="24"/>
      <c r="D427" s="24"/>
      <c r="E427" s="24"/>
      <c r="F427" s="28"/>
      <c r="G427" s="24"/>
    </row>
    <row r="428" customFormat="false" ht="15" hidden="false" customHeight="false" outlineLevel="0" collapsed="false">
      <c r="A428" s="27"/>
      <c r="B428" s="24"/>
      <c r="C428" s="24"/>
      <c r="D428" s="24"/>
      <c r="E428" s="24"/>
      <c r="F428" s="28"/>
      <c r="G428" s="24"/>
    </row>
    <row r="429" customFormat="false" ht="15" hidden="false" customHeight="false" outlineLevel="0" collapsed="false">
      <c r="A429" s="27"/>
      <c r="B429" s="24"/>
      <c r="C429" s="24"/>
      <c r="D429" s="24"/>
      <c r="E429" s="24"/>
      <c r="F429" s="28"/>
      <c r="G429" s="24"/>
    </row>
    <row r="430" customFormat="false" ht="15" hidden="false" customHeight="false" outlineLevel="0" collapsed="false">
      <c r="A430" s="27"/>
      <c r="B430" s="24"/>
      <c r="C430" s="24"/>
      <c r="D430" s="24"/>
      <c r="E430" s="24"/>
      <c r="F430" s="28"/>
      <c r="G430" s="24"/>
    </row>
    <row r="431" customFormat="false" ht="15" hidden="false" customHeight="false" outlineLevel="0" collapsed="false">
      <c r="A431" s="27"/>
      <c r="B431" s="24"/>
      <c r="C431" s="24"/>
      <c r="D431" s="24"/>
      <c r="E431" s="24"/>
      <c r="F431" s="28"/>
      <c r="G431" s="24"/>
    </row>
    <row r="432" customFormat="false" ht="15" hidden="false" customHeight="false" outlineLevel="0" collapsed="false">
      <c r="A432" s="27"/>
      <c r="B432" s="24"/>
      <c r="C432" s="24"/>
      <c r="D432" s="24"/>
      <c r="E432" s="24"/>
      <c r="F432" s="28"/>
      <c r="G432" s="24"/>
    </row>
    <row r="433" customFormat="false" ht="15" hidden="false" customHeight="false" outlineLevel="0" collapsed="false">
      <c r="A433" s="27"/>
      <c r="B433" s="24"/>
      <c r="C433" s="24"/>
      <c r="D433" s="24"/>
      <c r="E433" s="24"/>
      <c r="F433" s="28"/>
      <c r="G433" s="24"/>
    </row>
    <row r="434" customFormat="false" ht="15" hidden="false" customHeight="false" outlineLevel="0" collapsed="false">
      <c r="A434" s="27"/>
      <c r="B434" s="24"/>
      <c r="C434" s="24"/>
      <c r="D434" s="24"/>
      <c r="E434" s="24"/>
      <c r="F434" s="28"/>
      <c r="G434" s="24"/>
    </row>
    <row r="435" customFormat="false" ht="15" hidden="false" customHeight="false" outlineLevel="0" collapsed="false">
      <c r="A435" s="27"/>
      <c r="B435" s="24"/>
      <c r="C435" s="24"/>
      <c r="D435" s="24"/>
      <c r="E435" s="24"/>
      <c r="F435" s="28"/>
      <c r="G435" s="24"/>
    </row>
    <row r="436" customFormat="false" ht="15" hidden="false" customHeight="false" outlineLevel="0" collapsed="false">
      <c r="A436" s="27"/>
      <c r="B436" s="24"/>
      <c r="C436" s="24"/>
      <c r="D436" s="24"/>
      <c r="E436" s="24"/>
      <c r="F436" s="28"/>
      <c r="G436" s="24"/>
    </row>
    <row r="437" customFormat="false" ht="15" hidden="false" customHeight="false" outlineLevel="0" collapsed="false">
      <c r="A437" s="27"/>
      <c r="B437" s="24"/>
      <c r="C437" s="24"/>
      <c r="D437" s="24"/>
      <c r="E437" s="24"/>
      <c r="F437" s="28"/>
      <c r="G437" s="24"/>
    </row>
    <row r="438" customFormat="false" ht="15" hidden="false" customHeight="false" outlineLevel="0" collapsed="false">
      <c r="A438" s="27"/>
      <c r="B438" s="24"/>
      <c r="C438" s="24"/>
      <c r="D438" s="24"/>
      <c r="E438" s="24"/>
      <c r="F438" s="28"/>
      <c r="G438" s="24"/>
    </row>
    <row r="439" customFormat="false" ht="15" hidden="false" customHeight="false" outlineLevel="0" collapsed="false">
      <c r="A439" s="27"/>
      <c r="B439" s="24"/>
      <c r="C439" s="24"/>
      <c r="D439" s="24"/>
      <c r="E439" s="24"/>
      <c r="F439" s="28"/>
      <c r="G439" s="24"/>
    </row>
    <row r="440" customFormat="false" ht="15" hidden="false" customHeight="false" outlineLevel="0" collapsed="false">
      <c r="A440" s="27"/>
      <c r="B440" s="24"/>
      <c r="C440" s="24"/>
      <c r="D440" s="24"/>
      <c r="E440" s="24"/>
      <c r="F440" s="28"/>
      <c r="G440" s="24"/>
    </row>
    <row r="441" customFormat="false" ht="15" hidden="false" customHeight="false" outlineLevel="0" collapsed="false">
      <c r="A441" s="27"/>
      <c r="B441" s="24"/>
      <c r="C441" s="24"/>
      <c r="D441" s="24"/>
      <c r="E441" s="24"/>
      <c r="F441" s="28"/>
      <c r="G441" s="24"/>
    </row>
    <row r="442" customFormat="false" ht="15" hidden="false" customHeight="false" outlineLevel="0" collapsed="false">
      <c r="A442" s="27"/>
      <c r="B442" s="24"/>
      <c r="C442" s="24"/>
      <c r="D442" s="24"/>
      <c r="E442" s="24"/>
      <c r="F442" s="28"/>
      <c r="G442" s="24"/>
    </row>
    <row r="443" customFormat="false" ht="15" hidden="false" customHeight="false" outlineLevel="0" collapsed="false">
      <c r="A443" s="27"/>
      <c r="B443" s="24"/>
      <c r="C443" s="24"/>
      <c r="D443" s="24"/>
      <c r="E443" s="24"/>
      <c r="F443" s="28"/>
      <c r="G443" s="24"/>
    </row>
    <row r="444" customFormat="false" ht="15" hidden="false" customHeight="false" outlineLevel="0" collapsed="false">
      <c r="A444" s="27"/>
      <c r="B444" s="24"/>
      <c r="C444" s="24"/>
      <c r="D444" s="24"/>
      <c r="E444" s="24"/>
      <c r="F444" s="28"/>
      <c r="G444" s="24"/>
    </row>
    <row r="445" customFormat="false" ht="15" hidden="false" customHeight="false" outlineLevel="0" collapsed="false">
      <c r="A445" s="27"/>
      <c r="B445" s="24"/>
      <c r="C445" s="24"/>
      <c r="D445" s="24"/>
      <c r="E445" s="24"/>
      <c r="F445" s="28"/>
      <c r="G445" s="24"/>
    </row>
    <row r="446" customFormat="false" ht="15" hidden="false" customHeight="false" outlineLevel="0" collapsed="false">
      <c r="A446" s="27"/>
      <c r="B446" s="24"/>
      <c r="C446" s="24"/>
      <c r="D446" s="24"/>
      <c r="E446" s="24"/>
      <c r="F446" s="28"/>
      <c r="G446" s="24"/>
    </row>
    <row r="447" customFormat="false" ht="15" hidden="false" customHeight="false" outlineLevel="0" collapsed="false">
      <c r="A447" s="27"/>
      <c r="B447" s="24"/>
      <c r="C447" s="24"/>
      <c r="D447" s="24"/>
      <c r="E447" s="24"/>
      <c r="F447" s="28"/>
      <c r="G447" s="24"/>
    </row>
    <row r="448" customFormat="false" ht="15" hidden="false" customHeight="false" outlineLevel="0" collapsed="false">
      <c r="A448" s="27"/>
      <c r="B448" s="24"/>
      <c r="C448" s="24"/>
      <c r="D448" s="24"/>
      <c r="E448" s="24"/>
      <c r="F448" s="28"/>
      <c r="G448" s="24"/>
    </row>
    <row r="449" customFormat="false" ht="15" hidden="false" customHeight="false" outlineLevel="0" collapsed="false">
      <c r="A449" s="27"/>
      <c r="B449" s="24"/>
      <c r="C449" s="24"/>
      <c r="D449" s="24"/>
      <c r="E449" s="24"/>
      <c r="F449" s="28"/>
      <c r="G449" s="24"/>
    </row>
    <row r="450" customFormat="false" ht="15" hidden="false" customHeight="false" outlineLevel="0" collapsed="false">
      <c r="A450" s="27"/>
      <c r="B450" s="24"/>
      <c r="C450" s="24"/>
      <c r="D450" s="24"/>
      <c r="E450" s="24"/>
      <c r="F450" s="28"/>
      <c r="G450" s="24"/>
    </row>
    <row r="451" customFormat="false" ht="15" hidden="false" customHeight="false" outlineLevel="0" collapsed="false">
      <c r="A451" s="27"/>
      <c r="B451" s="24"/>
      <c r="C451" s="24"/>
      <c r="D451" s="24"/>
      <c r="E451" s="24"/>
      <c r="F451" s="28"/>
      <c r="G451" s="24"/>
    </row>
    <row r="452" customFormat="false" ht="15" hidden="false" customHeight="false" outlineLevel="0" collapsed="false">
      <c r="A452" s="27"/>
      <c r="B452" s="24"/>
      <c r="C452" s="24"/>
      <c r="D452" s="24"/>
      <c r="E452" s="24"/>
      <c r="F452" s="28"/>
      <c r="G452" s="24"/>
    </row>
    <row r="453" customFormat="false" ht="15" hidden="false" customHeight="false" outlineLevel="0" collapsed="false">
      <c r="A453" s="27"/>
      <c r="B453" s="24"/>
      <c r="C453" s="24"/>
      <c r="D453" s="24"/>
      <c r="E453" s="24"/>
      <c r="F453" s="28"/>
      <c r="G453" s="24"/>
    </row>
    <row r="454" customFormat="false" ht="15" hidden="false" customHeight="false" outlineLevel="0" collapsed="false">
      <c r="A454" s="27"/>
      <c r="B454" s="24"/>
      <c r="C454" s="24"/>
      <c r="D454" s="24"/>
      <c r="E454" s="24"/>
      <c r="F454" s="28"/>
      <c r="G454" s="24"/>
    </row>
    <row r="455" customFormat="false" ht="15" hidden="false" customHeight="false" outlineLevel="0" collapsed="false">
      <c r="A455" s="27"/>
      <c r="B455" s="24"/>
      <c r="C455" s="24"/>
      <c r="D455" s="24"/>
      <c r="E455" s="24"/>
      <c r="F455" s="28"/>
      <c r="G455" s="24"/>
    </row>
    <row r="456" customFormat="false" ht="15" hidden="false" customHeight="false" outlineLevel="0" collapsed="false">
      <c r="A456" s="27"/>
      <c r="B456" s="24"/>
      <c r="C456" s="24"/>
      <c r="D456" s="24"/>
      <c r="E456" s="24"/>
      <c r="F456" s="28"/>
      <c r="G456" s="24"/>
    </row>
    <row r="457" customFormat="false" ht="15" hidden="false" customHeight="false" outlineLevel="0" collapsed="false">
      <c r="A457" s="27"/>
      <c r="B457" s="24"/>
      <c r="C457" s="24"/>
      <c r="D457" s="24"/>
      <c r="E457" s="24"/>
      <c r="F457" s="28"/>
      <c r="G457" s="24"/>
    </row>
    <row r="458" customFormat="false" ht="15" hidden="false" customHeight="false" outlineLevel="0" collapsed="false">
      <c r="A458" s="27"/>
      <c r="B458" s="24"/>
      <c r="C458" s="24"/>
      <c r="D458" s="24"/>
      <c r="E458" s="24"/>
      <c r="F458" s="28"/>
      <c r="G458" s="24"/>
    </row>
    <row r="459" customFormat="false" ht="15" hidden="false" customHeight="false" outlineLevel="0" collapsed="false">
      <c r="A459" s="27"/>
      <c r="B459" s="24"/>
      <c r="C459" s="24"/>
      <c r="D459" s="24"/>
      <c r="E459" s="24"/>
      <c r="F459" s="28"/>
      <c r="G459" s="24"/>
    </row>
    <row r="460" customFormat="false" ht="15" hidden="false" customHeight="false" outlineLevel="0" collapsed="false">
      <c r="A460" s="27"/>
      <c r="B460" s="24"/>
      <c r="C460" s="24"/>
      <c r="D460" s="24"/>
      <c r="E460" s="24"/>
      <c r="F460" s="28"/>
      <c r="G460" s="24"/>
    </row>
    <row r="461" customFormat="false" ht="15" hidden="false" customHeight="false" outlineLevel="0" collapsed="false">
      <c r="A461" s="27"/>
      <c r="B461" s="24"/>
      <c r="C461" s="24"/>
      <c r="D461" s="24"/>
      <c r="E461" s="24"/>
      <c r="F461" s="28"/>
      <c r="G461" s="24"/>
    </row>
    <row r="462" customFormat="false" ht="15" hidden="false" customHeight="false" outlineLevel="0" collapsed="false">
      <c r="A462" s="27"/>
      <c r="B462" s="24"/>
      <c r="C462" s="24"/>
      <c r="D462" s="24"/>
      <c r="E462" s="24"/>
      <c r="F462" s="28"/>
      <c r="G462" s="24"/>
    </row>
    <row r="463" customFormat="false" ht="15" hidden="false" customHeight="false" outlineLevel="0" collapsed="false">
      <c r="A463" s="27"/>
      <c r="B463" s="24"/>
      <c r="C463" s="24"/>
      <c r="D463" s="24"/>
      <c r="E463" s="24"/>
      <c r="F463" s="28"/>
      <c r="G463" s="24"/>
    </row>
    <row r="464" customFormat="false" ht="15" hidden="false" customHeight="false" outlineLevel="0" collapsed="false">
      <c r="A464" s="27"/>
      <c r="B464" s="24"/>
      <c r="C464" s="24"/>
      <c r="D464" s="24"/>
      <c r="E464" s="24"/>
      <c r="F464" s="28"/>
      <c r="G464" s="24"/>
    </row>
    <row r="465" customFormat="false" ht="15" hidden="false" customHeight="false" outlineLevel="0" collapsed="false">
      <c r="A465" s="27"/>
      <c r="B465" s="24"/>
      <c r="C465" s="24"/>
      <c r="D465" s="24"/>
      <c r="E465" s="24"/>
      <c r="F465" s="28"/>
      <c r="G465" s="24"/>
    </row>
    <row r="466" customFormat="false" ht="15" hidden="false" customHeight="false" outlineLevel="0" collapsed="false">
      <c r="A466" s="27"/>
      <c r="B466" s="24"/>
      <c r="C466" s="24"/>
      <c r="D466" s="24"/>
      <c r="E466" s="24"/>
      <c r="F466" s="28"/>
      <c r="G466" s="24"/>
    </row>
    <row r="467" customFormat="false" ht="15" hidden="false" customHeight="false" outlineLevel="0" collapsed="false">
      <c r="A467" s="27"/>
      <c r="B467" s="24"/>
      <c r="C467" s="24"/>
      <c r="D467" s="24"/>
      <c r="E467" s="24"/>
      <c r="F467" s="28"/>
      <c r="G467" s="24"/>
    </row>
    <row r="468" customFormat="false" ht="15" hidden="false" customHeight="false" outlineLevel="0" collapsed="false">
      <c r="A468" s="27"/>
      <c r="B468" s="24"/>
      <c r="C468" s="24"/>
      <c r="D468" s="24"/>
      <c r="E468" s="24"/>
      <c r="F468" s="28"/>
      <c r="G468" s="24"/>
    </row>
    <row r="469" customFormat="false" ht="15" hidden="false" customHeight="false" outlineLevel="0" collapsed="false">
      <c r="A469" s="27"/>
      <c r="B469" s="24"/>
      <c r="C469" s="24"/>
      <c r="D469" s="24"/>
      <c r="E469" s="24"/>
      <c r="F469" s="28"/>
      <c r="G469" s="24"/>
    </row>
    <row r="470" customFormat="false" ht="15" hidden="false" customHeight="false" outlineLevel="0" collapsed="false">
      <c r="A470" s="27"/>
      <c r="B470" s="24"/>
      <c r="C470" s="24"/>
      <c r="D470" s="24"/>
      <c r="E470" s="24"/>
      <c r="F470" s="28"/>
      <c r="G470" s="24"/>
    </row>
    <row r="471" customFormat="false" ht="15" hidden="false" customHeight="false" outlineLevel="0" collapsed="false">
      <c r="A471" s="27"/>
      <c r="B471" s="24"/>
      <c r="C471" s="24"/>
      <c r="D471" s="24"/>
      <c r="E471" s="24"/>
      <c r="F471" s="28"/>
      <c r="G471" s="24"/>
    </row>
    <row r="472" customFormat="false" ht="15" hidden="false" customHeight="false" outlineLevel="0" collapsed="false">
      <c r="A472" s="27"/>
      <c r="B472" s="24"/>
      <c r="C472" s="24"/>
      <c r="D472" s="24"/>
      <c r="E472" s="24"/>
      <c r="F472" s="28"/>
      <c r="G472" s="24"/>
    </row>
    <row r="473" customFormat="false" ht="15" hidden="false" customHeight="false" outlineLevel="0" collapsed="false">
      <c r="A473" s="27"/>
      <c r="B473" s="24"/>
      <c r="C473" s="24"/>
      <c r="D473" s="24"/>
      <c r="E473" s="24"/>
      <c r="F473" s="28"/>
      <c r="G473" s="24"/>
    </row>
    <row r="474" customFormat="false" ht="15" hidden="false" customHeight="false" outlineLevel="0" collapsed="false">
      <c r="A474" s="27"/>
      <c r="B474" s="24"/>
      <c r="C474" s="24"/>
      <c r="D474" s="24"/>
      <c r="E474" s="24"/>
      <c r="F474" s="28"/>
      <c r="G474" s="24"/>
    </row>
    <row r="475" customFormat="false" ht="15" hidden="false" customHeight="false" outlineLevel="0" collapsed="false">
      <c r="A475" s="27"/>
      <c r="B475" s="24"/>
      <c r="C475" s="24"/>
      <c r="D475" s="24"/>
      <c r="E475" s="24"/>
      <c r="F475" s="28"/>
      <c r="G475" s="24"/>
    </row>
    <row r="476" customFormat="false" ht="15" hidden="false" customHeight="false" outlineLevel="0" collapsed="false">
      <c r="A476" s="27"/>
      <c r="B476" s="24"/>
      <c r="C476" s="24"/>
      <c r="D476" s="24"/>
      <c r="E476" s="24"/>
      <c r="F476" s="28"/>
      <c r="G476" s="24"/>
    </row>
    <row r="477" customFormat="false" ht="15" hidden="false" customHeight="false" outlineLevel="0" collapsed="false">
      <c r="A477" s="27"/>
      <c r="B477" s="24"/>
      <c r="C477" s="24"/>
      <c r="D477" s="24"/>
      <c r="E477" s="24"/>
      <c r="F477" s="28"/>
      <c r="G477" s="24"/>
    </row>
    <row r="478" customFormat="false" ht="15" hidden="false" customHeight="false" outlineLevel="0" collapsed="false">
      <c r="A478" s="27"/>
      <c r="B478" s="24"/>
      <c r="C478" s="24"/>
      <c r="D478" s="24"/>
      <c r="E478" s="24"/>
      <c r="F478" s="28"/>
      <c r="G478" s="24"/>
    </row>
    <row r="479" customFormat="false" ht="15" hidden="false" customHeight="false" outlineLevel="0" collapsed="false">
      <c r="A479" s="27"/>
      <c r="B479" s="24"/>
      <c r="C479" s="24"/>
      <c r="D479" s="24"/>
      <c r="E479" s="24"/>
      <c r="F479" s="28"/>
      <c r="G479" s="24"/>
    </row>
    <row r="480" customFormat="false" ht="15" hidden="false" customHeight="false" outlineLevel="0" collapsed="false">
      <c r="A480" s="27"/>
      <c r="B480" s="24"/>
      <c r="C480" s="24"/>
      <c r="D480" s="24"/>
      <c r="E480" s="24"/>
      <c r="F480" s="28"/>
      <c r="G480" s="24"/>
    </row>
    <row r="481" customFormat="false" ht="15" hidden="false" customHeight="false" outlineLevel="0" collapsed="false">
      <c r="A481" s="27"/>
      <c r="B481" s="24"/>
      <c r="C481" s="24"/>
      <c r="D481" s="24"/>
      <c r="E481" s="24"/>
      <c r="F481" s="28"/>
      <c r="G481" s="24"/>
    </row>
    <row r="482" customFormat="false" ht="15" hidden="false" customHeight="false" outlineLevel="0" collapsed="false">
      <c r="A482" s="27"/>
      <c r="B482" s="24"/>
      <c r="C482" s="24"/>
      <c r="D482" s="24"/>
      <c r="E482" s="24"/>
      <c r="F482" s="28"/>
      <c r="G482" s="24"/>
    </row>
    <row r="483" customFormat="false" ht="15" hidden="false" customHeight="false" outlineLevel="0" collapsed="false">
      <c r="A483" s="27"/>
      <c r="B483" s="24"/>
      <c r="C483" s="24"/>
      <c r="D483" s="24"/>
      <c r="E483" s="24"/>
      <c r="F483" s="28"/>
      <c r="G483" s="24"/>
    </row>
    <row r="484" customFormat="false" ht="15" hidden="false" customHeight="false" outlineLevel="0" collapsed="false">
      <c r="A484" s="27"/>
      <c r="B484" s="24"/>
      <c r="C484" s="24"/>
      <c r="D484" s="24"/>
      <c r="E484" s="24"/>
      <c r="F484" s="28"/>
      <c r="G484" s="24"/>
    </row>
    <row r="485" customFormat="false" ht="15" hidden="false" customHeight="false" outlineLevel="0" collapsed="false">
      <c r="A485" s="27"/>
      <c r="B485" s="24"/>
      <c r="C485" s="24"/>
      <c r="D485" s="24"/>
      <c r="E485" s="24"/>
      <c r="F485" s="28"/>
      <c r="G485" s="24"/>
    </row>
    <row r="486" customFormat="false" ht="15" hidden="false" customHeight="false" outlineLevel="0" collapsed="false">
      <c r="A486" s="27"/>
      <c r="B486" s="24"/>
      <c r="C486" s="24"/>
      <c r="D486" s="24"/>
      <c r="E486" s="24"/>
      <c r="F486" s="28"/>
      <c r="G486" s="24"/>
    </row>
    <row r="487" customFormat="false" ht="15" hidden="false" customHeight="false" outlineLevel="0" collapsed="false">
      <c r="A487" s="27"/>
      <c r="B487" s="24"/>
      <c r="C487" s="24"/>
      <c r="D487" s="24"/>
      <c r="E487" s="24"/>
      <c r="F487" s="28"/>
      <c r="G487" s="24"/>
    </row>
    <row r="488" customFormat="false" ht="15" hidden="false" customHeight="false" outlineLevel="0" collapsed="false">
      <c r="A488" s="27"/>
      <c r="B488" s="24"/>
      <c r="C488" s="24"/>
      <c r="D488" s="24"/>
      <c r="E488" s="24"/>
      <c r="F488" s="28"/>
      <c r="G488" s="24"/>
    </row>
    <row r="489" customFormat="false" ht="15" hidden="false" customHeight="false" outlineLevel="0" collapsed="false">
      <c r="A489" s="27"/>
      <c r="B489" s="24"/>
      <c r="C489" s="24"/>
      <c r="D489" s="24"/>
      <c r="E489" s="24"/>
      <c r="F489" s="28"/>
      <c r="G489" s="24"/>
    </row>
    <row r="490" customFormat="false" ht="15" hidden="false" customHeight="false" outlineLevel="0" collapsed="false">
      <c r="A490" s="27"/>
      <c r="B490" s="24"/>
      <c r="C490" s="24"/>
      <c r="D490" s="24"/>
      <c r="E490" s="24"/>
      <c r="F490" s="28"/>
      <c r="G490" s="24"/>
    </row>
    <row r="491" customFormat="false" ht="15" hidden="false" customHeight="false" outlineLevel="0" collapsed="false">
      <c r="A491" s="27"/>
      <c r="B491" s="24"/>
      <c r="C491" s="24"/>
      <c r="D491" s="24"/>
      <c r="E491" s="24"/>
      <c r="F491" s="28"/>
      <c r="G491" s="24"/>
    </row>
    <row r="492" customFormat="false" ht="15" hidden="false" customHeight="false" outlineLevel="0" collapsed="false">
      <c r="A492" s="27"/>
      <c r="B492" s="24"/>
      <c r="C492" s="24"/>
      <c r="D492" s="24"/>
      <c r="E492" s="24"/>
      <c r="F492" s="28"/>
      <c r="G492" s="24"/>
    </row>
    <row r="493" customFormat="false" ht="15" hidden="false" customHeight="false" outlineLevel="0" collapsed="false">
      <c r="A493" s="27"/>
      <c r="B493" s="24"/>
      <c r="C493" s="24"/>
      <c r="D493" s="24"/>
      <c r="E493" s="24"/>
      <c r="F493" s="28"/>
      <c r="G493" s="24"/>
    </row>
    <row r="494" customFormat="false" ht="15" hidden="false" customHeight="false" outlineLevel="0" collapsed="false">
      <c r="A494" s="27"/>
      <c r="B494" s="24"/>
      <c r="C494" s="24"/>
      <c r="D494" s="24"/>
      <c r="E494" s="24"/>
      <c r="F494" s="28"/>
      <c r="G494" s="24"/>
    </row>
    <row r="495" customFormat="false" ht="15" hidden="false" customHeight="false" outlineLevel="0" collapsed="false">
      <c r="A495" s="27"/>
      <c r="B495" s="24"/>
      <c r="C495" s="24"/>
      <c r="D495" s="24"/>
      <c r="E495" s="24"/>
      <c r="F495" s="28"/>
      <c r="G495" s="24"/>
    </row>
    <row r="496" customFormat="false" ht="15" hidden="false" customHeight="false" outlineLevel="0" collapsed="false">
      <c r="A496" s="27"/>
      <c r="B496" s="24"/>
      <c r="C496" s="24"/>
      <c r="D496" s="24"/>
      <c r="E496" s="24"/>
      <c r="F496" s="28"/>
      <c r="G496" s="24"/>
    </row>
    <row r="497" customFormat="false" ht="15" hidden="false" customHeight="false" outlineLevel="0" collapsed="false">
      <c r="A497" s="27"/>
      <c r="B497" s="24"/>
      <c r="C497" s="24"/>
      <c r="D497" s="24"/>
      <c r="E497" s="24"/>
      <c r="F497" s="28"/>
      <c r="G497" s="24"/>
    </row>
    <row r="498" customFormat="false" ht="15" hidden="false" customHeight="false" outlineLevel="0" collapsed="false">
      <c r="A498" s="27"/>
      <c r="B498" s="24"/>
      <c r="C498" s="24"/>
      <c r="D498" s="24"/>
      <c r="E498" s="24"/>
      <c r="F498" s="28"/>
      <c r="G498" s="24"/>
    </row>
    <row r="499" customFormat="false" ht="15" hidden="false" customHeight="false" outlineLevel="0" collapsed="false">
      <c r="A499" s="27"/>
      <c r="B499" s="24"/>
      <c r="C499" s="24"/>
      <c r="D499" s="24"/>
      <c r="E499" s="24"/>
      <c r="F499" s="28"/>
      <c r="G499" s="24"/>
    </row>
    <row r="500" customFormat="false" ht="15" hidden="false" customHeight="false" outlineLevel="0" collapsed="false">
      <c r="A500" s="27"/>
      <c r="B500" s="24"/>
      <c r="C500" s="24"/>
      <c r="D500" s="24"/>
      <c r="E500" s="24"/>
      <c r="F500" s="28"/>
      <c r="G500" s="24"/>
    </row>
    <row r="501" customFormat="false" ht="15" hidden="false" customHeight="false" outlineLevel="0" collapsed="false">
      <c r="A501" s="27"/>
      <c r="B501" s="24"/>
      <c r="C501" s="24"/>
      <c r="D501" s="24"/>
      <c r="E501" s="24"/>
      <c r="F501" s="28"/>
      <c r="G501" s="24"/>
    </row>
    <row r="502" customFormat="false" ht="15" hidden="false" customHeight="false" outlineLevel="0" collapsed="false">
      <c r="A502" s="27"/>
      <c r="B502" s="24"/>
      <c r="C502" s="24"/>
      <c r="D502" s="24"/>
      <c r="E502" s="24"/>
      <c r="F502" s="28"/>
      <c r="G502" s="24"/>
    </row>
    <row r="503" customFormat="false" ht="15" hidden="false" customHeight="false" outlineLevel="0" collapsed="false">
      <c r="A503" s="27"/>
      <c r="B503" s="24"/>
      <c r="C503" s="24"/>
      <c r="D503" s="24"/>
      <c r="E503" s="24"/>
      <c r="F503" s="28"/>
      <c r="G503" s="24"/>
    </row>
    <row r="504" customFormat="false" ht="15" hidden="false" customHeight="false" outlineLevel="0" collapsed="false">
      <c r="A504" s="27"/>
      <c r="B504" s="24"/>
      <c r="C504" s="24"/>
      <c r="D504" s="24"/>
      <c r="E504" s="24"/>
      <c r="F504" s="28"/>
      <c r="G504" s="24"/>
    </row>
    <row r="505" customFormat="false" ht="15" hidden="false" customHeight="false" outlineLevel="0" collapsed="false">
      <c r="A505" s="27"/>
      <c r="B505" s="24"/>
      <c r="C505" s="24"/>
      <c r="D505" s="24"/>
      <c r="E505" s="24"/>
      <c r="F505" s="28"/>
      <c r="G505" s="24"/>
    </row>
    <row r="506" customFormat="false" ht="15" hidden="false" customHeight="false" outlineLevel="0" collapsed="false">
      <c r="A506" s="27"/>
      <c r="B506" s="24"/>
      <c r="C506" s="24"/>
      <c r="D506" s="24"/>
      <c r="E506" s="24"/>
      <c r="F506" s="28"/>
      <c r="G506" s="24"/>
    </row>
    <row r="507" customFormat="false" ht="15" hidden="false" customHeight="false" outlineLevel="0" collapsed="false">
      <c r="A507" s="27"/>
      <c r="B507" s="24"/>
      <c r="C507" s="24"/>
      <c r="D507" s="24"/>
      <c r="E507" s="24"/>
      <c r="F507" s="28"/>
      <c r="G507" s="24"/>
    </row>
    <row r="508" customFormat="false" ht="15" hidden="false" customHeight="false" outlineLevel="0" collapsed="false">
      <c r="A508" s="27"/>
      <c r="B508" s="24"/>
      <c r="C508" s="24"/>
      <c r="D508" s="24"/>
      <c r="E508" s="24"/>
      <c r="F508" s="28"/>
      <c r="G508" s="24"/>
    </row>
    <row r="509" customFormat="false" ht="15" hidden="false" customHeight="false" outlineLevel="0" collapsed="false">
      <c r="A509" s="27"/>
      <c r="B509" s="24"/>
      <c r="C509" s="24"/>
      <c r="D509" s="24"/>
      <c r="E509" s="24"/>
      <c r="F509" s="28"/>
      <c r="G509" s="24"/>
    </row>
    <row r="510" customFormat="false" ht="15" hidden="false" customHeight="false" outlineLevel="0" collapsed="false">
      <c r="A510" s="27"/>
      <c r="B510" s="24"/>
      <c r="C510" s="24"/>
      <c r="D510" s="24"/>
      <c r="E510" s="24"/>
      <c r="F510" s="28"/>
      <c r="G510" s="24"/>
    </row>
    <row r="511" customFormat="false" ht="15" hidden="false" customHeight="false" outlineLevel="0" collapsed="false">
      <c r="A511" s="27"/>
      <c r="B511" s="24"/>
      <c r="C511" s="24"/>
      <c r="D511" s="24"/>
      <c r="E511" s="24"/>
      <c r="F511" s="28"/>
      <c r="G511" s="24"/>
    </row>
    <row r="512" customFormat="false" ht="15" hidden="false" customHeight="false" outlineLevel="0" collapsed="false">
      <c r="A512" s="27"/>
      <c r="B512" s="24"/>
      <c r="C512" s="24"/>
      <c r="D512" s="24"/>
      <c r="E512" s="24"/>
      <c r="F512" s="28"/>
      <c r="G512" s="24"/>
    </row>
    <row r="513" customFormat="false" ht="15" hidden="false" customHeight="false" outlineLevel="0" collapsed="false">
      <c r="A513" s="27"/>
      <c r="B513" s="24"/>
      <c r="C513" s="24"/>
      <c r="D513" s="24"/>
      <c r="E513" s="24"/>
      <c r="F513" s="28"/>
      <c r="G513" s="24"/>
    </row>
    <row r="514" customFormat="false" ht="15" hidden="false" customHeight="false" outlineLevel="0" collapsed="false">
      <c r="A514" s="27"/>
      <c r="B514" s="24"/>
      <c r="C514" s="24"/>
      <c r="D514" s="24"/>
      <c r="E514" s="24"/>
      <c r="F514" s="28"/>
      <c r="G514" s="24"/>
    </row>
    <row r="515" customFormat="false" ht="15" hidden="false" customHeight="false" outlineLevel="0" collapsed="false">
      <c r="A515" s="27"/>
      <c r="B515" s="24"/>
      <c r="C515" s="24"/>
      <c r="D515" s="24"/>
      <c r="E515" s="24"/>
      <c r="F515" s="28"/>
      <c r="G515" s="24"/>
    </row>
    <row r="516" customFormat="false" ht="15" hidden="false" customHeight="false" outlineLevel="0" collapsed="false">
      <c r="A516" s="27"/>
      <c r="B516" s="24"/>
      <c r="C516" s="24"/>
      <c r="D516" s="24"/>
      <c r="E516" s="24"/>
      <c r="F516" s="28"/>
      <c r="G516" s="24"/>
    </row>
    <row r="517" customFormat="false" ht="15" hidden="false" customHeight="false" outlineLevel="0" collapsed="false">
      <c r="A517" s="27"/>
      <c r="B517" s="24"/>
      <c r="C517" s="24"/>
      <c r="D517" s="24"/>
      <c r="E517" s="24"/>
      <c r="F517" s="28"/>
      <c r="G517" s="24"/>
    </row>
    <row r="518" customFormat="false" ht="15" hidden="false" customHeight="false" outlineLevel="0" collapsed="false">
      <c r="A518" s="27"/>
      <c r="B518" s="24"/>
      <c r="C518" s="24"/>
      <c r="D518" s="24"/>
      <c r="E518" s="24"/>
      <c r="F518" s="28"/>
      <c r="G518" s="24"/>
    </row>
    <row r="519" customFormat="false" ht="15" hidden="false" customHeight="false" outlineLevel="0" collapsed="false">
      <c r="A519" s="27"/>
      <c r="B519" s="24"/>
      <c r="C519" s="24"/>
      <c r="D519" s="24"/>
      <c r="E519" s="24"/>
      <c r="F519" s="28"/>
      <c r="G519" s="24"/>
    </row>
    <row r="520" customFormat="false" ht="15" hidden="false" customHeight="false" outlineLevel="0" collapsed="false">
      <c r="A520" s="27"/>
      <c r="B520" s="24"/>
      <c r="C520" s="24"/>
      <c r="D520" s="24"/>
      <c r="E520" s="24"/>
      <c r="F520" s="28"/>
      <c r="G520" s="24"/>
    </row>
    <row r="521" customFormat="false" ht="15" hidden="false" customHeight="false" outlineLevel="0" collapsed="false">
      <c r="A521" s="27"/>
      <c r="B521" s="24"/>
      <c r="C521" s="24"/>
      <c r="D521" s="24"/>
      <c r="E521" s="24"/>
      <c r="F521" s="28"/>
      <c r="G521" s="24"/>
    </row>
    <row r="522" customFormat="false" ht="15" hidden="false" customHeight="false" outlineLevel="0" collapsed="false">
      <c r="A522" s="27"/>
      <c r="B522" s="24"/>
      <c r="C522" s="24"/>
      <c r="D522" s="24"/>
      <c r="E522" s="24"/>
      <c r="F522" s="28"/>
      <c r="G522" s="24"/>
    </row>
    <row r="523" customFormat="false" ht="15" hidden="false" customHeight="false" outlineLevel="0" collapsed="false">
      <c r="A523" s="27"/>
      <c r="B523" s="24"/>
      <c r="C523" s="24"/>
      <c r="D523" s="24"/>
      <c r="E523" s="24"/>
      <c r="F523" s="28"/>
      <c r="G523" s="24"/>
    </row>
    <row r="524" customFormat="false" ht="15" hidden="false" customHeight="false" outlineLevel="0" collapsed="false">
      <c r="A524" s="27"/>
      <c r="B524" s="24"/>
      <c r="C524" s="24"/>
      <c r="D524" s="24"/>
      <c r="E524" s="24"/>
      <c r="F524" s="28"/>
      <c r="G524" s="24"/>
    </row>
    <row r="525" customFormat="false" ht="15" hidden="false" customHeight="false" outlineLevel="0" collapsed="false">
      <c r="A525" s="27"/>
      <c r="B525" s="24"/>
      <c r="C525" s="24"/>
      <c r="D525" s="24"/>
      <c r="E525" s="24"/>
      <c r="F525" s="28"/>
      <c r="G525" s="24"/>
    </row>
    <row r="526" customFormat="false" ht="15" hidden="false" customHeight="false" outlineLevel="0" collapsed="false">
      <c r="A526" s="27"/>
      <c r="B526" s="24"/>
      <c r="C526" s="24"/>
      <c r="D526" s="24"/>
      <c r="E526" s="24"/>
      <c r="F526" s="28"/>
      <c r="G526" s="24"/>
    </row>
    <row r="527" customFormat="false" ht="15" hidden="false" customHeight="false" outlineLevel="0" collapsed="false">
      <c r="A527" s="27"/>
      <c r="B527" s="24"/>
      <c r="C527" s="24"/>
      <c r="D527" s="24"/>
      <c r="E527" s="24"/>
      <c r="F527" s="28"/>
      <c r="G527" s="24"/>
    </row>
    <row r="528" customFormat="false" ht="15" hidden="false" customHeight="false" outlineLevel="0" collapsed="false">
      <c r="A528" s="27"/>
      <c r="B528" s="24"/>
      <c r="C528" s="24"/>
      <c r="D528" s="24"/>
      <c r="E528" s="24"/>
      <c r="F528" s="28"/>
      <c r="G528" s="24"/>
    </row>
    <row r="529" customFormat="false" ht="15" hidden="false" customHeight="false" outlineLevel="0" collapsed="false">
      <c r="A529" s="27"/>
      <c r="B529" s="24"/>
      <c r="C529" s="24"/>
      <c r="D529" s="24"/>
      <c r="E529" s="24"/>
      <c r="F529" s="28"/>
      <c r="G529" s="24"/>
    </row>
    <row r="530" customFormat="false" ht="15" hidden="false" customHeight="false" outlineLevel="0" collapsed="false">
      <c r="A530" s="27"/>
      <c r="B530" s="24"/>
      <c r="C530" s="24"/>
      <c r="D530" s="24"/>
      <c r="E530" s="24"/>
      <c r="F530" s="28"/>
      <c r="G530" s="24"/>
    </row>
    <row r="531" customFormat="false" ht="15" hidden="false" customHeight="false" outlineLevel="0" collapsed="false">
      <c r="A531" s="27"/>
      <c r="B531" s="24"/>
      <c r="C531" s="24"/>
      <c r="D531" s="24"/>
      <c r="E531" s="24"/>
      <c r="F531" s="28"/>
      <c r="G531" s="24"/>
    </row>
    <row r="532" customFormat="false" ht="15" hidden="false" customHeight="false" outlineLevel="0" collapsed="false">
      <c r="A532" s="27"/>
      <c r="B532" s="24"/>
      <c r="C532" s="24"/>
      <c r="D532" s="24"/>
      <c r="E532" s="24"/>
      <c r="F532" s="28"/>
      <c r="G532" s="24"/>
    </row>
    <row r="533" customFormat="false" ht="15" hidden="false" customHeight="false" outlineLevel="0" collapsed="false">
      <c r="A533" s="27"/>
      <c r="B533" s="24"/>
      <c r="C533" s="24"/>
      <c r="D533" s="24"/>
      <c r="E533" s="24"/>
      <c r="F533" s="28"/>
      <c r="G533" s="24"/>
    </row>
    <row r="534" customFormat="false" ht="15" hidden="false" customHeight="false" outlineLevel="0" collapsed="false">
      <c r="A534" s="27"/>
      <c r="B534" s="24"/>
      <c r="C534" s="24"/>
      <c r="D534" s="24"/>
      <c r="E534" s="24"/>
      <c r="F534" s="28"/>
      <c r="G534" s="24"/>
    </row>
    <row r="535" customFormat="false" ht="15" hidden="false" customHeight="false" outlineLevel="0" collapsed="false">
      <c r="A535" s="27"/>
      <c r="B535" s="24"/>
      <c r="C535" s="24"/>
      <c r="D535" s="24"/>
      <c r="E535" s="24"/>
      <c r="F535" s="28"/>
      <c r="G535" s="24"/>
    </row>
    <row r="536" customFormat="false" ht="15" hidden="false" customHeight="false" outlineLevel="0" collapsed="false">
      <c r="A536" s="27"/>
      <c r="B536" s="24"/>
      <c r="C536" s="24"/>
      <c r="D536" s="24"/>
      <c r="E536" s="24"/>
      <c r="F536" s="28"/>
      <c r="G536" s="24"/>
    </row>
    <row r="537" customFormat="false" ht="15" hidden="false" customHeight="false" outlineLevel="0" collapsed="false">
      <c r="A537" s="27"/>
      <c r="B537" s="24"/>
      <c r="C537" s="24"/>
      <c r="D537" s="24"/>
      <c r="E537" s="24"/>
      <c r="F537" s="28"/>
      <c r="G537" s="24"/>
    </row>
    <row r="538" customFormat="false" ht="15" hidden="false" customHeight="false" outlineLevel="0" collapsed="false">
      <c r="A538" s="27"/>
      <c r="B538" s="24"/>
      <c r="C538" s="24"/>
      <c r="D538" s="24"/>
      <c r="E538" s="24"/>
      <c r="F538" s="28"/>
      <c r="G538" s="24"/>
    </row>
    <row r="539" customFormat="false" ht="15" hidden="false" customHeight="false" outlineLevel="0" collapsed="false">
      <c r="A539" s="27"/>
      <c r="B539" s="24"/>
      <c r="C539" s="24"/>
      <c r="D539" s="24"/>
      <c r="E539" s="24"/>
      <c r="F539" s="28"/>
      <c r="G539" s="24"/>
    </row>
    <row r="540" customFormat="false" ht="15" hidden="false" customHeight="false" outlineLevel="0" collapsed="false">
      <c r="A540" s="27"/>
      <c r="B540" s="24"/>
      <c r="C540" s="24"/>
      <c r="D540" s="24"/>
      <c r="E540" s="24"/>
      <c r="F540" s="28"/>
      <c r="G540" s="24"/>
    </row>
    <row r="541" customFormat="false" ht="15" hidden="false" customHeight="false" outlineLevel="0" collapsed="false">
      <c r="A541" s="27"/>
      <c r="B541" s="24"/>
      <c r="C541" s="24"/>
      <c r="D541" s="24"/>
      <c r="E541" s="24"/>
      <c r="F541" s="28"/>
      <c r="G541" s="24"/>
    </row>
    <row r="542" customFormat="false" ht="15" hidden="false" customHeight="false" outlineLevel="0" collapsed="false">
      <c r="A542" s="27"/>
      <c r="B542" s="24"/>
      <c r="C542" s="24"/>
      <c r="D542" s="24"/>
      <c r="E542" s="24"/>
      <c r="F542" s="28"/>
      <c r="G542" s="24"/>
    </row>
    <row r="543" customFormat="false" ht="15" hidden="false" customHeight="false" outlineLevel="0" collapsed="false">
      <c r="A543" s="27"/>
      <c r="B543" s="24"/>
      <c r="C543" s="24"/>
      <c r="D543" s="24"/>
      <c r="E543" s="24"/>
      <c r="F543" s="28"/>
      <c r="G543" s="24"/>
    </row>
    <row r="544" customFormat="false" ht="15" hidden="false" customHeight="false" outlineLevel="0" collapsed="false">
      <c r="A544" s="27"/>
      <c r="B544" s="24"/>
      <c r="C544" s="24"/>
      <c r="D544" s="24"/>
      <c r="E544" s="24"/>
      <c r="F544" s="28"/>
      <c r="G544" s="24"/>
    </row>
    <row r="545" customFormat="false" ht="15" hidden="false" customHeight="false" outlineLevel="0" collapsed="false">
      <c r="A545" s="27"/>
      <c r="B545" s="24"/>
      <c r="C545" s="24"/>
      <c r="D545" s="24"/>
      <c r="E545" s="24"/>
      <c r="F545" s="28"/>
      <c r="G545" s="24"/>
    </row>
    <row r="546" customFormat="false" ht="15" hidden="false" customHeight="false" outlineLevel="0" collapsed="false">
      <c r="A546" s="27"/>
      <c r="B546" s="24"/>
      <c r="C546" s="24"/>
      <c r="D546" s="24"/>
      <c r="E546" s="24"/>
      <c r="F546" s="28"/>
      <c r="G546" s="24"/>
    </row>
    <row r="547" customFormat="false" ht="15" hidden="false" customHeight="false" outlineLevel="0" collapsed="false">
      <c r="A547" s="27"/>
      <c r="B547" s="24"/>
      <c r="C547" s="24"/>
      <c r="D547" s="24"/>
      <c r="E547" s="24"/>
      <c r="F547" s="28"/>
      <c r="G547" s="24"/>
    </row>
    <row r="548" customFormat="false" ht="15" hidden="false" customHeight="false" outlineLevel="0" collapsed="false">
      <c r="A548" s="27"/>
      <c r="B548" s="24"/>
      <c r="C548" s="24"/>
      <c r="D548" s="24"/>
      <c r="E548" s="24"/>
      <c r="F548" s="28"/>
      <c r="G548" s="24"/>
    </row>
    <row r="549" customFormat="false" ht="15" hidden="false" customHeight="false" outlineLevel="0" collapsed="false">
      <c r="A549" s="27"/>
      <c r="B549" s="24"/>
      <c r="C549" s="24"/>
      <c r="D549" s="24"/>
      <c r="E549" s="24"/>
      <c r="F549" s="28"/>
      <c r="G549" s="24"/>
    </row>
    <row r="550" customFormat="false" ht="15" hidden="false" customHeight="false" outlineLevel="0" collapsed="false">
      <c r="A550" s="27"/>
      <c r="B550" s="24"/>
      <c r="C550" s="24"/>
      <c r="D550" s="24"/>
      <c r="E550" s="24"/>
      <c r="F550" s="28"/>
      <c r="G550" s="24"/>
    </row>
    <row r="551" customFormat="false" ht="15" hidden="false" customHeight="false" outlineLevel="0" collapsed="false">
      <c r="A551" s="27"/>
      <c r="B551" s="24"/>
      <c r="C551" s="24"/>
      <c r="D551" s="24"/>
      <c r="E551" s="24"/>
      <c r="F551" s="28"/>
      <c r="G551" s="24"/>
    </row>
    <row r="552" customFormat="false" ht="15" hidden="false" customHeight="false" outlineLevel="0" collapsed="false">
      <c r="A552" s="27"/>
      <c r="B552" s="24"/>
      <c r="C552" s="24"/>
      <c r="D552" s="24"/>
      <c r="E552" s="24"/>
      <c r="F552" s="28"/>
      <c r="G552" s="24"/>
    </row>
    <row r="553" customFormat="false" ht="15" hidden="false" customHeight="false" outlineLevel="0" collapsed="false">
      <c r="A553" s="27"/>
      <c r="B553" s="24"/>
      <c r="C553" s="24"/>
      <c r="D553" s="24"/>
      <c r="E553" s="24"/>
      <c r="F553" s="28"/>
      <c r="G553" s="24"/>
    </row>
    <row r="554" customFormat="false" ht="15" hidden="false" customHeight="false" outlineLevel="0" collapsed="false">
      <c r="A554" s="27"/>
      <c r="B554" s="24"/>
      <c r="C554" s="24"/>
      <c r="D554" s="24"/>
      <c r="E554" s="24"/>
      <c r="F554" s="28"/>
      <c r="G554" s="24"/>
    </row>
    <row r="555" customFormat="false" ht="15" hidden="false" customHeight="false" outlineLevel="0" collapsed="false">
      <c r="A555" s="27"/>
      <c r="B555" s="24"/>
      <c r="C555" s="24"/>
      <c r="D555" s="24"/>
      <c r="E555" s="24"/>
      <c r="F555" s="28"/>
      <c r="G555" s="24"/>
    </row>
    <row r="556" customFormat="false" ht="15" hidden="false" customHeight="false" outlineLevel="0" collapsed="false">
      <c r="A556" s="27"/>
      <c r="B556" s="24"/>
      <c r="C556" s="24"/>
      <c r="D556" s="24"/>
      <c r="E556" s="24"/>
      <c r="F556" s="28"/>
      <c r="G556" s="24"/>
    </row>
    <row r="557" customFormat="false" ht="15" hidden="false" customHeight="false" outlineLevel="0" collapsed="false">
      <c r="A557" s="27"/>
      <c r="B557" s="24"/>
      <c r="C557" s="24"/>
      <c r="D557" s="24"/>
      <c r="E557" s="24"/>
      <c r="F557" s="28"/>
      <c r="G557" s="24"/>
    </row>
    <row r="558" customFormat="false" ht="15" hidden="false" customHeight="false" outlineLevel="0" collapsed="false">
      <c r="A558" s="27"/>
      <c r="B558" s="24"/>
      <c r="C558" s="24"/>
      <c r="D558" s="24"/>
      <c r="E558" s="24"/>
      <c r="F558" s="28"/>
      <c r="G558" s="24"/>
    </row>
    <row r="559" customFormat="false" ht="15" hidden="false" customHeight="false" outlineLevel="0" collapsed="false">
      <c r="A559" s="27"/>
      <c r="B559" s="24"/>
      <c r="C559" s="24"/>
      <c r="D559" s="24"/>
      <c r="E559" s="24"/>
      <c r="F559" s="28"/>
      <c r="G559" s="24"/>
    </row>
    <row r="560" customFormat="false" ht="15" hidden="false" customHeight="false" outlineLevel="0" collapsed="false">
      <c r="A560" s="27"/>
      <c r="B560" s="24"/>
      <c r="C560" s="24"/>
      <c r="D560" s="24"/>
      <c r="E560" s="24"/>
      <c r="F560" s="28"/>
      <c r="G560" s="24"/>
    </row>
    <row r="561" customFormat="false" ht="15" hidden="false" customHeight="false" outlineLevel="0" collapsed="false">
      <c r="A561" s="27"/>
      <c r="B561" s="24"/>
      <c r="C561" s="24"/>
      <c r="D561" s="24"/>
      <c r="E561" s="24"/>
      <c r="F561" s="28"/>
      <c r="G561" s="24"/>
    </row>
    <row r="562" customFormat="false" ht="15" hidden="false" customHeight="false" outlineLevel="0" collapsed="false">
      <c r="A562" s="27"/>
      <c r="B562" s="24"/>
      <c r="C562" s="24"/>
      <c r="D562" s="24"/>
      <c r="E562" s="24"/>
      <c r="F562" s="28"/>
      <c r="G562" s="24"/>
    </row>
    <row r="563" customFormat="false" ht="15" hidden="false" customHeight="false" outlineLevel="0" collapsed="false">
      <c r="A563" s="27"/>
      <c r="B563" s="24"/>
      <c r="C563" s="24"/>
      <c r="D563" s="24"/>
      <c r="E563" s="24"/>
      <c r="F563" s="28"/>
      <c r="G563" s="24"/>
    </row>
    <row r="564" customFormat="false" ht="15" hidden="false" customHeight="false" outlineLevel="0" collapsed="false">
      <c r="A564" s="27"/>
      <c r="B564" s="24"/>
      <c r="C564" s="24"/>
      <c r="D564" s="24"/>
      <c r="E564" s="24"/>
      <c r="F564" s="28"/>
      <c r="G564" s="24"/>
    </row>
    <row r="565" customFormat="false" ht="15" hidden="false" customHeight="false" outlineLevel="0" collapsed="false">
      <c r="A565" s="27"/>
      <c r="B565" s="24"/>
      <c r="C565" s="24"/>
      <c r="D565" s="24"/>
      <c r="E565" s="24"/>
      <c r="F565" s="28"/>
      <c r="G565" s="24"/>
    </row>
    <row r="566" customFormat="false" ht="15" hidden="false" customHeight="false" outlineLevel="0" collapsed="false">
      <c r="A566" s="27"/>
      <c r="B566" s="24"/>
      <c r="C566" s="24"/>
      <c r="D566" s="24"/>
      <c r="E566" s="24"/>
      <c r="F566" s="28"/>
      <c r="G566" s="24"/>
    </row>
    <row r="567" customFormat="false" ht="15" hidden="false" customHeight="false" outlineLevel="0" collapsed="false">
      <c r="A567" s="27"/>
      <c r="B567" s="24"/>
      <c r="C567" s="24"/>
      <c r="D567" s="24"/>
      <c r="E567" s="24"/>
      <c r="F567" s="28"/>
      <c r="G567" s="24"/>
    </row>
    <row r="568" customFormat="false" ht="15" hidden="false" customHeight="false" outlineLevel="0" collapsed="false">
      <c r="A568" s="27"/>
      <c r="B568" s="24"/>
      <c r="C568" s="24"/>
      <c r="D568" s="24"/>
      <c r="E568" s="24"/>
      <c r="F568" s="28"/>
      <c r="G568" s="24"/>
    </row>
    <row r="569" customFormat="false" ht="15" hidden="false" customHeight="false" outlineLevel="0" collapsed="false">
      <c r="A569" s="27"/>
      <c r="B569" s="24"/>
      <c r="C569" s="24"/>
      <c r="D569" s="24"/>
      <c r="E569" s="24"/>
      <c r="F569" s="28"/>
      <c r="G569" s="24"/>
    </row>
    <row r="570" customFormat="false" ht="15" hidden="false" customHeight="false" outlineLevel="0" collapsed="false">
      <c r="A570" s="27"/>
      <c r="B570" s="24"/>
      <c r="C570" s="24"/>
      <c r="D570" s="24"/>
      <c r="E570" s="24"/>
      <c r="F570" s="28"/>
      <c r="G570" s="24"/>
    </row>
    <row r="571" customFormat="false" ht="15" hidden="false" customHeight="false" outlineLevel="0" collapsed="false">
      <c r="A571" s="27"/>
      <c r="B571" s="24"/>
      <c r="C571" s="24"/>
      <c r="D571" s="24"/>
      <c r="E571" s="24"/>
      <c r="F571" s="28"/>
      <c r="G571" s="24"/>
    </row>
    <row r="572" customFormat="false" ht="15" hidden="false" customHeight="false" outlineLevel="0" collapsed="false">
      <c r="A572" s="27"/>
      <c r="B572" s="24"/>
      <c r="C572" s="24"/>
      <c r="D572" s="24"/>
      <c r="E572" s="24"/>
      <c r="F572" s="28"/>
      <c r="G572" s="24"/>
    </row>
    <row r="573" customFormat="false" ht="15" hidden="false" customHeight="false" outlineLevel="0" collapsed="false">
      <c r="A573" s="27"/>
      <c r="B573" s="24"/>
      <c r="C573" s="24"/>
      <c r="D573" s="24"/>
      <c r="E573" s="24"/>
      <c r="F573" s="28"/>
      <c r="G573" s="24"/>
    </row>
    <row r="574" customFormat="false" ht="15" hidden="false" customHeight="false" outlineLevel="0" collapsed="false">
      <c r="A574" s="27"/>
      <c r="B574" s="24"/>
      <c r="C574" s="24"/>
      <c r="D574" s="24"/>
      <c r="E574" s="24"/>
      <c r="F574" s="28"/>
      <c r="G574" s="24"/>
    </row>
    <row r="575" customFormat="false" ht="15" hidden="false" customHeight="false" outlineLevel="0" collapsed="false">
      <c r="A575" s="27"/>
      <c r="B575" s="24"/>
      <c r="C575" s="24"/>
      <c r="D575" s="24"/>
      <c r="E575" s="24"/>
      <c r="F575" s="28"/>
      <c r="G575" s="24"/>
    </row>
    <row r="576" customFormat="false" ht="15" hidden="false" customHeight="false" outlineLevel="0" collapsed="false">
      <c r="A576" s="27"/>
      <c r="B576" s="24"/>
      <c r="C576" s="24"/>
      <c r="D576" s="24"/>
      <c r="E576" s="24"/>
      <c r="F576" s="28"/>
      <c r="G576" s="24"/>
    </row>
    <row r="577" customFormat="false" ht="15" hidden="false" customHeight="false" outlineLevel="0" collapsed="false">
      <c r="A577" s="27"/>
      <c r="B577" s="24"/>
      <c r="C577" s="24"/>
      <c r="D577" s="24"/>
      <c r="E577" s="24"/>
      <c r="F577" s="28"/>
      <c r="G577" s="24"/>
    </row>
    <row r="578" customFormat="false" ht="15" hidden="false" customHeight="false" outlineLevel="0" collapsed="false">
      <c r="A578" s="27"/>
      <c r="B578" s="24"/>
      <c r="C578" s="24"/>
      <c r="D578" s="24"/>
      <c r="E578" s="24"/>
      <c r="F578" s="28"/>
      <c r="G578" s="24"/>
    </row>
    <row r="579" customFormat="false" ht="15" hidden="false" customHeight="false" outlineLevel="0" collapsed="false">
      <c r="A579" s="27"/>
      <c r="B579" s="24"/>
      <c r="C579" s="24"/>
      <c r="D579" s="24"/>
      <c r="E579" s="24"/>
      <c r="F579" s="28"/>
      <c r="G579" s="24"/>
    </row>
    <row r="580" customFormat="false" ht="15" hidden="false" customHeight="false" outlineLevel="0" collapsed="false">
      <c r="A580" s="27"/>
      <c r="B580" s="24"/>
      <c r="C580" s="24"/>
      <c r="D580" s="24"/>
      <c r="E580" s="24"/>
      <c r="F580" s="28"/>
      <c r="G580" s="24"/>
    </row>
    <row r="581" customFormat="false" ht="15" hidden="false" customHeight="false" outlineLevel="0" collapsed="false">
      <c r="A581" s="27"/>
      <c r="B581" s="24"/>
      <c r="C581" s="24"/>
      <c r="D581" s="24"/>
      <c r="E581" s="24"/>
      <c r="F581" s="28"/>
      <c r="G581" s="24"/>
    </row>
    <row r="582" customFormat="false" ht="15" hidden="false" customHeight="false" outlineLevel="0" collapsed="false">
      <c r="A582" s="27"/>
      <c r="B582" s="24"/>
      <c r="C582" s="24"/>
      <c r="D582" s="24"/>
      <c r="E582" s="24"/>
      <c r="F582" s="28"/>
      <c r="G582" s="24"/>
    </row>
    <row r="583" customFormat="false" ht="15" hidden="false" customHeight="false" outlineLevel="0" collapsed="false">
      <c r="A583" s="27"/>
      <c r="B583" s="24"/>
      <c r="C583" s="24"/>
      <c r="D583" s="24"/>
      <c r="E583" s="24"/>
      <c r="F583" s="28"/>
      <c r="G583" s="24"/>
    </row>
    <row r="584" customFormat="false" ht="15" hidden="false" customHeight="false" outlineLevel="0" collapsed="false">
      <c r="A584" s="27"/>
      <c r="B584" s="24"/>
      <c r="C584" s="24"/>
      <c r="D584" s="24"/>
      <c r="E584" s="24"/>
      <c r="F584" s="28"/>
      <c r="G584" s="24"/>
    </row>
    <row r="585" customFormat="false" ht="15" hidden="false" customHeight="false" outlineLevel="0" collapsed="false">
      <c r="A585" s="27"/>
      <c r="B585" s="24"/>
      <c r="C585" s="24"/>
      <c r="D585" s="24"/>
      <c r="E585" s="24"/>
      <c r="F585" s="28"/>
      <c r="G585" s="24"/>
    </row>
    <row r="586" customFormat="false" ht="15" hidden="false" customHeight="false" outlineLevel="0" collapsed="false">
      <c r="A586" s="27"/>
      <c r="B586" s="24"/>
      <c r="C586" s="24"/>
      <c r="D586" s="24"/>
      <c r="E586" s="24"/>
      <c r="F586" s="28"/>
      <c r="G586" s="24"/>
    </row>
    <row r="587" customFormat="false" ht="15" hidden="false" customHeight="false" outlineLevel="0" collapsed="false">
      <c r="A587" s="27"/>
      <c r="B587" s="24"/>
      <c r="C587" s="24"/>
      <c r="D587" s="24"/>
      <c r="E587" s="24"/>
      <c r="F587" s="28"/>
      <c r="G587" s="24"/>
    </row>
    <row r="588" customFormat="false" ht="15" hidden="false" customHeight="false" outlineLevel="0" collapsed="false">
      <c r="A588" s="27"/>
      <c r="B588" s="24"/>
      <c r="C588" s="24"/>
      <c r="D588" s="24"/>
      <c r="E588" s="24"/>
      <c r="F588" s="28"/>
      <c r="G588" s="24"/>
    </row>
    <row r="589" customFormat="false" ht="15" hidden="false" customHeight="false" outlineLevel="0" collapsed="false">
      <c r="A589" s="27"/>
      <c r="B589" s="24"/>
      <c r="C589" s="24"/>
      <c r="D589" s="24"/>
      <c r="E589" s="24"/>
      <c r="F589" s="28"/>
      <c r="G589" s="24"/>
    </row>
    <row r="590" customFormat="false" ht="15" hidden="false" customHeight="false" outlineLevel="0" collapsed="false">
      <c r="A590" s="27"/>
      <c r="B590" s="24"/>
      <c r="C590" s="24"/>
      <c r="D590" s="24"/>
      <c r="E590" s="24"/>
      <c r="F590" s="28"/>
      <c r="G590" s="24"/>
    </row>
    <row r="591" customFormat="false" ht="15" hidden="false" customHeight="false" outlineLevel="0" collapsed="false">
      <c r="A591" s="27"/>
      <c r="B591" s="24"/>
      <c r="C591" s="24"/>
      <c r="D591" s="24"/>
      <c r="E591" s="24"/>
      <c r="F591" s="28"/>
      <c r="G591" s="24"/>
    </row>
    <row r="592" customFormat="false" ht="15" hidden="false" customHeight="false" outlineLevel="0" collapsed="false">
      <c r="A592" s="27"/>
      <c r="B592" s="24"/>
      <c r="C592" s="24"/>
      <c r="D592" s="24"/>
      <c r="E592" s="24"/>
      <c r="F592" s="28"/>
      <c r="G592" s="24"/>
    </row>
    <row r="593" customFormat="false" ht="15" hidden="false" customHeight="false" outlineLevel="0" collapsed="false">
      <c r="A593" s="27"/>
      <c r="B593" s="24"/>
      <c r="C593" s="24"/>
      <c r="D593" s="24"/>
      <c r="E593" s="24"/>
      <c r="F593" s="28"/>
      <c r="G593" s="24"/>
    </row>
    <row r="594" customFormat="false" ht="15" hidden="false" customHeight="false" outlineLevel="0" collapsed="false">
      <c r="A594" s="27"/>
      <c r="B594" s="24"/>
      <c r="C594" s="24"/>
      <c r="D594" s="24"/>
      <c r="E594" s="24"/>
      <c r="F594" s="28"/>
      <c r="G594" s="24"/>
    </row>
    <row r="595" customFormat="false" ht="15" hidden="false" customHeight="false" outlineLevel="0" collapsed="false">
      <c r="A595" s="27"/>
      <c r="B595" s="24"/>
      <c r="C595" s="24"/>
      <c r="D595" s="24"/>
      <c r="E595" s="24"/>
      <c r="F595" s="28"/>
      <c r="G595" s="24"/>
    </row>
    <row r="596" customFormat="false" ht="15" hidden="false" customHeight="false" outlineLevel="0" collapsed="false">
      <c r="A596" s="27"/>
      <c r="B596" s="24"/>
      <c r="C596" s="24"/>
      <c r="D596" s="24"/>
      <c r="E596" s="24"/>
      <c r="F596" s="28"/>
      <c r="G596" s="24"/>
    </row>
    <row r="597" customFormat="false" ht="15" hidden="false" customHeight="false" outlineLevel="0" collapsed="false">
      <c r="A597" s="27"/>
      <c r="B597" s="24"/>
      <c r="C597" s="24"/>
      <c r="D597" s="24"/>
      <c r="E597" s="24"/>
      <c r="F597" s="28"/>
      <c r="G597" s="24"/>
    </row>
    <row r="598" customFormat="false" ht="15" hidden="false" customHeight="false" outlineLevel="0" collapsed="false">
      <c r="A598" s="27"/>
      <c r="B598" s="24"/>
      <c r="C598" s="24"/>
      <c r="D598" s="24"/>
      <c r="E598" s="24"/>
      <c r="F598" s="28"/>
      <c r="G598" s="24"/>
    </row>
    <row r="599" customFormat="false" ht="15" hidden="false" customHeight="false" outlineLevel="0" collapsed="false">
      <c r="A599" s="27"/>
      <c r="B599" s="24"/>
      <c r="C599" s="24"/>
      <c r="D599" s="24"/>
      <c r="E599" s="24"/>
      <c r="F599" s="28"/>
      <c r="G599" s="24"/>
    </row>
    <row r="600" customFormat="false" ht="15" hidden="false" customHeight="false" outlineLevel="0" collapsed="false">
      <c r="A600" s="27"/>
      <c r="B600" s="24"/>
      <c r="C600" s="24"/>
      <c r="D600" s="24"/>
      <c r="E600" s="24"/>
      <c r="F600" s="28"/>
      <c r="G600" s="24"/>
    </row>
    <row r="601" customFormat="false" ht="15" hidden="false" customHeight="false" outlineLevel="0" collapsed="false">
      <c r="A601" s="27"/>
      <c r="B601" s="24"/>
      <c r="C601" s="24"/>
      <c r="D601" s="24"/>
      <c r="E601" s="24"/>
      <c r="F601" s="28"/>
      <c r="G601" s="24"/>
    </row>
    <row r="602" customFormat="false" ht="15" hidden="false" customHeight="false" outlineLevel="0" collapsed="false">
      <c r="A602" s="27"/>
      <c r="B602" s="24"/>
      <c r="C602" s="24"/>
      <c r="D602" s="24"/>
      <c r="E602" s="24"/>
      <c r="F602" s="28"/>
      <c r="G602" s="24"/>
    </row>
    <row r="603" customFormat="false" ht="15" hidden="false" customHeight="false" outlineLevel="0" collapsed="false">
      <c r="A603" s="27"/>
      <c r="B603" s="24"/>
      <c r="C603" s="24"/>
      <c r="D603" s="24"/>
      <c r="E603" s="24"/>
      <c r="F603" s="28"/>
      <c r="G603" s="24"/>
    </row>
    <row r="604" customFormat="false" ht="15" hidden="false" customHeight="false" outlineLevel="0" collapsed="false">
      <c r="A604" s="27"/>
      <c r="B604" s="24"/>
      <c r="C604" s="24"/>
      <c r="D604" s="24"/>
      <c r="E604" s="24"/>
      <c r="F604" s="28"/>
      <c r="G604" s="24"/>
    </row>
    <row r="605" customFormat="false" ht="15" hidden="false" customHeight="false" outlineLevel="0" collapsed="false">
      <c r="A605" s="27"/>
      <c r="B605" s="24"/>
      <c r="C605" s="24"/>
      <c r="D605" s="24"/>
      <c r="E605" s="24"/>
      <c r="F605" s="28"/>
      <c r="G605" s="24"/>
    </row>
    <row r="606" customFormat="false" ht="15" hidden="false" customHeight="false" outlineLevel="0" collapsed="false">
      <c r="A606" s="27"/>
      <c r="B606" s="24"/>
      <c r="C606" s="24"/>
      <c r="D606" s="24"/>
      <c r="E606" s="24"/>
      <c r="F606" s="28"/>
      <c r="G606" s="24"/>
    </row>
    <row r="607" customFormat="false" ht="15" hidden="false" customHeight="false" outlineLevel="0" collapsed="false">
      <c r="A607" s="27"/>
      <c r="B607" s="24"/>
      <c r="C607" s="24"/>
      <c r="D607" s="24"/>
      <c r="E607" s="24"/>
      <c r="F607" s="28"/>
      <c r="G607" s="24"/>
    </row>
    <row r="608" customFormat="false" ht="15" hidden="false" customHeight="false" outlineLevel="0" collapsed="false">
      <c r="A608" s="27"/>
      <c r="B608" s="24"/>
      <c r="C608" s="24"/>
      <c r="D608" s="24"/>
      <c r="E608" s="24"/>
      <c r="F608" s="28"/>
      <c r="G608" s="24"/>
    </row>
    <row r="609" customFormat="false" ht="15" hidden="false" customHeight="false" outlineLevel="0" collapsed="false">
      <c r="A609" s="27"/>
      <c r="B609" s="24"/>
      <c r="C609" s="24"/>
      <c r="D609" s="24"/>
      <c r="E609" s="24"/>
      <c r="F609" s="28"/>
      <c r="G609" s="24"/>
    </row>
    <row r="610" customFormat="false" ht="15" hidden="false" customHeight="false" outlineLevel="0" collapsed="false">
      <c r="A610" s="27"/>
      <c r="B610" s="24"/>
      <c r="C610" s="24"/>
      <c r="D610" s="24"/>
      <c r="E610" s="24"/>
      <c r="F610" s="28"/>
      <c r="G610" s="24"/>
    </row>
    <row r="611" customFormat="false" ht="15" hidden="false" customHeight="false" outlineLevel="0" collapsed="false">
      <c r="A611" s="27"/>
      <c r="B611" s="24"/>
      <c r="C611" s="24"/>
      <c r="D611" s="24"/>
      <c r="E611" s="24"/>
      <c r="F611" s="28"/>
      <c r="G611" s="24"/>
    </row>
    <row r="612" customFormat="false" ht="15" hidden="false" customHeight="false" outlineLevel="0" collapsed="false">
      <c r="A612" s="27"/>
      <c r="B612" s="24"/>
      <c r="C612" s="24"/>
      <c r="D612" s="24"/>
      <c r="E612" s="24"/>
      <c r="F612" s="28"/>
      <c r="G612" s="24"/>
    </row>
    <row r="613" customFormat="false" ht="15" hidden="false" customHeight="false" outlineLevel="0" collapsed="false">
      <c r="A613" s="27"/>
      <c r="B613" s="24"/>
      <c r="C613" s="24"/>
      <c r="D613" s="24"/>
      <c r="E613" s="24"/>
      <c r="F613" s="28"/>
      <c r="G613" s="24"/>
    </row>
    <row r="614" customFormat="false" ht="15" hidden="false" customHeight="false" outlineLevel="0" collapsed="false">
      <c r="A614" s="27"/>
      <c r="B614" s="24"/>
      <c r="C614" s="24"/>
      <c r="D614" s="24"/>
      <c r="E614" s="24"/>
      <c r="F614" s="28"/>
      <c r="G614" s="24"/>
    </row>
    <row r="615" customFormat="false" ht="15" hidden="false" customHeight="false" outlineLevel="0" collapsed="false">
      <c r="A615" s="27"/>
      <c r="B615" s="24"/>
      <c r="C615" s="24"/>
      <c r="D615" s="24"/>
      <c r="E615" s="24"/>
      <c r="F615" s="28"/>
      <c r="G615" s="24"/>
    </row>
    <row r="616" customFormat="false" ht="15" hidden="false" customHeight="false" outlineLevel="0" collapsed="false">
      <c r="A616" s="27"/>
      <c r="B616" s="24"/>
      <c r="C616" s="24"/>
      <c r="D616" s="24"/>
      <c r="E616" s="24"/>
      <c r="F616" s="28"/>
      <c r="G616" s="24"/>
    </row>
    <row r="617" customFormat="false" ht="15" hidden="false" customHeight="false" outlineLevel="0" collapsed="false">
      <c r="A617" s="27"/>
      <c r="B617" s="24"/>
      <c r="C617" s="24"/>
      <c r="D617" s="24"/>
      <c r="E617" s="24"/>
      <c r="F617" s="28"/>
      <c r="G617" s="24"/>
    </row>
    <row r="618" customFormat="false" ht="15" hidden="false" customHeight="false" outlineLevel="0" collapsed="false">
      <c r="A618" s="27"/>
      <c r="B618" s="24"/>
      <c r="C618" s="24"/>
      <c r="D618" s="24"/>
      <c r="E618" s="24"/>
      <c r="F618" s="28"/>
      <c r="G618" s="24"/>
    </row>
    <row r="619" customFormat="false" ht="15" hidden="false" customHeight="false" outlineLevel="0" collapsed="false">
      <c r="A619" s="27"/>
      <c r="B619" s="24"/>
      <c r="C619" s="24"/>
      <c r="D619" s="24"/>
      <c r="E619" s="24"/>
      <c r="F619" s="28"/>
      <c r="G619" s="24"/>
    </row>
    <row r="620" customFormat="false" ht="15" hidden="false" customHeight="false" outlineLevel="0" collapsed="false">
      <c r="A620" s="27"/>
      <c r="B620" s="24"/>
      <c r="C620" s="24"/>
      <c r="D620" s="24"/>
      <c r="E620" s="24"/>
      <c r="F620" s="28"/>
      <c r="G620" s="24"/>
    </row>
    <row r="621" customFormat="false" ht="15" hidden="false" customHeight="false" outlineLevel="0" collapsed="false">
      <c r="A621" s="27"/>
      <c r="B621" s="24"/>
      <c r="C621" s="24"/>
      <c r="D621" s="24"/>
      <c r="E621" s="24"/>
      <c r="F621" s="28"/>
      <c r="G621" s="24"/>
    </row>
    <row r="622" customFormat="false" ht="15" hidden="false" customHeight="false" outlineLevel="0" collapsed="false">
      <c r="A622" s="27"/>
      <c r="B622" s="24"/>
      <c r="C622" s="24"/>
      <c r="D622" s="24"/>
      <c r="E622" s="24"/>
      <c r="F622" s="28"/>
      <c r="G622" s="24"/>
    </row>
    <row r="623" customFormat="false" ht="15" hidden="false" customHeight="false" outlineLevel="0" collapsed="false">
      <c r="A623" s="27"/>
      <c r="B623" s="24"/>
      <c r="C623" s="24"/>
      <c r="D623" s="24"/>
      <c r="E623" s="24"/>
      <c r="F623" s="28"/>
      <c r="G623" s="24"/>
    </row>
    <row r="624" customFormat="false" ht="15" hidden="false" customHeight="false" outlineLevel="0" collapsed="false">
      <c r="A624" s="27"/>
      <c r="B624" s="24"/>
      <c r="C624" s="24"/>
      <c r="D624" s="24"/>
      <c r="E624" s="24"/>
      <c r="F624" s="28"/>
      <c r="G624" s="24"/>
    </row>
    <row r="625" customFormat="false" ht="15" hidden="false" customHeight="false" outlineLevel="0" collapsed="false">
      <c r="A625" s="27"/>
      <c r="B625" s="24"/>
      <c r="C625" s="24"/>
      <c r="D625" s="24"/>
      <c r="E625" s="24"/>
      <c r="F625" s="28"/>
      <c r="G625" s="24"/>
    </row>
    <row r="626" customFormat="false" ht="15" hidden="false" customHeight="false" outlineLevel="0" collapsed="false">
      <c r="A626" s="27"/>
      <c r="B626" s="24"/>
      <c r="C626" s="24"/>
      <c r="D626" s="24"/>
      <c r="E626" s="24"/>
      <c r="F626" s="28"/>
      <c r="G626" s="24"/>
    </row>
    <row r="627" customFormat="false" ht="15" hidden="false" customHeight="false" outlineLevel="0" collapsed="false">
      <c r="A627" s="27"/>
      <c r="B627" s="24"/>
      <c r="C627" s="24"/>
      <c r="D627" s="24"/>
      <c r="E627" s="24"/>
      <c r="F627" s="28"/>
      <c r="G627" s="24"/>
    </row>
    <row r="628" customFormat="false" ht="15" hidden="false" customHeight="false" outlineLevel="0" collapsed="false">
      <c r="A628" s="27"/>
      <c r="B628" s="24"/>
      <c r="C628" s="24"/>
      <c r="D628" s="24"/>
      <c r="E628" s="24"/>
      <c r="F628" s="28"/>
      <c r="G628" s="24"/>
    </row>
    <row r="629" customFormat="false" ht="15" hidden="false" customHeight="false" outlineLevel="0" collapsed="false">
      <c r="A629" s="27"/>
      <c r="B629" s="24"/>
      <c r="C629" s="24"/>
      <c r="D629" s="24"/>
      <c r="E629" s="24"/>
      <c r="F629" s="28"/>
      <c r="G629" s="24"/>
    </row>
    <row r="630" customFormat="false" ht="15" hidden="false" customHeight="false" outlineLevel="0" collapsed="false">
      <c r="A630" s="27"/>
      <c r="B630" s="24"/>
      <c r="C630" s="24"/>
      <c r="D630" s="24"/>
      <c r="E630" s="24"/>
      <c r="F630" s="28"/>
      <c r="G630" s="24"/>
    </row>
    <row r="631" customFormat="false" ht="15" hidden="false" customHeight="false" outlineLevel="0" collapsed="false">
      <c r="A631" s="27"/>
      <c r="B631" s="24"/>
      <c r="C631" s="24"/>
      <c r="D631" s="24"/>
      <c r="E631" s="24"/>
      <c r="F631" s="28"/>
      <c r="G631" s="24"/>
    </row>
    <row r="632" customFormat="false" ht="15" hidden="false" customHeight="false" outlineLevel="0" collapsed="false">
      <c r="A632" s="27"/>
      <c r="B632" s="24"/>
      <c r="C632" s="24"/>
      <c r="D632" s="24"/>
      <c r="E632" s="24"/>
      <c r="F632" s="28"/>
      <c r="G632" s="24"/>
    </row>
    <row r="633" customFormat="false" ht="15" hidden="false" customHeight="false" outlineLevel="0" collapsed="false">
      <c r="A633" s="27"/>
      <c r="B633" s="24"/>
      <c r="C633" s="24"/>
      <c r="D633" s="24"/>
      <c r="E633" s="24"/>
      <c r="F633" s="28"/>
      <c r="G633" s="24"/>
    </row>
    <row r="634" customFormat="false" ht="15" hidden="false" customHeight="false" outlineLevel="0" collapsed="false">
      <c r="A634" s="27"/>
      <c r="B634" s="24"/>
      <c r="C634" s="24"/>
      <c r="D634" s="24"/>
      <c r="E634" s="24"/>
      <c r="F634" s="28"/>
      <c r="G634" s="24"/>
    </row>
    <row r="635" customFormat="false" ht="15" hidden="false" customHeight="false" outlineLevel="0" collapsed="false">
      <c r="A635" s="27"/>
      <c r="B635" s="24"/>
      <c r="C635" s="24"/>
      <c r="D635" s="24"/>
      <c r="E635" s="24"/>
      <c r="F635" s="28"/>
      <c r="G635" s="24"/>
    </row>
    <row r="636" customFormat="false" ht="15" hidden="false" customHeight="false" outlineLevel="0" collapsed="false">
      <c r="A636" s="27"/>
      <c r="B636" s="24"/>
      <c r="C636" s="24"/>
      <c r="D636" s="24"/>
      <c r="E636" s="24"/>
      <c r="F636" s="28"/>
      <c r="G636" s="24"/>
    </row>
    <row r="637" customFormat="false" ht="15" hidden="false" customHeight="false" outlineLevel="0" collapsed="false">
      <c r="A637" s="27"/>
      <c r="B637" s="24"/>
      <c r="C637" s="24"/>
      <c r="D637" s="24"/>
      <c r="E637" s="24"/>
      <c r="F637" s="28"/>
      <c r="G637" s="24"/>
    </row>
    <row r="638" customFormat="false" ht="15" hidden="false" customHeight="false" outlineLevel="0" collapsed="false">
      <c r="A638" s="27"/>
      <c r="B638" s="24"/>
      <c r="C638" s="24"/>
      <c r="D638" s="24"/>
      <c r="E638" s="24"/>
      <c r="F638" s="28"/>
      <c r="G638" s="24"/>
    </row>
    <row r="639" customFormat="false" ht="15" hidden="false" customHeight="false" outlineLevel="0" collapsed="false">
      <c r="A639" s="27"/>
      <c r="B639" s="24"/>
      <c r="C639" s="24"/>
      <c r="D639" s="24"/>
      <c r="E639" s="24"/>
      <c r="F639" s="28"/>
      <c r="G639" s="24"/>
    </row>
    <row r="640" customFormat="false" ht="15" hidden="false" customHeight="false" outlineLevel="0" collapsed="false">
      <c r="A640" s="27"/>
      <c r="B640" s="24"/>
      <c r="C640" s="24"/>
      <c r="D640" s="24"/>
      <c r="E640" s="24"/>
      <c r="F640" s="28"/>
      <c r="G640" s="24"/>
    </row>
    <row r="641" customFormat="false" ht="15" hidden="false" customHeight="false" outlineLevel="0" collapsed="false">
      <c r="A641" s="27"/>
      <c r="B641" s="24"/>
      <c r="C641" s="24"/>
      <c r="D641" s="24"/>
      <c r="E641" s="24"/>
      <c r="F641" s="28"/>
      <c r="G641" s="24"/>
    </row>
    <row r="642" customFormat="false" ht="15" hidden="false" customHeight="false" outlineLevel="0" collapsed="false">
      <c r="A642" s="27"/>
      <c r="B642" s="24"/>
      <c r="C642" s="24"/>
      <c r="D642" s="24"/>
      <c r="E642" s="24"/>
      <c r="F642" s="28"/>
      <c r="G642" s="24"/>
    </row>
    <row r="643" customFormat="false" ht="15" hidden="false" customHeight="false" outlineLevel="0" collapsed="false">
      <c r="A643" s="27"/>
      <c r="B643" s="24"/>
      <c r="C643" s="24"/>
      <c r="D643" s="24"/>
      <c r="E643" s="24"/>
      <c r="F643" s="28"/>
      <c r="G643" s="24"/>
    </row>
    <row r="644" customFormat="false" ht="15" hidden="false" customHeight="false" outlineLevel="0" collapsed="false">
      <c r="A644" s="27"/>
      <c r="B644" s="24"/>
      <c r="C644" s="24"/>
      <c r="D644" s="24"/>
      <c r="E644" s="24"/>
      <c r="F644" s="28"/>
      <c r="G644" s="24"/>
    </row>
    <row r="645" customFormat="false" ht="15" hidden="false" customHeight="false" outlineLevel="0" collapsed="false">
      <c r="A645" s="27"/>
      <c r="B645" s="24"/>
      <c r="C645" s="24"/>
      <c r="D645" s="24"/>
      <c r="E645" s="24"/>
      <c r="F645" s="28"/>
      <c r="G645" s="24"/>
    </row>
    <row r="646" customFormat="false" ht="15" hidden="false" customHeight="false" outlineLevel="0" collapsed="false">
      <c r="A646" s="27"/>
      <c r="B646" s="24"/>
      <c r="C646" s="24"/>
      <c r="D646" s="24"/>
      <c r="E646" s="24"/>
      <c r="F646" s="28"/>
      <c r="G646" s="24"/>
    </row>
    <row r="647" customFormat="false" ht="15" hidden="false" customHeight="false" outlineLevel="0" collapsed="false">
      <c r="A647" s="27"/>
      <c r="B647" s="24"/>
      <c r="C647" s="24"/>
      <c r="D647" s="24"/>
      <c r="E647" s="24"/>
      <c r="F647" s="28"/>
      <c r="G647" s="24"/>
    </row>
    <row r="648" customFormat="false" ht="15" hidden="false" customHeight="false" outlineLevel="0" collapsed="false">
      <c r="A648" s="27"/>
      <c r="B648" s="24"/>
      <c r="C648" s="24"/>
      <c r="D648" s="24"/>
      <c r="E648" s="24"/>
      <c r="F648" s="28"/>
      <c r="G648" s="24"/>
    </row>
    <row r="649" customFormat="false" ht="15" hidden="false" customHeight="false" outlineLevel="0" collapsed="false">
      <c r="A649" s="27"/>
      <c r="B649" s="24"/>
      <c r="C649" s="24"/>
      <c r="D649" s="24"/>
      <c r="E649" s="24"/>
      <c r="F649" s="28"/>
      <c r="G649" s="24"/>
    </row>
    <row r="650" customFormat="false" ht="15" hidden="false" customHeight="false" outlineLevel="0" collapsed="false">
      <c r="A650" s="27"/>
      <c r="B650" s="24"/>
      <c r="C650" s="24"/>
      <c r="D650" s="24"/>
      <c r="E650" s="24"/>
      <c r="F650" s="28"/>
      <c r="G650" s="24"/>
    </row>
    <row r="651" customFormat="false" ht="15" hidden="false" customHeight="false" outlineLevel="0" collapsed="false">
      <c r="A651" s="27"/>
      <c r="B651" s="24"/>
      <c r="C651" s="24"/>
      <c r="D651" s="24"/>
      <c r="E651" s="24"/>
      <c r="F651" s="28"/>
      <c r="G651" s="24"/>
    </row>
    <row r="652" customFormat="false" ht="15" hidden="false" customHeight="false" outlineLevel="0" collapsed="false">
      <c r="A652" s="27"/>
      <c r="B652" s="24"/>
      <c r="C652" s="24"/>
      <c r="D652" s="24"/>
      <c r="E652" s="24"/>
      <c r="F652" s="28"/>
      <c r="G652" s="24"/>
    </row>
    <row r="653" customFormat="false" ht="15" hidden="false" customHeight="false" outlineLevel="0" collapsed="false">
      <c r="A653" s="27"/>
      <c r="B653" s="24"/>
      <c r="C653" s="24"/>
      <c r="D653" s="24"/>
      <c r="E653" s="24"/>
      <c r="F653" s="28"/>
      <c r="G653" s="24"/>
    </row>
    <row r="654" customFormat="false" ht="15" hidden="false" customHeight="false" outlineLevel="0" collapsed="false">
      <c r="A654" s="27"/>
      <c r="B654" s="24"/>
      <c r="C654" s="24"/>
      <c r="D654" s="24"/>
      <c r="E654" s="24"/>
      <c r="F654" s="28"/>
      <c r="G654" s="24"/>
    </row>
    <row r="655" customFormat="false" ht="15" hidden="false" customHeight="false" outlineLevel="0" collapsed="false">
      <c r="A655" s="27"/>
      <c r="B655" s="24"/>
      <c r="C655" s="24"/>
      <c r="D655" s="24"/>
      <c r="E655" s="24"/>
      <c r="F655" s="28"/>
      <c r="G655" s="24"/>
    </row>
    <row r="656" customFormat="false" ht="15" hidden="false" customHeight="false" outlineLevel="0" collapsed="false">
      <c r="A656" s="27"/>
      <c r="B656" s="24"/>
      <c r="C656" s="24"/>
      <c r="D656" s="24"/>
      <c r="E656" s="24"/>
      <c r="F656" s="28"/>
      <c r="G656" s="24"/>
    </row>
    <row r="657" customFormat="false" ht="15" hidden="false" customHeight="false" outlineLevel="0" collapsed="false">
      <c r="A657" s="27"/>
      <c r="B657" s="24"/>
      <c r="C657" s="24"/>
      <c r="D657" s="24"/>
      <c r="E657" s="24"/>
      <c r="F657" s="28"/>
      <c r="G657" s="24"/>
    </row>
    <row r="658" customFormat="false" ht="15" hidden="false" customHeight="false" outlineLevel="0" collapsed="false">
      <c r="A658" s="27"/>
      <c r="B658" s="24"/>
      <c r="C658" s="24"/>
      <c r="D658" s="24"/>
      <c r="E658" s="24"/>
      <c r="F658" s="28"/>
      <c r="G658" s="24"/>
    </row>
    <row r="659" customFormat="false" ht="15" hidden="false" customHeight="false" outlineLevel="0" collapsed="false">
      <c r="A659" s="27"/>
      <c r="B659" s="24"/>
      <c r="C659" s="24"/>
      <c r="D659" s="24"/>
      <c r="E659" s="24"/>
      <c r="F659" s="28"/>
      <c r="G659" s="24"/>
    </row>
    <row r="660" customFormat="false" ht="15" hidden="false" customHeight="false" outlineLevel="0" collapsed="false">
      <c r="A660" s="27"/>
      <c r="B660" s="24"/>
      <c r="C660" s="24"/>
      <c r="D660" s="24"/>
      <c r="E660" s="24"/>
      <c r="F660" s="28"/>
      <c r="G660" s="24"/>
    </row>
    <row r="661" customFormat="false" ht="15" hidden="false" customHeight="false" outlineLevel="0" collapsed="false">
      <c r="A661" s="27"/>
      <c r="B661" s="24"/>
      <c r="C661" s="24"/>
      <c r="D661" s="24"/>
      <c r="E661" s="24"/>
      <c r="F661" s="28"/>
      <c r="G661" s="24"/>
    </row>
    <row r="662" customFormat="false" ht="15" hidden="false" customHeight="false" outlineLevel="0" collapsed="false">
      <c r="A662" s="27"/>
      <c r="B662" s="24"/>
      <c r="C662" s="24"/>
      <c r="D662" s="24"/>
      <c r="E662" s="24"/>
      <c r="F662" s="28"/>
      <c r="G662" s="24"/>
    </row>
    <row r="663" customFormat="false" ht="15" hidden="false" customHeight="false" outlineLevel="0" collapsed="false">
      <c r="A663" s="27"/>
      <c r="B663" s="24"/>
      <c r="C663" s="24"/>
      <c r="D663" s="24"/>
      <c r="E663" s="24"/>
      <c r="F663" s="28"/>
      <c r="G663" s="24"/>
    </row>
    <row r="664" customFormat="false" ht="15" hidden="false" customHeight="false" outlineLevel="0" collapsed="false">
      <c r="A664" s="27"/>
      <c r="B664" s="24"/>
      <c r="C664" s="24"/>
      <c r="D664" s="24"/>
      <c r="E664" s="24"/>
      <c r="F664" s="28"/>
      <c r="G664" s="24"/>
    </row>
    <row r="665" customFormat="false" ht="15" hidden="false" customHeight="false" outlineLevel="0" collapsed="false">
      <c r="A665" s="27"/>
      <c r="B665" s="24"/>
      <c r="C665" s="24"/>
      <c r="D665" s="24"/>
      <c r="E665" s="24"/>
      <c r="F665" s="28"/>
      <c r="G665" s="24"/>
    </row>
    <row r="666" customFormat="false" ht="15" hidden="false" customHeight="false" outlineLevel="0" collapsed="false">
      <c r="A666" s="27"/>
      <c r="B666" s="24"/>
      <c r="C666" s="24"/>
      <c r="D666" s="24"/>
      <c r="E666" s="24"/>
      <c r="F666" s="28"/>
      <c r="G666" s="24"/>
    </row>
    <row r="667" customFormat="false" ht="15" hidden="false" customHeight="false" outlineLevel="0" collapsed="false">
      <c r="A667" s="27"/>
      <c r="B667" s="24"/>
      <c r="C667" s="24"/>
      <c r="D667" s="24"/>
      <c r="E667" s="24"/>
      <c r="F667" s="28"/>
      <c r="G667" s="24"/>
    </row>
    <row r="668" customFormat="false" ht="15" hidden="false" customHeight="false" outlineLevel="0" collapsed="false">
      <c r="A668" s="27"/>
      <c r="B668" s="24"/>
      <c r="C668" s="24"/>
      <c r="D668" s="24"/>
      <c r="E668" s="24"/>
      <c r="F668" s="28"/>
      <c r="G668" s="24"/>
    </row>
    <row r="669" customFormat="false" ht="15" hidden="false" customHeight="false" outlineLevel="0" collapsed="false">
      <c r="A669" s="27"/>
      <c r="B669" s="24"/>
      <c r="C669" s="24"/>
      <c r="D669" s="24"/>
      <c r="E669" s="24"/>
      <c r="F669" s="28"/>
      <c r="G669" s="24"/>
    </row>
    <row r="670" customFormat="false" ht="15" hidden="false" customHeight="false" outlineLevel="0" collapsed="false">
      <c r="A670" s="27"/>
      <c r="B670" s="24"/>
      <c r="C670" s="24"/>
      <c r="D670" s="24"/>
      <c r="E670" s="24"/>
      <c r="F670" s="28"/>
      <c r="G670" s="24"/>
    </row>
    <row r="671" customFormat="false" ht="15" hidden="false" customHeight="false" outlineLevel="0" collapsed="false">
      <c r="A671" s="27"/>
      <c r="B671" s="24"/>
      <c r="C671" s="24"/>
      <c r="D671" s="24"/>
      <c r="E671" s="24"/>
      <c r="F671" s="28"/>
      <c r="G671" s="24"/>
    </row>
    <row r="672" customFormat="false" ht="15" hidden="false" customHeight="false" outlineLevel="0" collapsed="false">
      <c r="A672" s="27"/>
      <c r="B672" s="24"/>
      <c r="C672" s="24"/>
      <c r="D672" s="24"/>
      <c r="E672" s="24"/>
      <c r="F672" s="28"/>
      <c r="G672" s="24"/>
    </row>
    <row r="673" customFormat="false" ht="15" hidden="false" customHeight="false" outlineLevel="0" collapsed="false">
      <c r="A673" s="27"/>
      <c r="B673" s="24"/>
      <c r="C673" s="24"/>
      <c r="D673" s="24"/>
      <c r="E673" s="24"/>
      <c r="F673" s="28"/>
      <c r="G673" s="24"/>
    </row>
    <row r="674" customFormat="false" ht="15" hidden="false" customHeight="false" outlineLevel="0" collapsed="false">
      <c r="A674" s="27"/>
      <c r="B674" s="24"/>
      <c r="C674" s="24"/>
      <c r="D674" s="24"/>
      <c r="E674" s="24"/>
      <c r="F674" s="28"/>
      <c r="G674" s="24"/>
    </row>
    <row r="675" customFormat="false" ht="15" hidden="false" customHeight="false" outlineLevel="0" collapsed="false">
      <c r="A675" s="27"/>
      <c r="B675" s="24"/>
      <c r="C675" s="24"/>
      <c r="D675" s="24"/>
      <c r="E675" s="24"/>
      <c r="F675" s="28"/>
      <c r="G675" s="24"/>
    </row>
    <row r="676" customFormat="false" ht="15" hidden="false" customHeight="false" outlineLevel="0" collapsed="false">
      <c r="A676" s="27"/>
      <c r="B676" s="24"/>
      <c r="C676" s="24"/>
      <c r="D676" s="24"/>
      <c r="E676" s="24"/>
      <c r="F676" s="28"/>
      <c r="G676" s="24"/>
    </row>
    <row r="677" customFormat="false" ht="15" hidden="false" customHeight="false" outlineLevel="0" collapsed="false">
      <c r="A677" s="27"/>
      <c r="B677" s="24"/>
      <c r="C677" s="24"/>
      <c r="D677" s="24"/>
      <c r="E677" s="24"/>
      <c r="F677" s="28"/>
      <c r="G677" s="24"/>
    </row>
    <row r="678" customFormat="false" ht="15" hidden="false" customHeight="false" outlineLevel="0" collapsed="false">
      <c r="A678" s="27"/>
      <c r="B678" s="24"/>
      <c r="C678" s="24"/>
      <c r="D678" s="24"/>
      <c r="E678" s="24"/>
      <c r="F678" s="28"/>
      <c r="G678" s="24"/>
    </row>
    <row r="679" customFormat="false" ht="15" hidden="false" customHeight="false" outlineLevel="0" collapsed="false">
      <c r="A679" s="27"/>
      <c r="B679" s="24"/>
      <c r="C679" s="24"/>
      <c r="D679" s="24"/>
      <c r="E679" s="24"/>
      <c r="F679" s="28"/>
      <c r="G679" s="24"/>
    </row>
    <row r="680" customFormat="false" ht="15" hidden="false" customHeight="false" outlineLevel="0" collapsed="false">
      <c r="A680" s="27"/>
      <c r="B680" s="24"/>
      <c r="C680" s="24"/>
      <c r="D680" s="24"/>
      <c r="E680" s="24"/>
      <c r="F680" s="28"/>
      <c r="G680" s="24"/>
    </row>
    <row r="681" customFormat="false" ht="15" hidden="false" customHeight="false" outlineLevel="0" collapsed="false">
      <c r="A681" s="27"/>
      <c r="B681" s="24"/>
      <c r="C681" s="24"/>
      <c r="D681" s="24"/>
      <c r="E681" s="24"/>
      <c r="F681" s="28"/>
      <c r="G681" s="24"/>
    </row>
    <row r="682" customFormat="false" ht="15" hidden="false" customHeight="false" outlineLevel="0" collapsed="false">
      <c r="A682" s="27"/>
      <c r="B682" s="24"/>
      <c r="C682" s="24"/>
      <c r="D682" s="24"/>
      <c r="E682" s="24"/>
      <c r="F682" s="28"/>
      <c r="G682" s="24"/>
    </row>
    <row r="683" customFormat="false" ht="15" hidden="false" customHeight="false" outlineLevel="0" collapsed="false">
      <c r="A683" s="27"/>
      <c r="B683" s="24"/>
      <c r="C683" s="24"/>
      <c r="D683" s="24"/>
      <c r="E683" s="24"/>
      <c r="F683" s="28"/>
      <c r="G683" s="24"/>
    </row>
    <row r="684" customFormat="false" ht="15" hidden="false" customHeight="false" outlineLevel="0" collapsed="false">
      <c r="A684" s="27"/>
      <c r="B684" s="24"/>
      <c r="C684" s="24"/>
      <c r="D684" s="24"/>
      <c r="E684" s="24"/>
      <c r="F684" s="28"/>
      <c r="G684" s="24"/>
    </row>
    <row r="685" customFormat="false" ht="15" hidden="false" customHeight="false" outlineLevel="0" collapsed="false">
      <c r="A685" s="27"/>
      <c r="B685" s="24"/>
      <c r="C685" s="24"/>
      <c r="D685" s="24"/>
      <c r="E685" s="24"/>
      <c r="F685" s="28"/>
      <c r="G685" s="24"/>
    </row>
    <row r="686" customFormat="false" ht="15" hidden="false" customHeight="false" outlineLevel="0" collapsed="false">
      <c r="A686" s="27"/>
      <c r="B686" s="24"/>
      <c r="C686" s="24"/>
      <c r="D686" s="24"/>
      <c r="E686" s="24"/>
      <c r="F686" s="28"/>
      <c r="G686" s="24"/>
    </row>
    <row r="687" customFormat="false" ht="15" hidden="false" customHeight="false" outlineLevel="0" collapsed="false">
      <c r="A687" s="27"/>
      <c r="B687" s="24"/>
      <c r="C687" s="24"/>
      <c r="D687" s="24"/>
      <c r="E687" s="24"/>
      <c r="F687" s="28"/>
      <c r="G687" s="24"/>
    </row>
    <row r="688" customFormat="false" ht="15" hidden="false" customHeight="false" outlineLevel="0" collapsed="false">
      <c r="A688" s="27"/>
      <c r="B688" s="24"/>
      <c r="C688" s="24"/>
      <c r="D688" s="24"/>
      <c r="E688" s="24"/>
      <c r="F688" s="28"/>
      <c r="G688" s="24"/>
    </row>
    <row r="689" customFormat="false" ht="15" hidden="false" customHeight="false" outlineLevel="0" collapsed="false">
      <c r="A689" s="27"/>
      <c r="B689" s="24"/>
      <c r="C689" s="24"/>
      <c r="D689" s="24"/>
      <c r="E689" s="24"/>
      <c r="F689" s="28"/>
      <c r="G689" s="24"/>
    </row>
    <row r="690" customFormat="false" ht="15" hidden="false" customHeight="false" outlineLevel="0" collapsed="false">
      <c r="A690" s="27"/>
      <c r="B690" s="24"/>
      <c r="C690" s="24"/>
      <c r="D690" s="24"/>
      <c r="E690" s="24"/>
      <c r="F690" s="28"/>
      <c r="G690" s="24"/>
    </row>
    <row r="691" customFormat="false" ht="15" hidden="false" customHeight="false" outlineLevel="0" collapsed="false">
      <c r="A691" s="27"/>
      <c r="B691" s="24"/>
      <c r="C691" s="24"/>
      <c r="D691" s="24"/>
      <c r="E691" s="24"/>
      <c r="F691" s="28"/>
      <c r="G691" s="24"/>
    </row>
    <row r="692" customFormat="false" ht="15" hidden="false" customHeight="false" outlineLevel="0" collapsed="false">
      <c r="A692" s="27"/>
      <c r="B692" s="24"/>
      <c r="C692" s="24"/>
      <c r="D692" s="24"/>
      <c r="E692" s="24"/>
      <c r="F692" s="28"/>
      <c r="G692" s="24"/>
    </row>
    <row r="693" customFormat="false" ht="15" hidden="false" customHeight="false" outlineLevel="0" collapsed="false">
      <c r="A693" s="27"/>
      <c r="B693" s="24"/>
      <c r="C693" s="24"/>
      <c r="D693" s="24"/>
      <c r="E693" s="24"/>
      <c r="F693" s="28"/>
      <c r="G693" s="24"/>
    </row>
    <row r="694" customFormat="false" ht="15" hidden="false" customHeight="false" outlineLevel="0" collapsed="false">
      <c r="A694" s="27"/>
      <c r="B694" s="24"/>
      <c r="C694" s="24"/>
      <c r="D694" s="24"/>
      <c r="E694" s="24"/>
      <c r="F694" s="28"/>
      <c r="G694" s="24"/>
    </row>
    <row r="695" customFormat="false" ht="15" hidden="false" customHeight="false" outlineLevel="0" collapsed="false">
      <c r="A695" s="27"/>
      <c r="B695" s="24"/>
      <c r="C695" s="24"/>
      <c r="D695" s="24"/>
      <c r="E695" s="24"/>
      <c r="F695" s="28"/>
      <c r="G695" s="24"/>
    </row>
    <row r="696" customFormat="false" ht="15" hidden="false" customHeight="false" outlineLevel="0" collapsed="false">
      <c r="A696" s="27"/>
      <c r="B696" s="24"/>
      <c r="C696" s="24"/>
      <c r="D696" s="24"/>
      <c r="E696" s="24"/>
      <c r="F696" s="28"/>
      <c r="G696" s="24"/>
    </row>
    <row r="697" customFormat="false" ht="15" hidden="false" customHeight="false" outlineLevel="0" collapsed="false">
      <c r="A697" s="27"/>
      <c r="B697" s="24"/>
      <c r="C697" s="24"/>
      <c r="D697" s="24"/>
      <c r="E697" s="24"/>
      <c r="F697" s="28"/>
      <c r="G697" s="24"/>
    </row>
    <row r="698" customFormat="false" ht="15" hidden="false" customHeight="false" outlineLevel="0" collapsed="false">
      <c r="A698" s="27"/>
      <c r="B698" s="24"/>
      <c r="C698" s="24"/>
      <c r="D698" s="24"/>
      <c r="E698" s="24"/>
      <c r="F698" s="28"/>
      <c r="G698" s="24"/>
    </row>
    <row r="699" customFormat="false" ht="15" hidden="false" customHeight="false" outlineLevel="0" collapsed="false">
      <c r="A699" s="27"/>
      <c r="B699" s="24"/>
      <c r="C699" s="24"/>
      <c r="D699" s="24"/>
      <c r="E699" s="24"/>
      <c r="F699" s="28"/>
      <c r="G699" s="24"/>
    </row>
    <row r="700" customFormat="false" ht="15" hidden="false" customHeight="false" outlineLevel="0" collapsed="false">
      <c r="A700" s="27"/>
      <c r="B700" s="24"/>
      <c r="C700" s="24"/>
      <c r="D700" s="24"/>
      <c r="E700" s="24"/>
      <c r="F700" s="28"/>
      <c r="G700" s="24"/>
    </row>
    <row r="701" customFormat="false" ht="15" hidden="false" customHeight="false" outlineLevel="0" collapsed="false">
      <c r="A701" s="27"/>
      <c r="B701" s="24"/>
      <c r="C701" s="24"/>
      <c r="D701" s="24"/>
      <c r="E701" s="24"/>
      <c r="F701" s="28"/>
      <c r="G701" s="24"/>
    </row>
    <row r="702" customFormat="false" ht="15" hidden="false" customHeight="false" outlineLevel="0" collapsed="false">
      <c r="A702" s="27"/>
      <c r="B702" s="24"/>
      <c r="C702" s="24"/>
      <c r="D702" s="24"/>
      <c r="E702" s="24"/>
      <c r="F702" s="28"/>
      <c r="G702" s="24"/>
    </row>
    <row r="703" customFormat="false" ht="15" hidden="false" customHeight="false" outlineLevel="0" collapsed="false">
      <c r="A703" s="27"/>
      <c r="B703" s="24"/>
      <c r="C703" s="24"/>
      <c r="D703" s="24"/>
      <c r="E703" s="24"/>
      <c r="F703" s="28"/>
      <c r="G703" s="24"/>
    </row>
    <row r="704" customFormat="false" ht="15" hidden="false" customHeight="false" outlineLevel="0" collapsed="false">
      <c r="A704" s="27"/>
      <c r="B704" s="24"/>
      <c r="C704" s="24"/>
      <c r="D704" s="24"/>
      <c r="E704" s="24"/>
      <c r="F704" s="28"/>
      <c r="G704" s="24"/>
    </row>
    <row r="705" customFormat="false" ht="15" hidden="false" customHeight="false" outlineLevel="0" collapsed="false">
      <c r="A705" s="27"/>
      <c r="B705" s="24"/>
      <c r="C705" s="24"/>
      <c r="D705" s="24"/>
      <c r="E705" s="24"/>
      <c r="F705" s="28"/>
      <c r="G705" s="24"/>
    </row>
    <row r="706" customFormat="false" ht="15" hidden="false" customHeight="false" outlineLevel="0" collapsed="false">
      <c r="A706" s="27"/>
      <c r="B706" s="24"/>
      <c r="C706" s="24"/>
      <c r="D706" s="24"/>
      <c r="E706" s="24"/>
      <c r="F706" s="28"/>
      <c r="G706" s="24"/>
    </row>
    <row r="707" customFormat="false" ht="15" hidden="false" customHeight="false" outlineLevel="0" collapsed="false">
      <c r="A707" s="27"/>
      <c r="B707" s="24"/>
      <c r="C707" s="24"/>
      <c r="D707" s="24"/>
      <c r="E707" s="24"/>
      <c r="F707" s="28"/>
      <c r="G707" s="24"/>
    </row>
    <row r="708" customFormat="false" ht="15" hidden="false" customHeight="false" outlineLevel="0" collapsed="false">
      <c r="A708" s="27"/>
      <c r="B708" s="24"/>
      <c r="C708" s="24"/>
      <c r="D708" s="24"/>
      <c r="E708" s="24"/>
      <c r="F708" s="28"/>
      <c r="G708" s="24"/>
    </row>
    <row r="709" customFormat="false" ht="15" hidden="false" customHeight="false" outlineLevel="0" collapsed="false">
      <c r="A709" s="27"/>
      <c r="B709" s="24"/>
      <c r="C709" s="24"/>
      <c r="D709" s="24"/>
      <c r="E709" s="24"/>
      <c r="F709" s="28"/>
      <c r="G709" s="24"/>
    </row>
    <row r="710" customFormat="false" ht="15" hidden="false" customHeight="false" outlineLevel="0" collapsed="false">
      <c r="A710" s="27"/>
      <c r="B710" s="24"/>
      <c r="C710" s="24"/>
      <c r="D710" s="24"/>
      <c r="E710" s="24"/>
      <c r="F710" s="28"/>
      <c r="G710" s="24"/>
    </row>
    <row r="711" customFormat="false" ht="15" hidden="false" customHeight="false" outlineLevel="0" collapsed="false">
      <c r="A711" s="27"/>
      <c r="B711" s="24"/>
      <c r="C711" s="24"/>
      <c r="D711" s="24"/>
      <c r="E711" s="24"/>
      <c r="F711" s="28"/>
      <c r="G711" s="24"/>
    </row>
    <row r="712" customFormat="false" ht="15" hidden="false" customHeight="false" outlineLevel="0" collapsed="false">
      <c r="A712" s="27"/>
      <c r="B712" s="24"/>
      <c r="C712" s="24"/>
      <c r="D712" s="24"/>
      <c r="E712" s="24"/>
      <c r="F712" s="28"/>
      <c r="G712" s="24"/>
    </row>
    <row r="713" customFormat="false" ht="15" hidden="false" customHeight="false" outlineLevel="0" collapsed="false">
      <c r="A713" s="27"/>
      <c r="B713" s="24"/>
      <c r="C713" s="24"/>
      <c r="D713" s="24"/>
      <c r="E713" s="24"/>
      <c r="F713" s="28"/>
      <c r="G713" s="24"/>
    </row>
    <row r="714" customFormat="false" ht="15" hidden="false" customHeight="false" outlineLevel="0" collapsed="false">
      <c r="A714" s="27"/>
      <c r="B714" s="24"/>
      <c r="C714" s="24"/>
      <c r="D714" s="24"/>
      <c r="E714" s="24"/>
      <c r="F714" s="28"/>
      <c r="G714" s="24"/>
    </row>
    <row r="715" customFormat="false" ht="15" hidden="false" customHeight="false" outlineLevel="0" collapsed="false">
      <c r="A715" s="27"/>
      <c r="B715" s="24"/>
      <c r="C715" s="24"/>
      <c r="D715" s="24"/>
      <c r="E715" s="24"/>
      <c r="F715" s="28"/>
      <c r="G715" s="24"/>
    </row>
    <row r="716" customFormat="false" ht="15" hidden="false" customHeight="false" outlineLevel="0" collapsed="false">
      <c r="A716" s="27"/>
      <c r="B716" s="24"/>
      <c r="C716" s="24"/>
      <c r="D716" s="24"/>
      <c r="E716" s="24"/>
      <c r="F716" s="28"/>
      <c r="G716" s="24"/>
    </row>
    <row r="717" customFormat="false" ht="15" hidden="false" customHeight="false" outlineLevel="0" collapsed="false">
      <c r="A717" s="27"/>
      <c r="B717" s="24"/>
      <c r="C717" s="24"/>
      <c r="D717" s="24"/>
      <c r="E717" s="24"/>
      <c r="F717" s="28"/>
      <c r="G717" s="24"/>
    </row>
    <row r="718" customFormat="false" ht="15" hidden="false" customHeight="false" outlineLevel="0" collapsed="false">
      <c r="A718" s="27"/>
      <c r="B718" s="24"/>
      <c r="C718" s="24"/>
      <c r="D718" s="24"/>
      <c r="E718" s="24"/>
      <c r="F718" s="28"/>
      <c r="G718" s="24"/>
    </row>
    <row r="719" customFormat="false" ht="15" hidden="false" customHeight="false" outlineLevel="0" collapsed="false">
      <c r="A719" s="27"/>
      <c r="B719" s="24"/>
      <c r="C719" s="24"/>
      <c r="D719" s="24"/>
      <c r="E719" s="24"/>
      <c r="F719" s="28"/>
      <c r="G719" s="24"/>
    </row>
    <row r="720" customFormat="false" ht="15" hidden="false" customHeight="false" outlineLevel="0" collapsed="false">
      <c r="A720" s="27"/>
      <c r="B720" s="24"/>
      <c r="C720" s="24"/>
      <c r="D720" s="24"/>
      <c r="E720" s="24"/>
      <c r="F720" s="28"/>
      <c r="G720" s="24"/>
    </row>
    <row r="721" customFormat="false" ht="15" hidden="false" customHeight="false" outlineLevel="0" collapsed="false">
      <c r="A721" s="27"/>
      <c r="B721" s="24"/>
      <c r="C721" s="24"/>
      <c r="D721" s="24"/>
      <c r="E721" s="24"/>
      <c r="F721" s="28"/>
      <c r="G721" s="24"/>
    </row>
    <row r="722" customFormat="false" ht="15" hidden="false" customHeight="false" outlineLevel="0" collapsed="false">
      <c r="A722" s="27"/>
      <c r="B722" s="24"/>
      <c r="C722" s="24"/>
      <c r="D722" s="24"/>
      <c r="E722" s="24"/>
      <c r="F722" s="28"/>
      <c r="G722" s="24"/>
    </row>
    <row r="723" customFormat="false" ht="15" hidden="false" customHeight="false" outlineLevel="0" collapsed="false">
      <c r="A723" s="27"/>
      <c r="B723" s="24"/>
      <c r="C723" s="24"/>
      <c r="D723" s="24"/>
      <c r="E723" s="24"/>
      <c r="F723" s="28"/>
      <c r="G723" s="24"/>
    </row>
    <row r="724" customFormat="false" ht="15" hidden="false" customHeight="false" outlineLevel="0" collapsed="false">
      <c r="A724" s="27"/>
      <c r="B724" s="24"/>
      <c r="C724" s="24"/>
      <c r="D724" s="24"/>
      <c r="E724" s="24"/>
      <c r="F724" s="28"/>
      <c r="G724" s="24"/>
    </row>
    <row r="725" customFormat="false" ht="15" hidden="false" customHeight="false" outlineLevel="0" collapsed="false">
      <c r="A725" s="27"/>
      <c r="B725" s="24"/>
      <c r="C725" s="24"/>
      <c r="D725" s="24"/>
      <c r="E725" s="24"/>
      <c r="F725" s="28"/>
      <c r="G725" s="24"/>
    </row>
    <row r="726" customFormat="false" ht="15" hidden="false" customHeight="false" outlineLevel="0" collapsed="false">
      <c r="A726" s="27"/>
      <c r="B726" s="24"/>
      <c r="C726" s="24"/>
      <c r="D726" s="24"/>
      <c r="E726" s="24"/>
      <c r="F726" s="28"/>
      <c r="G726" s="24"/>
    </row>
    <row r="727" customFormat="false" ht="15" hidden="false" customHeight="false" outlineLevel="0" collapsed="false">
      <c r="A727" s="27"/>
      <c r="B727" s="24"/>
      <c r="C727" s="24"/>
      <c r="D727" s="24"/>
      <c r="E727" s="24"/>
      <c r="F727" s="28"/>
      <c r="G727" s="24"/>
    </row>
    <row r="728" customFormat="false" ht="15" hidden="false" customHeight="false" outlineLevel="0" collapsed="false">
      <c r="A728" s="27"/>
      <c r="B728" s="24"/>
      <c r="C728" s="24"/>
      <c r="D728" s="24"/>
      <c r="E728" s="24"/>
      <c r="F728" s="28"/>
      <c r="G728" s="24"/>
    </row>
    <row r="729" customFormat="false" ht="15" hidden="false" customHeight="false" outlineLevel="0" collapsed="false">
      <c r="A729" s="27"/>
      <c r="B729" s="24"/>
      <c r="C729" s="24"/>
      <c r="D729" s="24"/>
      <c r="E729" s="24"/>
      <c r="F729" s="28"/>
      <c r="G729" s="24"/>
    </row>
    <row r="730" customFormat="false" ht="15" hidden="false" customHeight="false" outlineLevel="0" collapsed="false">
      <c r="A730" s="27"/>
      <c r="B730" s="24"/>
      <c r="C730" s="24"/>
      <c r="D730" s="24"/>
      <c r="E730" s="24"/>
      <c r="F730" s="28"/>
      <c r="G730" s="24"/>
    </row>
    <row r="731" customFormat="false" ht="15" hidden="false" customHeight="false" outlineLevel="0" collapsed="false">
      <c r="A731" s="27"/>
      <c r="B731" s="24"/>
      <c r="C731" s="24"/>
      <c r="D731" s="24"/>
      <c r="E731" s="24"/>
      <c r="F731" s="28"/>
      <c r="G731" s="24"/>
    </row>
    <row r="732" customFormat="false" ht="15" hidden="false" customHeight="false" outlineLevel="0" collapsed="false">
      <c r="A732" s="27"/>
      <c r="B732" s="24"/>
      <c r="C732" s="24"/>
      <c r="D732" s="24"/>
      <c r="E732" s="24"/>
      <c r="F732" s="28"/>
      <c r="G732" s="24"/>
    </row>
    <row r="733" customFormat="false" ht="15" hidden="false" customHeight="false" outlineLevel="0" collapsed="false">
      <c r="A733" s="27"/>
      <c r="B733" s="24"/>
      <c r="C733" s="24"/>
      <c r="D733" s="24"/>
      <c r="E733" s="24"/>
      <c r="F733" s="28"/>
      <c r="G733" s="24"/>
    </row>
    <row r="734" customFormat="false" ht="15" hidden="false" customHeight="false" outlineLevel="0" collapsed="false">
      <c r="A734" s="27"/>
      <c r="B734" s="24"/>
      <c r="C734" s="24"/>
      <c r="D734" s="24"/>
      <c r="E734" s="24"/>
      <c r="F734" s="28"/>
      <c r="G734" s="24"/>
    </row>
    <row r="735" customFormat="false" ht="15" hidden="false" customHeight="false" outlineLevel="0" collapsed="false">
      <c r="A735" s="27"/>
      <c r="B735" s="24"/>
      <c r="C735" s="24"/>
      <c r="D735" s="24"/>
      <c r="E735" s="24"/>
      <c r="F735" s="28"/>
      <c r="G735" s="24"/>
    </row>
    <row r="736" customFormat="false" ht="15" hidden="false" customHeight="false" outlineLevel="0" collapsed="false">
      <c r="A736" s="27"/>
      <c r="B736" s="24"/>
      <c r="C736" s="24"/>
      <c r="D736" s="24"/>
      <c r="E736" s="24"/>
      <c r="F736" s="28"/>
      <c r="G736" s="24"/>
    </row>
    <row r="737" customFormat="false" ht="15" hidden="false" customHeight="false" outlineLevel="0" collapsed="false">
      <c r="A737" s="27"/>
      <c r="B737" s="24"/>
      <c r="C737" s="24"/>
      <c r="D737" s="24"/>
      <c r="E737" s="24"/>
      <c r="F737" s="28"/>
      <c r="G737" s="24"/>
    </row>
    <row r="738" customFormat="false" ht="15" hidden="false" customHeight="false" outlineLevel="0" collapsed="false">
      <c r="A738" s="27"/>
      <c r="B738" s="24"/>
      <c r="C738" s="24"/>
      <c r="D738" s="24"/>
      <c r="E738" s="24"/>
      <c r="F738" s="28"/>
      <c r="G738" s="24"/>
    </row>
    <row r="739" customFormat="false" ht="15" hidden="false" customHeight="false" outlineLevel="0" collapsed="false">
      <c r="A739" s="27"/>
      <c r="B739" s="24"/>
      <c r="C739" s="24"/>
      <c r="D739" s="24"/>
      <c r="E739" s="24"/>
      <c r="F739" s="28"/>
      <c r="G739" s="24"/>
    </row>
    <row r="740" customFormat="false" ht="15" hidden="false" customHeight="false" outlineLevel="0" collapsed="false">
      <c r="A740" s="27"/>
      <c r="B740" s="24"/>
      <c r="C740" s="24"/>
      <c r="D740" s="24"/>
      <c r="E740" s="24"/>
      <c r="F740" s="28"/>
      <c r="G740" s="24"/>
    </row>
    <row r="741" customFormat="false" ht="15" hidden="false" customHeight="false" outlineLevel="0" collapsed="false">
      <c r="A741" s="27"/>
      <c r="B741" s="24"/>
      <c r="C741" s="24"/>
      <c r="D741" s="24"/>
      <c r="E741" s="24"/>
      <c r="F741" s="28"/>
      <c r="G741" s="24"/>
    </row>
    <row r="742" customFormat="false" ht="15" hidden="false" customHeight="false" outlineLevel="0" collapsed="false">
      <c r="A742" s="27"/>
      <c r="B742" s="24"/>
      <c r="C742" s="24"/>
      <c r="D742" s="24"/>
      <c r="E742" s="24"/>
      <c r="F742" s="28"/>
      <c r="G742" s="24"/>
    </row>
    <row r="743" customFormat="false" ht="15" hidden="false" customHeight="false" outlineLevel="0" collapsed="false">
      <c r="A743" s="27"/>
      <c r="B743" s="24"/>
      <c r="C743" s="24"/>
      <c r="D743" s="24"/>
      <c r="E743" s="24"/>
      <c r="F743" s="28"/>
      <c r="G743" s="24"/>
    </row>
    <row r="744" customFormat="false" ht="15" hidden="false" customHeight="false" outlineLevel="0" collapsed="false">
      <c r="A744" s="27"/>
      <c r="B744" s="24"/>
      <c r="C744" s="24"/>
      <c r="D744" s="24"/>
      <c r="E744" s="24"/>
      <c r="F744" s="28"/>
      <c r="G744" s="24"/>
    </row>
    <row r="745" customFormat="false" ht="15" hidden="false" customHeight="false" outlineLevel="0" collapsed="false">
      <c r="A745" s="27"/>
      <c r="B745" s="24"/>
      <c r="C745" s="24"/>
      <c r="D745" s="24"/>
      <c r="E745" s="24"/>
      <c r="F745" s="28"/>
      <c r="G745" s="24"/>
    </row>
    <row r="746" customFormat="false" ht="15" hidden="false" customHeight="false" outlineLevel="0" collapsed="false">
      <c r="A746" s="27"/>
      <c r="B746" s="24"/>
      <c r="C746" s="24"/>
      <c r="D746" s="24"/>
      <c r="E746" s="24"/>
      <c r="F746" s="28"/>
      <c r="G746" s="24"/>
    </row>
    <row r="747" customFormat="false" ht="15" hidden="false" customHeight="false" outlineLevel="0" collapsed="false">
      <c r="A747" s="27"/>
      <c r="B747" s="24"/>
      <c r="C747" s="24"/>
      <c r="D747" s="24"/>
      <c r="E747" s="24"/>
      <c r="F747" s="28"/>
      <c r="G747" s="24"/>
    </row>
    <row r="748" customFormat="false" ht="15" hidden="false" customHeight="false" outlineLevel="0" collapsed="false">
      <c r="A748" s="27"/>
      <c r="B748" s="24"/>
      <c r="C748" s="24"/>
      <c r="D748" s="24"/>
      <c r="E748" s="24"/>
      <c r="F748" s="28"/>
      <c r="G748" s="24"/>
    </row>
    <row r="749" customFormat="false" ht="15" hidden="false" customHeight="false" outlineLevel="0" collapsed="false">
      <c r="A749" s="27"/>
      <c r="B749" s="24"/>
      <c r="C749" s="24"/>
      <c r="D749" s="24"/>
      <c r="E749" s="24"/>
      <c r="F749" s="28"/>
      <c r="G749" s="24"/>
    </row>
    <row r="750" customFormat="false" ht="15" hidden="false" customHeight="false" outlineLevel="0" collapsed="false">
      <c r="A750" s="27"/>
      <c r="B750" s="24"/>
      <c r="C750" s="24"/>
      <c r="D750" s="24"/>
      <c r="E750" s="24"/>
      <c r="F750" s="28"/>
      <c r="G750" s="24"/>
    </row>
    <row r="751" customFormat="false" ht="15" hidden="false" customHeight="false" outlineLevel="0" collapsed="false">
      <c r="A751" s="27"/>
      <c r="B751" s="24"/>
      <c r="C751" s="24"/>
      <c r="D751" s="24"/>
      <c r="E751" s="24"/>
      <c r="F751" s="28"/>
      <c r="G751" s="24"/>
    </row>
    <row r="752" customFormat="false" ht="15" hidden="false" customHeight="false" outlineLevel="0" collapsed="false">
      <c r="A752" s="27"/>
      <c r="B752" s="24"/>
      <c r="C752" s="24"/>
      <c r="D752" s="24"/>
      <c r="E752" s="24"/>
      <c r="F752" s="28"/>
      <c r="G752" s="24"/>
    </row>
    <row r="753" customFormat="false" ht="15" hidden="false" customHeight="false" outlineLevel="0" collapsed="false">
      <c r="A753" s="27"/>
      <c r="B753" s="24"/>
      <c r="C753" s="24"/>
      <c r="D753" s="24"/>
      <c r="E753" s="24"/>
      <c r="F753" s="28"/>
      <c r="G753" s="24"/>
    </row>
    <row r="754" customFormat="false" ht="15" hidden="false" customHeight="false" outlineLevel="0" collapsed="false">
      <c r="A754" s="27"/>
      <c r="B754" s="24"/>
      <c r="C754" s="24"/>
      <c r="D754" s="24"/>
      <c r="E754" s="24"/>
      <c r="F754" s="28"/>
      <c r="G754" s="24"/>
    </row>
    <row r="755" customFormat="false" ht="15" hidden="false" customHeight="false" outlineLevel="0" collapsed="false">
      <c r="A755" s="27"/>
      <c r="B755" s="24"/>
      <c r="C755" s="24"/>
      <c r="D755" s="24"/>
      <c r="E755" s="24"/>
      <c r="F755" s="28"/>
      <c r="G755" s="24"/>
    </row>
    <row r="756" customFormat="false" ht="15" hidden="false" customHeight="false" outlineLevel="0" collapsed="false">
      <c r="A756" s="27"/>
      <c r="B756" s="24"/>
      <c r="C756" s="24"/>
      <c r="D756" s="24"/>
      <c r="E756" s="24"/>
      <c r="F756" s="28"/>
      <c r="G756" s="24"/>
    </row>
    <row r="757" customFormat="false" ht="15" hidden="false" customHeight="false" outlineLevel="0" collapsed="false">
      <c r="A757" s="27"/>
      <c r="B757" s="24"/>
      <c r="C757" s="24"/>
      <c r="D757" s="24"/>
      <c r="E757" s="24"/>
      <c r="F757" s="28"/>
      <c r="G757" s="24"/>
    </row>
    <row r="758" customFormat="false" ht="15" hidden="false" customHeight="false" outlineLevel="0" collapsed="false">
      <c r="A758" s="27"/>
      <c r="B758" s="24"/>
      <c r="C758" s="24"/>
      <c r="D758" s="24"/>
      <c r="E758" s="24"/>
      <c r="F758" s="28"/>
      <c r="G758" s="24"/>
    </row>
    <row r="759" customFormat="false" ht="15" hidden="false" customHeight="false" outlineLevel="0" collapsed="false">
      <c r="A759" s="27"/>
      <c r="B759" s="24"/>
      <c r="C759" s="24"/>
      <c r="D759" s="24"/>
      <c r="E759" s="24"/>
      <c r="F759" s="28"/>
      <c r="G759" s="24"/>
    </row>
    <row r="760" customFormat="false" ht="15" hidden="false" customHeight="false" outlineLevel="0" collapsed="false">
      <c r="A760" s="27"/>
      <c r="B760" s="24"/>
      <c r="C760" s="24"/>
      <c r="D760" s="24"/>
      <c r="E760" s="24"/>
      <c r="F760" s="28"/>
      <c r="G760" s="24"/>
    </row>
    <row r="761" customFormat="false" ht="15" hidden="false" customHeight="false" outlineLevel="0" collapsed="false">
      <c r="A761" s="27"/>
      <c r="B761" s="24"/>
      <c r="C761" s="24"/>
      <c r="D761" s="24"/>
      <c r="E761" s="24"/>
      <c r="F761" s="28"/>
      <c r="G761" s="24"/>
    </row>
    <row r="762" customFormat="false" ht="15" hidden="false" customHeight="false" outlineLevel="0" collapsed="false">
      <c r="A762" s="27"/>
      <c r="B762" s="24"/>
      <c r="C762" s="24"/>
      <c r="D762" s="24"/>
      <c r="E762" s="24"/>
      <c r="F762" s="28"/>
      <c r="G762" s="24"/>
    </row>
    <row r="763" customFormat="false" ht="15" hidden="false" customHeight="false" outlineLevel="0" collapsed="false">
      <c r="A763" s="27"/>
      <c r="B763" s="24"/>
      <c r="C763" s="24"/>
      <c r="D763" s="24"/>
      <c r="E763" s="24"/>
      <c r="F763" s="28"/>
      <c r="G763" s="24"/>
    </row>
    <row r="764" customFormat="false" ht="15" hidden="false" customHeight="false" outlineLevel="0" collapsed="false">
      <c r="A764" s="27"/>
      <c r="B764" s="24"/>
      <c r="C764" s="24"/>
      <c r="D764" s="24"/>
      <c r="E764" s="24"/>
      <c r="F764" s="28"/>
      <c r="G764" s="24"/>
    </row>
    <row r="765" customFormat="false" ht="15" hidden="false" customHeight="false" outlineLevel="0" collapsed="false">
      <c r="A765" s="27"/>
      <c r="B765" s="24"/>
      <c r="C765" s="24"/>
      <c r="D765" s="24"/>
      <c r="E765" s="24"/>
      <c r="F765" s="28"/>
      <c r="G765" s="24"/>
    </row>
    <row r="766" customFormat="false" ht="15" hidden="false" customHeight="false" outlineLevel="0" collapsed="false">
      <c r="A766" s="27"/>
      <c r="B766" s="24"/>
      <c r="C766" s="24"/>
      <c r="D766" s="24"/>
      <c r="E766" s="24"/>
      <c r="F766" s="28"/>
      <c r="G766" s="24"/>
    </row>
    <row r="767" customFormat="false" ht="15" hidden="false" customHeight="false" outlineLevel="0" collapsed="false">
      <c r="A767" s="27"/>
      <c r="B767" s="24"/>
      <c r="C767" s="24"/>
      <c r="D767" s="24"/>
      <c r="E767" s="24"/>
      <c r="F767" s="28"/>
      <c r="G767" s="24"/>
    </row>
    <row r="768" customFormat="false" ht="15" hidden="false" customHeight="false" outlineLevel="0" collapsed="false">
      <c r="A768" s="27"/>
      <c r="B768" s="24"/>
      <c r="C768" s="24"/>
      <c r="D768" s="24"/>
      <c r="E768" s="24"/>
      <c r="F768" s="28"/>
      <c r="G768" s="24"/>
    </row>
    <row r="769" customFormat="false" ht="15" hidden="false" customHeight="false" outlineLevel="0" collapsed="false">
      <c r="A769" s="27"/>
      <c r="B769" s="24"/>
      <c r="C769" s="24"/>
      <c r="D769" s="24"/>
      <c r="E769" s="24"/>
      <c r="F769" s="28"/>
      <c r="G769" s="24"/>
    </row>
    <row r="770" customFormat="false" ht="15" hidden="false" customHeight="false" outlineLevel="0" collapsed="false">
      <c r="A770" s="27"/>
      <c r="B770" s="24"/>
      <c r="C770" s="24"/>
      <c r="D770" s="24"/>
      <c r="E770" s="24"/>
      <c r="F770" s="28"/>
      <c r="G770" s="24"/>
    </row>
    <row r="771" customFormat="false" ht="15" hidden="false" customHeight="false" outlineLevel="0" collapsed="false">
      <c r="A771" s="27"/>
      <c r="B771" s="24"/>
      <c r="C771" s="24"/>
      <c r="D771" s="24"/>
      <c r="E771" s="24"/>
      <c r="F771" s="28"/>
      <c r="G771" s="24"/>
    </row>
    <row r="772" customFormat="false" ht="15" hidden="false" customHeight="false" outlineLevel="0" collapsed="false">
      <c r="A772" s="27"/>
      <c r="B772" s="24"/>
      <c r="C772" s="24"/>
      <c r="D772" s="24"/>
      <c r="E772" s="24"/>
      <c r="F772" s="28"/>
      <c r="G772" s="24"/>
    </row>
    <row r="773" customFormat="false" ht="15" hidden="false" customHeight="false" outlineLevel="0" collapsed="false">
      <c r="A773" s="27"/>
      <c r="B773" s="24"/>
      <c r="C773" s="24"/>
      <c r="D773" s="24"/>
      <c r="E773" s="24"/>
      <c r="F773" s="28"/>
      <c r="G773" s="24"/>
    </row>
    <row r="774" customFormat="false" ht="15" hidden="false" customHeight="false" outlineLevel="0" collapsed="false">
      <c r="A774" s="27"/>
      <c r="B774" s="24"/>
      <c r="C774" s="24"/>
      <c r="D774" s="24"/>
      <c r="E774" s="24"/>
      <c r="F774" s="28"/>
      <c r="G774" s="24"/>
    </row>
    <row r="775" customFormat="false" ht="15" hidden="false" customHeight="false" outlineLevel="0" collapsed="false">
      <c r="A775" s="27"/>
      <c r="B775" s="24"/>
      <c r="C775" s="24"/>
      <c r="D775" s="24"/>
      <c r="E775" s="24"/>
      <c r="F775" s="28"/>
      <c r="G775" s="24"/>
    </row>
    <row r="776" customFormat="false" ht="15" hidden="false" customHeight="false" outlineLevel="0" collapsed="false">
      <c r="A776" s="27"/>
      <c r="B776" s="24"/>
      <c r="C776" s="24"/>
      <c r="D776" s="24"/>
      <c r="E776" s="24"/>
      <c r="F776" s="28"/>
      <c r="G776" s="24"/>
    </row>
    <row r="777" customFormat="false" ht="15" hidden="false" customHeight="false" outlineLevel="0" collapsed="false">
      <c r="A777" s="27"/>
      <c r="B777" s="24"/>
      <c r="C777" s="24"/>
      <c r="D777" s="24"/>
      <c r="E777" s="24"/>
      <c r="F777" s="28"/>
      <c r="G777" s="24"/>
    </row>
    <row r="778" customFormat="false" ht="15" hidden="false" customHeight="false" outlineLevel="0" collapsed="false">
      <c r="A778" s="27"/>
      <c r="B778" s="24"/>
      <c r="C778" s="24"/>
      <c r="D778" s="24"/>
      <c r="E778" s="24"/>
      <c r="F778" s="28"/>
      <c r="G778" s="24"/>
    </row>
    <row r="779" customFormat="false" ht="15" hidden="false" customHeight="false" outlineLevel="0" collapsed="false">
      <c r="A779" s="27"/>
      <c r="B779" s="24"/>
      <c r="C779" s="24"/>
      <c r="D779" s="24"/>
      <c r="E779" s="24"/>
      <c r="F779" s="28"/>
      <c r="G779" s="24"/>
    </row>
    <row r="780" customFormat="false" ht="15" hidden="false" customHeight="false" outlineLevel="0" collapsed="false">
      <c r="A780" s="27"/>
      <c r="B780" s="24"/>
      <c r="C780" s="24"/>
      <c r="D780" s="24"/>
      <c r="E780" s="24"/>
      <c r="F780" s="28"/>
      <c r="G780" s="24"/>
    </row>
    <row r="781" customFormat="false" ht="15" hidden="false" customHeight="false" outlineLevel="0" collapsed="false">
      <c r="A781" s="27"/>
      <c r="B781" s="24"/>
      <c r="C781" s="24"/>
      <c r="D781" s="24"/>
      <c r="E781" s="24"/>
      <c r="F781" s="28"/>
      <c r="G781" s="24"/>
    </row>
    <row r="782" customFormat="false" ht="15" hidden="false" customHeight="false" outlineLevel="0" collapsed="false">
      <c r="A782" s="27"/>
      <c r="B782" s="24"/>
      <c r="C782" s="24"/>
      <c r="D782" s="24"/>
      <c r="E782" s="24"/>
      <c r="F782" s="28"/>
      <c r="G782" s="24"/>
    </row>
    <row r="783" customFormat="false" ht="15" hidden="false" customHeight="false" outlineLevel="0" collapsed="false">
      <c r="A783" s="27"/>
      <c r="B783" s="24"/>
      <c r="C783" s="24"/>
      <c r="D783" s="24"/>
      <c r="E783" s="24"/>
      <c r="F783" s="28"/>
      <c r="G783" s="24"/>
    </row>
    <row r="784" customFormat="false" ht="15" hidden="false" customHeight="false" outlineLevel="0" collapsed="false">
      <c r="A784" s="27"/>
      <c r="B784" s="24"/>
      <c r="C784" s="24"/>
      <c r="D784" s="24"/>
      <c r="E784" s="24"/>
      <c r="F784" s="28"/>
      <c r="G784" s="24"/>
    </row>
    <row r="785" customFormat="false" ht="15" hidden="false" customHeight="false" outlineLevel="0" collapsed="false">
      <c r="A785" s="27"/>
      <c r="B785" s="24"/>
      <c r="C785" s="24"/>
      <c r="D785" s="24"/>
      <c r="E785" s="24"/>
      <c r="F785" s="28"/>
      <c r="G785" s="24"/>
    </row>
    <row r="786" customFormat="false" ht="15" hidden="false" customHeight="false" outlineLevel="0" collapsed="false">
      <c r="A786" s="27"/>
      <c r="B786" s="24"/>
      <c r="C786" s="24"/>
      <c r="D786" s="24"/>
      <c r="E786" s="24"/>
      <c r="F786" s="28"/>
      <c r="G786" s="24"/>
    </row>
    <row r="787" customFormat="false" ht="15" hidden="false" customHeight="false" outlineLevel="0" collapsed="false">
      <c r="A787" s="27"/>
      <c r="B787" s="24"/>
      <c r="C787" s="24"/>
      <c r="D787" s="24"/>
      <c r="E787" s="24"/>
      <c r="F787" s="28"/>
      <c r="G787" s="24"/>
    </row>
    <row r="788" customFormat="false" ht="15" hidden="false" customHeight="false" outlineLevel="0" collapsed="false">
      <c r="A788" s="27"/>
      <c r="B788" s="24"/>
      <c r="C788" s="24"/>
      <c r="D788" s="24"/>
      <c r="E788" s="24"/>
      <c r="F788" s="28"/>
      <c r="G788" s="24"/>
    </row>
    <row r="789" customFormat="false" ht="15" hidden="false" customHeight="false" outlineLevel="0" collapsed="false">
      <c r="A789" s="27"/>
      <c r="B789" s="24"/>
      <c r="C789" s="24"/>
      <c r="D789" s="24"/>
      <c r="E789" s="24"/>
      <c r="F789" s="28"/>
      <c r="G789" s="24"/>
    </row>
    <row r="790" customFormat="false" ht="15" hidden="false" customHeight="false" outlineLevel="0" collapsed="false">
      <c r="A790" s="27"/>
      <c r="B790" s="24"/>
      <c r="C790" s="24"/>
      <c r="D790" s="24"/>
      <c r="E790" s="24"/>
      <c r="F790" s="28"/>
      <c r="G790" s="24"/>
    </row>
    <row r="791" customFormat="false" ht="15" hidden="false" customHeight="false" outlineLevel="0" collapsed="false">
      <c r="A791" s="27"/>
      <c r="B791" s="24"/>
      <c r="C791" s="24"/>
      <c r="D791" s="24"/>
      <c r="E791" s="24"/>
      <c r="F791" s="28"/>
      <c r="G791" s="24"/>
    </row>
    <row r="792" customFormat="false" ht="15" hidden="false" customHeight="false" outlineLevel="0" collapsed="false">
      <c r="A792" s="27"/>
      <c r="B792" s="24"/>
      <c r="C792" s="24"/>
      <c r="D792" s="24"/>
      <c r="E792" s="24"/>
      <c r="F792" s="28"/>
      <c r="G792" s="24"/>
    </row>
    <row r="793" customFormat="false" ht="15" hidden="false" customHeight="false" outlineLevel="0" collapsed="false">
      <c r="A793" s="27"/>
      <c r="B793" s="24"/>
      <c r="C793" s="24"/>
      <c r="D793" s="24"/>
      <c r="E793" s="24"/>
      <c r="F793" s="28"/>
      <c r="G793" s="24"/>
    </row>
    <row r="794" customFormat="false" ht="15" hidden="false" customHeight="false" outlineLevel="0" collapsed="false">
      <c r="A794" s="27"/>
      <c r="B794" s="24"/>
      <c r="C794" s="24"/>
      <c r="D794" s="24"/>
      <c r="E794" s="24"/>
      <c r="F794" s="28"/>
      <c r="G794" s="24"/>
    </row>
    <row r="795" customFormat="false" ht="15" hidden="false" customHeight="false" outlineLevel="0" collapsed="false">
      <c r="A795" s="27"/>
      <c r="B795" s="24"/>
      <c r="C795" s="24"/>
      <c r="D795" s="24"/>
      <c r="E795" s="24"/>
      <c r="F795" s="28"/>
      <c r="G795" s="24"/>
    </row>
    <row r="796" customFormat="false" ht="15" hidden="false" customHeight="false" outlineLevel="0" collapsed="false">
      <c r="A796" s="27"/>
      <c r="B796" s="24"/>
      <c r="C796" s="24"/>
      <c r="D796" s="24"/>
      <c r="E796" s="24"/>
      <c r="F796" s="28"/>
      <c r="G796" s="24"/>
    </row>
    <row r="797" customFormat="false" ht="15" hidden="false" customHeight="false" outlineLevel="0" collapsed="false">
      <c r="A797" s="27"/>
      <c r="B797" s="24"/>
      <c r="C797" s="24"/>
      <c r="D797" s="24"/>
      <c r="E797" s="24"/>
      <c r="F797" s="28"/>
      <c r="G797" s="24"/>
    </row>
    <row r="798" customFormat="false" ht="15" hidden="false" customHeight="false" outlineLevel="0" collapsed="false">
      <c r="A798" s="27"/>
      <c r="B798" s="24"/>
      <c r="C798" s="24"/>
      <c r="D798" s="24"/>
      <c r="E798" s="24"/>
      <c r="F798" s="28"/>
      <c r="G798" s="24"/>
    </row>
    <row r="799" customFormat="false" ht="15" hidden="false" customHeight="false" outlineLevel="0" collapsed="false">
      <c r="A799" s="27"/>
      <c r="B799" s="24"/>
      <c r="C799" s="24"/>
      <c r="D799" s="24"/>
      <c r="E799" s="24"/>
      <c r="F799" s="28"/>
      <c r="G799" s="24"/>
    </row>
    <row r="800" customFormat="false" ht="15" hidden="false" customHeight="false" outlineLevel="0" collapsed="false">
      <c r="A800" s="27"/>
      <c r="B800" s="24"/>
      <c r="C800" s="24"/>
      <c r="D800" s="24"/>
      <c r="E800" s="24"/>
      <c r="F800" s="28"/>
      <c r="G800" s="24"/>
    </row>
    <row r="801" customFormat="false" ht="15" hidden="false" customHeight="false" outlineLevel="0" collapsed="false">
      <c r="A801" s="27"/>
      <c r="B801" s="24"/>
      <c r="C801" s="24"/>
      <c r="D801" s="24"/>
      <c r="E801" s="24"/>
      <c r="F801" s="28"/>
      <c r="G801" s="24"/>
    </row>
    <row r="802" customFormat="false" ht="15" hidden="false" customHeight="false" outlineLevel="0" collapsed="false">
      <c r="A802" s="27"/>
      <c r="B802" s="24"/>
      <c r="C802" s="24"/>
      <c r="D802" s="24"/>
      <c r="E802" s="24"/>
      <c r="F802" s="28"/>
      <c r="G802" s="24"/>
    </row>
    <row r="803" customFormat="false" ht="15" hidden="false" customHeight="false" outlineLevel="0" collapsed="false">
      <c r="A803" s="27"/>
      <c r="B803" s="24"/>
      <c r="C803" s="24"/>
      <c r="D803" s="24"/>
      <c r="E803" s="24"/>
      <c r="F803" s="28"/>
      <c r="G803" s="24"/>
    </row>
    <row r="804" customFormat="false" ht="15" hidden="false" customHeight="false" outlineLevel="0" collapsed="false">
      <c r="A804" s="27"/>
      <c r="B804" s="24"/>
      <c r="C804" s="24"/>
      <c r="D804" s="24"/>
      <c r="E804" s="24"/>
      <c r="F804" s="28"/>
      <c r="G804" s="24"/>
    </row>
    <row r="805" customFormat="false" ht="15" hidden="false" customHeight="false" outlineLevel="0" collapsed="false">
      <c r="A805" s="27"/>
      <c r="B805" s="24"/>
      <c r="C805" s="24"/>
      <c r="D805" s="24"/>
      <c r="E805" s="24"/>
      <c r="F805" s="28"/>
      <c r="G805" s="24"/>
    </row>
    <row r="806" customFormat="false" ht="15" hidden="false" customHeight="false" outlineLevel="0" collapsed="false">
      <c r="A806" s="27"/>
      <c r="B806" s="24"/>
      <c r="C806" s="24"/>
      <c r="D806" s="24"/>
      <c r="E806" s="24"/>
      <c r="F806" s="28"/>
      <c r="G806" s="24"/>
    </row>
    <row r="807" customFormat="false" ht="15" hidden="false" customHeight="false" outlineLevel="0" collapsed="false">
      <c r="A807" s="27"/>
      <c r="B807" s="24"/>
      <c r="C807" s="24"/>
      <c r="D807" s="24"/>
      <c r="E807" s="24"/>
      <c r="F807" s="28"/>
      <c r="G807" s="24"/>
    </row>
    <row r="808" customFormat="false" ht="15" hidden="false" customHeight="false" outlineLevel="0" collapsed="false">
      <c r="A808" s="27"/>
      <c r="B808" s="24"/>
      <c r="C808" s="24"/>
      <c r="D808" s="24"/>
      <c r="E808" s="24"/>
      <c r="F808" s="28"/>
      <c r="G808" s="24"/>
    </row>
    <row r="809" customFormat="false" ht="15" hidden="false" customHeight="false" outlineLevel="0" collapsed="false">
      <c r="A809" s="27"/>
      <c r="B809" s="24"/>
      <c r="C809" s="24"/>
      <c r="D809" s="24"/>
      <c r="E809" s="24"/>
      <c r="F809" s="28"/>
      <c r="G809" s="24"/>
    </row>
    <row r="810" customFormat="false" ht="15" hidden="false" customHeight="false" outlineLevel="0" collapsed="false">
      <c r="A810" s="27"/>
      <c r="B810" s="24"/>
      <c r="C810" s="24"/>
      <c r="D810" s="24"/>
      <c r="E810" s="24"/>
      <c r="F810" s="28"/>
      <c r="G810" s="24"/>
    </row>
    <row r="811" customFormat="false" ht="15" hidden="false" customHeight="false" outlineLevel="0" collapsed="false">
      <c r="A811" s="27"/>
      <c r="B811" s="24"/>
      <c r="C811" s="24"/>
      <c r="D811" s="24"/>
      <c r="E811" s="24"/>
      <c r="F811" s="28"/>
      <c r="G811" s="24"/>
    </row>
    <row r="812" customFormat="false" ht="15" hidden="false" customHeight="false" outlineLevel="0" collapsed="false">
      <c r="A812" s="27"/>
      <c r="B812" s="24"/>
      <c r="C812" s="24"/>
      <c r="D812" s="24"/>
      <c r="E812" s="24"/>
      <c r="F812" s="28"/>
      <c r="G812" s="24"/>
    </row>
    <row r="813" customFormat="false" ht="15" hidden="false" customHeight="false" outlineLevel="0" collapsed="false">
      <c r="A813" s="27"/>
      <c r="B813" s="24"/>
      <c r="C813" s="24"/>
      <c r="D813" s="24"/>
      <c r="E813" s="24"/>
      <c r="F813" s="28"/>
      <c r="G813" s="24"/>
    </row>
    <row r="814" customFormat="false" ht="15" hidden="false" customHeight="false" outlineLevel="0" collapsed="false">
      <c r="A814" s="27"/>
      <c r="B814" s="24"/>
      <c r="C814" s="24"/>
      <c r="D814" s="24"/>
      <c r="E814" s="24"/>
      <c r="F814" s="28"/>
      <c r="G814" s="24"/>
    </row>
    <row r="815" customFormat="false" ht="15" hidden="false" customHeight="false" outlineLevel="0" collapsed="false">
      <c r="A815" s="27"/>
      <c r="B815" s="24"/>
      <c r="C815" s="24"/>
      <c r="D815" s="24"/>
      <c r="E815" s="24"/>
      <c r="F815" s="28"/>
      <c r="G815" s="24"/>
    </row>
    <row r="816" customFormat="false" ht="15" hidden="false" customHeight="false" outlineLevel="0" collapsed="false">
      <c r="A816" s="27"/>
      <c r="B816" s="24"/>
      <c r="C816" s="24"/>
      <c r="D816" s="24"/>
      <c r="E816" s="24"/>
      <c r="F816" s="28"/>
      <c r="G816" s="24"/>
    </row>
    <row r="817" customFormat="false" ht="15" hidden="false" customHeight="false" outlineLevel="0" collapsed="false">
      <c r="A817" s="27"/>
      <c r="B817" s="24"/>
      <c r="C817" s="24"/>
      <c r="D817" s="24"/>
      <c r="E817" s="24"/>
      <c r="F817" s="28"/>
      <c r="G817" s="24"/>
    </row>
    <row r="818" customFormat="false" ht="15" hidden="false" customHeight="false" outlineLevel="0" collapsed="false">
      <c r="A818" s="27"/>
      <c r="B818" s="24"/>
      <c r="C818" s="24"/>
      <c r="D818" s="24"/>
      <c r="E818" s="24"/>
      <c r="F818" s="28"/>
      <c r="G818" s="24"/>
    </row>
    <row r="819" customFormat="false" ht="15" hidden="false" customHeight="false" outlineLevel="0" collapsed="false">
      <c r="A819" s="27"/>
      <c r="B819" s="24"/>
      <c r="C819" s="24"/>
      <c r="D819" s="24"/>
      <c r="E819" s="24"/>
      <c r="F819" s="28"/>
      <c r="G819" s="24"/>
    </row>
    <row r="820" customFormat="false" ht="15" hidden="false" customHeight="false" outlineLevel="0" collapsed="false">
      <c r="A820" s="27"/>
      <c r="B820" s="24"/>
      <c r="C820" s="24"/>
      <c r="D820" s="24"/>
      <c r="E820" s="24"/>
      <c r="F820" s="28"/>
      <c r="G820" s="24"/>
    </row>
    <row r="821" customFormat="false" ht="15" hidden="false" customHeight="false" outlineLevel="0" collapsed="false">
      <c r="A821" s="27"/>
      <c r="B821" s="24"/>
      <c r="C821" s="24"/>
      <c r="D821" s="24"/>
      <c r="E821" s="24"/>
      <c r="F821" s="28"/>
      <c r="G821" s="24"/>
    </row>
    <row r="822" customFormat="false" ht="15" hidden="false" customHeight="false" outlineLevel="0" collapsed="false">
      <c r="A822" s="27"/>
      <c r="B822" s="24"/>
      <c r="C822" s="24"/>
      <c r="D822" s="24"/>
      <c r="E822" s="24"/>
      <c r="F822" s="28"/>
      <c r="G822" s="24"/>
    </row>
    <row r="823" customFormat="false" ht="15" hidden="false" customHeight="false" outlineLevel="0" collapsed="false">
      <c r="A823" s="27"/>
      <c r="B823" s="24"/>
      <c r="C823" s="24"/>
      <c r="D823" s="24"/>
      <c r="E823" s="24"/>
      <c r="F823" s="28"/>
      <c r="G823" s="24"/>
    </row>
    <row r="824" customFormat="false" ht="15" hidden="false" customHeight="false" outlineLevel="0" collapsed="false">
      <c r="A824" s="27"/>
      <c r="B824" s="24"/>
      <c r="C824" s="24"/>
      <c r="D824" s="24"/>
      <c r="E824" s="24"/>
      <c r="F824" s="28"/>
      <c r="G824" s="24"/>
    </row>
    <row r="825" customFormat="false" ht="15" hidden="false" customHeight="false" outlineLevel="0" collapsed="false">
      <c r="A825" s="27"/>
      <c r="B825" s="24"/>
      <c r="C825" s="24"/>
      <c r="D825" s="24"/>
      <c r="E825" s="24"/>
      <c r="F825" s="28"/>
      <c r="G825" s="24"/>
    </row>
    <row r="826" customFormat="false" ht="15" hidden="false" customHeight="false" outlineLevel="0" collapsed="false">
      <c r="A826" s="27"/>
      <c r="B826" s="24"/>
      <c r="C826" s="24"/>
      <c r="D826" s="24"/>
      <c r="E826" s="24"/>
      <c r="F826" s="28"/>
      <c r="G826" s="24"/>
    </row>
    <row r="827" customFormat="false" ht="15" hidden="false" customHeight="false" outlineLevel="0" collapsed="false">
      <c r="A827" s="27"/>
      <c r="B827" s="24"/>
      <c r="C827" s="24"/>
      <c r="D827" s="24"/>
      <c r="E827" s="24"/>
      <c r="F827" s="28"/>
      <c r="G827" s="24"/>
    </row>
    <row r="828" customFormat="false" ht="15" hidden="false" customHeight="false" outlineLevel="0" collapsed="false">
      <c r="A828" s="27"/>
      <c r="B828" s="24"/>
      <c r="C828" s="24"/>
      <c r="D828" s="24"/>
      <c r="E828" s="24"/>
      <c r="F828" s="28"/>
      <c r="G828" s="24"/>
    </row>
    <row r="829" customFormat="false" ht="15" hidden="false" customHeight="false" outlineLevel="0" collapsed="false">
      <c r="A829" s="27"/>
      <c r="B829" s="24"/>
      <c r="C829" s="24"/>
      <c r="D829" s="24"/>
      <c r="E829" s="24"/>
      <c r="F829" s="28"/>
      <c r="G829" s="24"/>
    </row>
    <row r="830" customFormat="false" ht="15" hidden="false" customHeight="false" outlineLevel="0" collapsed="false">
      <c r="A830" s="27"/>
      <c r="B830" s="24"/>
      <c r="C830" s="24"/>
      <c r="D830" s="24"/>
      <c r="E830" s="24"/>
      <c r="F830" s="28"/>
      <c r="G830" s="24"/>
    </row>
    <row r="831" customFormat="false" ht="15" hidden="false" customHeight="false" outlineLevel="0" collapsed="false">
      <c r="A831" s="27"/>
      <c r="B831" s="24"/>
      <c r="C831" s="24"/>
      <c r="D831" s="24"/>
      <c r="E831" s="24"/>
      <c r="F831" s="28"/>
      <c r="G831" s="24"/>
    </row>
    <row r="832" customFormat="false" ht="15" hidden="false" customHeight="false" outlineLevel="0" collapsed="false">
      <c r="A832" s="27"/>
      <c r="B832" s="24"/>
      <c r="C832" s="24"/>
      <c r="D832" s="24"/>
      <c r="E832" s="24"/>
      <c r="F832" s="28"/>
      <c r="G832" s="24"/>
    </row>
    <row r="833" customFormat="false" ht="15" hidden="false" customHeight="false" outlineLevel="0" collapsed="false">
      <c r="A833" s="27"/>
      <c r="B833" s="24"/>
      <c r="C833" s="24"/>
      <c r="D833" s="24"/>
      <c r="E833" s="24"/>
      <c r="F833" s="28"/>
      <c r="G833" s="24"/>
    </row>
    <row r="834" customFormat="false" ht="15" hidden="false" customHeight="false" outlineLevel="0" collapsed="false">
      <c r="A834" s="27"/>
      <c r="B834" s="24"/>
      <c r="C834" s="24"/>
      <c r="D834" s="24"/>
      <c r="E834" s="24"/>
      <c r="F834" s="28"/>
      <c r="G834" s="24"/>
    </row>
    <row r="835" customFormat="false" ht="15" hidden="false" customHeight="false" outlineLevel="0" collapsed="false">
      <c r="A835" s="27"/>
      <c r="B835" s="24"/>
      <c r="C835" s="24"/>
      <c r="D835" s="24"/>
      <c r="E835" s="24"/>
      <c r="F835" s="28"/>
      <c r="G835" s="24"/>
    </row>
    <row r="836" customFormat="false" ht="15" hidden="false" customHeight="false" outlineLevel="0" collapsed="false">
      <c r="A836" s="27"/>
      <c r="B836" s="24"/>
      <c r="C836" s="24"/>
      <c r="D836" s="24"/>
      <c r="E836" s="24"/>
      <c r="F836" s="28"/>
      <c r="G836" s="24"/>
    </row>
    <row r="837" customFormat="false" ht="15" hidden="false" customHeight="false" outlineLevel="0" collapsed="false">
      <c r="A837" s="27"/>
      <c r="B837" s="24"/>
      <c r="C837" s="24"/>
      <c r="D837" s="24"/>
      <c r="E837" s="24"/>
      <c r="F837" s="28"/>
      <c r="G837" s="24"/>
    </row>
    <row r="838" customFormat="false" ht="15" hidden="false" customHeight="false" outlineLevel="0" collapsed="false">
      <c r="A838" s="27"/>
      <c r="B838" s="24"/>
      <c r="C838" s="24"/>
      <c r="D838" s="24"/>
      <c r="E838" s="24"/>
      <c r="F838" s="28"/>
      <c r="G838" s="24"/>
    </row>
    <row r="839" customFormat="false" ht="15" hidden="false" customHeight="false" outlineLevel="0" collapsed="false">
      <c r="A839" s="27"/>
      <c r="B839" s="24"/>
      <c r="C839" s="24"/>
      <c r="D839" s="24"/>
      <c r="E839" s="24"/>
      <c r="F839" s="28"/>
      <c r="G839" s="24"/>
    </row>
    <row r="840" customFormat="false" ht="15" hidden="false" customHeight="false" outlineLevel="0" collapsed="false">
      <c r="A840" s="27"/>
      <c r="B840" s="24"/>
      <c r="C840" s="24"/>
      <c r="D840" s="24"/>
      <c r="E840" s="24"/>
      <c r="F840" s="28"/>
      <c r="G840" s="24"/>
    </row>
    <row r="841" customFormat="false" ht="15" hidden="false" customHeight="false" outlineLevel="0" collapsed="false">
      <c r="A841" s="27"/>
      <c r="B841" s="24"/>
      <c r="C841" s="24"/>
      <c r="D841" s="24"/>
      <c r="E841" s="24"/>
      <c r="F841" s="28"/>
      <c r="G841" s="24"/>
    </row>
    <row r="842" customFormat="false" ht="15" hidden="false" customHeight="false" outlineLevel="0" collapsed="false">
      <c r="A842" s="27"/>
      <c r="B842" s="24"/>
      <c r="C842" s="24"/>
      <c r="D842" s="24"/>
      <c r="E842" s="24"/>
      <c r="F842" s="28"/>
      <c r="G842" s="24"/>
    </row>
    <row r="843" customFormat="false" ht="15" hidden="false" customHeight="false" outlineLevel="0" collapsed="false">
      <c r="A843" s="27"/>
      <c r="B843" s="24"/>
      <c r="C843" s="24"/>
      <c r="D843" s="24"/>
      <c r="E843" s="24"/>
      <c r="F843" s="28"/>
      <c r="G843" s="24"/>
    </row>
    <row r="844" customFormat="false" ht="15" hidden="false" customHeight="false" outlineLevel="0" collapsed="false">
      <c r="A844" s="27"/>
      <c r="B844" s="24"/>
      <c r="C844" s="24"/>
      <c r="D844" s="24"/>
      <c r="E844" s="24"/>
      <c r="F844" s="28"/>
      <c r="G844" s="24"/>
    </row>
    <row r="845" customFormat="false" ht="15" hidden="false" customHeight="false" outlineLevel="0" collapsed="false">
      <c r="A845" s="27"/>
      <c r="B845" s="24"/>
      <c r="C845" s="24"/>
      <c r="D845" s="24"/>
      <c r="E845" s="24"/>
      <c r="F845" s="28"/>
      <c r="G845" s="24"/>
    </row>
    <row r="846" customFormat="false" ht="15" hidden="false" customHeight="false" outlineLevel="0" collapsed="false">
      <c r="A846" s="27"/>
      <c r="B846" s="24"/>
      <c r="C846" s="24"/>
      <c r="D846" s="24"/>
      <c r="E846" s="24"/>
      <c r="F846" s="28"/>
      <c r="G846" s="24"/>
    </row>
    <row r="847" customFormat="false" ht="15" hidden="false" customHeight="false" outlineLevel="0" collapsed="false">
      <c r="A847" s="27"/>
      <c r="B847" s="24"/>
      <c r="C847" s="24"/>
      <c r="D847" s="24"/>
      <c r="E847" s="24"/>
      <c r="F847" s="28"/>
      <c r="G847" s="24"/>
    </row>
    <row r="848" customFormat="false" ht="15" hidden="false" customHeight="false" outlineLevel="0" collapsed="false">
      <c r="A848" s="27"/>
      <c r="B848" s="24"/>
      <c r="C848" s="24"/>
      <c r="D848" s="24"/>
      <c r="E848" s="24"/>
      <c r="F848" s="28"/>
      <c r="G848" s="24"/>
    </row>
    <row r="849" customFormat="false" ht="15" hidden="false" customHeight="false" outlineLevel="0" collapsed="false">
      <c r="A849" s="27"/>
      <c r="B849" s="24"/>
      <c r="C849" s="24"/>
      <c r="D849" s="24"/>
      <c r="E849" s="24"/>
      <c r="F849" s="28"/>
      <c r="G849" s="24"/>
    </row>
    <row r="850" customFormat="false" ht="15" hidden="false" customHeight="false" outlineLevel="0" collapsed="false">
      <c r="A850" s="27"/>
      <c r="B850" s="24"/>
      <c r="C850" s="24"/>
      <c r="D850" s="24"/>
      <c r="E850" s="24"/>
      <c r="F850" s="28"/>
      <c r="G850" s="24"/>
    </row>
    <row r="851" customFormat="false" ht="15" hidden="false" customHeight="false" outlineLevel="0" collapsed="false">
      <c r="A851" s="27"/>
      <c r="B851" s="24"/>
      <c r="C851" s="24"/>
      <c r="D851" s="24"/>
      <c r="E851" s="24"/>
      <c r="F851" s="28"/>
      <c r="G851" s="24"/>
    </row>
    <row r="852" customFormat="false" ht="15" hidden="false" customHeight="false" outlineLevel="0" collapsed="false">
      <c r="A852" s="27"/>
      <c r="B852" s="24"/>
      <c r="C852" s="24"/>
      <c r="D852" s="24"/>
      <c r="E852" s="24"/>
      <c r="F852" s="28"/>
      <c r="G852" s="24"/>
    </row>
    <row r="853" customFormat="false" ht="15" hidden="false" customHeight="false" outlineLevel="0" collapsed="false">
      <c r="A853" s="27"/>
      <c r="B853" s="24"/>
      <c r="C853" s="24"/>
      <c r="D853" s="24"/>
      <c r="E853" s="24"/>
      <c r="F853" s="28"/>
      <c r="G853" s="24"/>
    </row>
    <row r="854" customFormat="false" ht="15" hidden="false" customHeight="false" outlineLevel="0" collapsed="false">
      <c r="A854" s="27"/>
      <c r="B854" s="24"/>
      <c r="C854" s="24"/>
      <c r="D854" s="24"/>
      <c r="E854" s="24"/>
      <c r="F854" s="28"/>
      <c r="G854" s="24"/>
    </row>
    <row r="855" customFormat="false" ht="15" hidden="false" customHeight="false" outlineLevel="0" collapsed="false">
      <c r="A855" s="27"/>
      <c r="B855" s="24"/>
      <c r="C855" s="24"/>
      <c r="D855" s="24"/>
      <c r="E855" s="24"/>
      <c r="F855" s="28"/>
      <c r="G855" s="24"/>
    </row>
    <row r="856" customFormat="false" ht="15" hidden="false" customHeight="false" outlineLevel="0" collapsed="false">
      <c r="A856" s="27"/>
      <c r="B856" s="24"/>
      <c r="C856" s="24"/>
      <c r="D856" s="24"/>
      <c r="E856" s="24"/>
      <c r="F856" s="28"/>
      <c r="G856" s="24"/>
    </row>
    <row r="857" customFormat="false" ht="15" hidden="false" customHeight="false" outlineLevel="0" collapsed="false">
      <c r="A857" s="27"/>
      <c r="B857" s="24"/>
      <c r="C857" s="24"/>
      <c r="D857" s="24"/>
      <c r="E857" s="24"/>
      <c r="F857" s="28"/>
      <c r="G857" s="24"/>
    </row>
    <row r="858" customFormat="false" ht="15" hidden="false" customHeight="false" outlineLevel="0" collapsed="false">
      <c r="A858" s="27"/>
      <c r="B858" s="24"/>
      <c r="C858" s="24"/>
      <c r="D858" s="24"/>
      <c r="E858" s="24"/>
      <c r="F858" s="28"/>
      <c r="G858" s="24"/>
    </row>
    <row r="859" customFormat="false" ht="15" hidden="false" customHeight="false" outlineLevel="0" collapsed="false">
      <c r="A859" s="27"/>
      <c r="B859" s="24"/>
      <c r="C859" s="24"/>
      <c r="D859" s="24"/>
      <c r="E859" s="24"/>
      <c r="F859" s="28"/>
      <c r="G859" s="24"/>
    </row>
    <row r="860" customFormat="false" ht="15" hidden="false" customHeight="false" outlineLevel="0" collapsed="false">
      <c r="A860" s="27"/>
      <c r="B860" s="24"/>
      <c r="C860" s="24"/>
      <c r="D860" s="24"/>
      <c r="E860" s="24"/>
      <c r="F860" s="28"/>
      <c r="G860" s="24"/>
    </row>
    <row r="861" customFormat="false" ht="15" hidden="false" customHeight="false" outlineLevel="0" collapsed="false">
      <c r="A861" s="27"/>
      <c r="B861" s="24"/>
      <c r="C861" s="24"/>
      <c r="D861" s="24"/>
      <c r="E861" s="24"/>
      <c r="F861" s="28"/>
      <c r="G861" s="24"/>
    </row>
    <row r="862" customFormat="false" ht="15" hidden="false" customHeight="false" outlineLevel="0" collapsed="false">
      <c r="A862" s="27"/>
      <c r="B862" s="24"/>
      <c r="C862" s="24"/>
      <c r="D862" s="24"/>
      <c r="E862" s="24"/>
      <c r="F862" s="28"/>
      <c r="G862" s="24"/>
    </row>
    <row r="863" customFormat="false" ht="15" hidden="false" customHeight="false" outlineLevel="0" collapsed="false">
      <c r="A863" s="27"/>
      <c r="B863" s="24"/>
      <c r="C863" s="24"/>
      <c r="D863" s="24"/>
      <c r="E863" s="24"/>
      <c r="F863" s="28"/>
      <c r="G863" s="24"/>
    </row>
    <row r="864" customFormat="false" ht="15" hidden="false" customHeight="false" outlineLevel="0" collapsed="false">
      <c r="A864" s="27"/>
      <c r="B864" s="24"/>
      <c r="C864" s="24"/>
      <c r="D864" s="24"/>
      <c r="E864" s="24"/>
      <c r="F864" s="28"/>
      <c r="G864" s="24"/>
    </row>
    <row r="865" customFormat="false" ht="15" hidden="false" customHeight="false" outlineLevel="0" collapsed="false">
      <c r="A865" s="27"/>
      <c r="B865" s="24"/>
      <c r="C865" s="24"/>
      <c r="D865" s="24"/>
      <c r="E865" s="24"/>
      <c r="F865" s="28"/>
      <c r="G865" s="24"/>
    </row>
    <row r="866" customFormat="false" ht="15" hidden="false" customHeight="false" outlineLevel="0" collapsed="false">
      <c r="A866" s="27"/>
      <c r="B866" s="24"/>
      <c r="C866" s="24"/>
      <c r="D866" s="24"/>
      <c r="E866" s="24"/>
      <c r="F866" s="28"/>
      <c r="G866" s="24"/>
    </row>
    <row r="867" customFormat="false" ht="15" hidden="false" customHeight="false" outlineLevel="0" collapsed="false">
      <c r="A867" s="27"/>
      <c r="B867" s="24"/>
      <c r="C867" s="24"/>
      <c r="D867" s="24"/>
      <c r="E867" s="24"/>
      <c r="F867" s="28"/>
      <c r="G867" s="24"/>
    </row>
    <row r="868" customFormat="false" ht="15" hidden="false" customHeight="false" outlineLevel="0" collapsed="false">
      <c r="A868" s="27"/>
      <c r="B868" s="24"/>
      <c r="C868" s="24"/>
      <c r="D868" s="24"/>
      <c r="E868" s="24"/>
      <c r="F868" s="28"/>
      <c r="G868" s="24"/>
    </row>
    <row r="869" customFormat="false" ht="15" hidden="false" customHeight="false" outlineLevel="0" collapsed="false">
      <c r="A869" s="27"/>
      <c r="B869" s="24"/>
      <c r="C869" s="24"/>
      <c r="D869" s="24"/>
      <c r="E869" s="24"/>
      <c r="F869" s="28"/>
      <c r="G869" s="24"/>
    </row>
    <row r="870" customFormat="false" ht="15" hidden="false" customHeight="false" outlineLevel="0" collapsed="false">
      <c r="A870" s="27"/>
      <c r="B870" s="24"/>
      <c r="C870" s="24"/>
      <c r="D870" s="24"/>
      <c r="E870" s="24"/>
      <c r="F870" s="28"/>
      <c r="G870" s="24"/>
    </row>
    <row r="871" customFormat="false" ht="15" hidden="false" customHeight="false" outlineLevel="0" collapsed="false">
      <c r="A871" s="27"/>
      <c r="B871" s="24"/>
      <c r="C871" s="24"/>
      <c r="D871" s="24"/>
      <c r="E871" s="24"/>
      <c r="F871" s="28"/>
      <c r="G871" s="24"/>
    </row>
    <row r="872" customFormat="false" ht="15" hidden="false" customHeight="false" outlineLevel="0" collapsed="false">
      <c r="A872" s="27"/>
      <c r="B872" s="24"/>
      <c r="C872" s="24"/>
      <c r="D872" s="24"/>
      <c r="E872" s="24"/>
      <c r="F872" s="28"/>
      <c r="G872" s="24"/>
    </row>
    <row r="873" customFormat="false" ht="15" hidden="false" customHeight="false" outlineLevel="0" collapsed="false">
      <c r="A873" s="27"/>
      <c r="B873" s="24"/>
      <c r="C873" s="24"/>
      <c r="D873" s="24"/>
      <c r="E873" s="24"/>
      <c r="F873" s="28"/>
      <c r="G873" s="24"/>
    </row>
    <row r="874" customFormat="false" ht="15" hidden="false" customHeight="false" outlineLevel="0" collapsed="false">
      <c r="A874" s="27"/>
      <c r="B874" s="24"/>
      <c r="C874" s="24"/>
      <c r="D874" s="24"/>
      <c r="E874" s="24"/>
      <c r="F874" s="28"/>
      <c r="G874" s="24"/>
    </row>
    <row r="875" customFormat="false" ht="15" hidden="false" customHeight="false" outlineLevel="0" collapsed="false">
      <c r="A875" s="27"/>
      <c r="B875" s="24"/>
      <c r="C875" s="24"/>
      <c r="D875" s="24"/>
      <c r="E875" s="24"/>
      <c r="F875" s="28"/>
      <c r="G875" s="24"/>
    </row>
    <row r="876" customFormat="false" ht="15" hidden="false" customHeight="false" outlineLevel="0" collapsed="false">
      <c r="A876" s="27"/>
      <c r="B876" s="24"/>
      <c r="C876" s="24"/>
      <c r="D876" s="24"/>
      <c r="E876" s="24"/>
      <c r="F876" s="28"/>
      <c r="G876" s="24"/>
    </row>
    <row r="877" customFormat="false" ht="15" hidden="false" customHeight="false" outlineLevel="0" collapsed="false">
      <c r="A877" s="27"/>
      <c r="B877" s="24"/>
      <c r="C877" s="24"/>
      <c r="D877" s="24"/>
      <c r="E877" s="24"/>
      <c r="F877" s="28"/>
      <c r="G877" s="24"/>
    </row>
    <row r="878" customFormat="false" ht="15" hidden="false" customHeight="false" outlineLevel="0" collapsed="false">
      <c r="A878" s="27"/>
      <c r="B878" s="24"/>
      <c r="C878" s="24"/>
      <c r="D878" s="24"/>
      <c r="E878" s="24"/>
      <c r="F878" s="28"/>
      <c r="G878" s="24"/>
    </row>
    <row r="879" customFormat="false" ht="15" hidden="false" customHeight="false" outlineLevel="0" collapsed="false">
      <c r="A879" s="27"/>
      <c r="B879" s="24"/>
      <c r="C879" s="24"/>
      <c r="D879" s="24"/>
      <c r="E879" s="24"/>
      <c r="F879" s="28"/>
      <c r="G879" s="24"/>
    </row>
    <row r="880" customFormat="false" ht="15" hidden="false" customHeight="false" outlineLevel="0" collapsed="false">
      <c r="A880" s="27"/>
      <c r="B880" s="24"/>
      <c r="C880" s="24"/>
      <c r="D880" s="24"/>
      <c r="E880" s="24"/>
      <c r="F880" s="28"/>
      <c r="G880" s="24"/>
    </row>
    <row r="881" customFormat="false" ht="15" hidden="false" customHeight="false" outlineLevel="0" collapsed="false">
      <c r="A881" s="27"/>
      <c r="B881" s="24"/>
      <c r="C881" s="24"/>
      <c r="D881" s="24"/>
      <c r="E881" s="24"/>
      <c r="F881" s="28"/>
      <c r="G881" s="24"/>
    </row>
    <row r="882" customFormat="false" ht="15" hidden="false" customHeight="false" outlineLevel="0" collapsed="false">
      <c r="A882" s="27"/>
      <c r="B882" s="24"/>
      <c r="C882" s="24"/>
      <c r="D882" s="24"/>
      <c r="E882" s="24"/>
      <c r="F882" s="28"/>
      <c r="G882" s="24"/>
    </row>
    <row r="883" customFormat="false" ht="15" hidden="false" customHeight="false" outlineLevel="0" collapsed="false">
      <c r="A883" s="27"/>
      <c r="B883" s="24"/>
      <c r="C883" s="24"/>
      <c r="D883" s="24"/>
      <c r="E883" s="24"/>
      <c r="F883" s="28"/>
      <c r="G883" s="24"/>
    </row>
    <row r="884" customFormat="false" ht="15" hidden="false" customHeight="false" outlineLevel="0" collapsed="false">
      <c r="A884" s="27"/>
      <c r="B884" s="24"/>
      <c r="C884" s="24"/>
      <c r="D884" s="24"/>
      <c r="E884" s="24"/>
      <c r="F884" s="28"/>
      <c r="G884" s="24"/>
    </row>
    <row r="885" customFormat="false" ht="15" hidden="false" customHeight="false" outlineLevel="0" collapsed="false">
      <c r="A885" s="27"/>
      <c r="B885" s="24"/>
      <c r="C885" s="24"/>
      <c r="D885" s="24"/>
      <c r="E885" s="24"/>
      <c r="F885" s="28"/>
      <c r="G885" s="24"/>
    </row>
    <row r="886" customFormat="false" ht="15" hidden="false" customHeight="false" outlineLevel="0" collapsed="false">
      <c r="A886" s="27"/>
      <c r="B886" s="24"/>
      <c r="C886" s="24"/>
      <c r="D886" s="24"/>
      <c r="E886" s="24"/>
      <c r="F886" s="28"/>
      <c r="G886" s="24"/>
    </row>
    <row r="887" customFormat="false" ht="15" hidden="false" customHeight="false" outlineLevel="0" collapsed="false">
      <c r="A887" s="27"/>
      <c r="B887" s="24"/>
      <c r="C887" s="24"/>
      <c r="D887" s="24"/>
      <c r="E887" s="24"/>
      <c r="F887" s="28"/>
      <c r="G887" s="24"/>
    </row>
    <row r="888" customFormat="false" ht="15" hidden="false" customHeight="false" outlineLevel="0" collapsed="false">
      <c r="A888" s="27"/>
      <c r="B888" s="24"/>
      <c r="C888" s="24"/>
      <c r="D888" s="24"/>
      <c r="E888" s="24"/>
      <c r="F888" s="28"/>
      <c r="G888" s="24"/>
    </row>
    <row r="889" customFormat="false" ht="15" hidden="false" customHeight="false" outlineLevel="0" collapsed="false">
      <c r="A889" s="27"/>
      <c r="B889" s="24"/>
      <c r="C889" s="24"/>
      <c r="D889" s="24"/>
      <c r="E889" s="24"/>
      <c r="F889" s="28"/>
      <c r="G889" s="24"/>
    </row>
    <row r="890" customFormat="false" ht="15" hidden="false" customHeight="false" outlineLevel="0" collapsed="false">
      <c r="A890" s="27"/>
      <c r="B890" s="24"/>
      <c r="C890" s="24"/>
      <c r="D890" s="24"/>
      <c r="E890" s="24"/>
      <c r="F890" s="28"/>
      <c r="G890" s="24"/>
    </row>
    <row r="891" customFormat="false" ht="15" hidden="false" customHeight="false" outlineLevel="0" collapsed="false">
      <c r="A891" s="27"/>
      <c r="B891" s="24"/>
      <c r="C891" s="24"/>
      <c r="D891" s="24"/>
      <c r="E891" s="24"/>
      <c r="F891" s="28"/>
      <c r="G891" s="24"/>
    </row>
    <row r="892" customFormat="false" ht="15" hidden="false" customHeight="false" outlineLevel="0" collapsed="false">
      <c r="A892" s="27"/>
      <c r="B892" s="24"/>
      <c r="C892" s="24"/>
      <c r="D892" s="24"/>
      <c r="E892" s="24"/>
      <c r="F892" s="28"/>
      <c r="G892" s="24"/>
    </row>
    <row r="893" customFormat="false" ht="15" hidden="false" customHeight="false" outlineLevel="0" collapsed="false">
      <c r="A893" s="27"/>
      <c r="B893" s="24"/>
      <c r="C893" s="24"/>
      <c r="D893" s="24"/>
      <c r="E893" s="24"/>
      <c r="F893" s="28"/>
      <c r="G893" s="24"/>
    </row>
    <row r="894" customFormat="false" ht="15" hidden="false" customHeight="false" outlineLevel="0" collapsed="false">
      <c r="A894" s="27"/>
      <c r="B894" s="24"/>
      <c r="C894" s="24"/>
      <c r="D894" s="24"/>
      <c r="E894" s="24"/>
      <c r="F894" s="28"/>
      <c r="G894" s="24"/>
    </row>
    <row r="895" customFormat="false" ht="15" hidden="false" customHeight="false" outlineLevel="0" collapsed="false">
      <c r="A895" s="27"/>
      <c r="B895" s="24"/>
      <c r="C895" s="24"/>
      <c r="D895" s="24"/>
      <c r="E895" s="24"/>
      <c r="F895" s="28"/>
      <c r="G895" s="24"/>
    </row>
    <row r="896" customFormat="false" ht="15" hidden="false" customHeight="false" outlineLevel="0" collapsed="false">
      <c r="A896" s="27"/>
      <c r="B896" s="24"/>
      <c r="C896" s="24"/>
      <c r="D896" s="24"/>
      <c r="E896" s="24"/>
      <c r="F896" s="28"/>
      <c r="G896" s="24"/>
    </row>
    <row r="897" customFormat="false" ht="15" hidden="false" customHeight="false" outlineLevel="0" collapsed="false">
      <c r="A897" s="27"/>
      <c r="B897" s="24"/>
      <c r="C897" s="24"/>
      <c r="D897" s="24"/>
      <c r="E897" s="24"/>
      <c r="F897" s="28"/>
      <c r="G897" s="24"/>
    </row>
    <row r="898" customFormat="false" ht="15" hidden="false" customHeight="false" outlineLevel="0" collapsed="false">
      <c r="A898" s="27"/>
      <c r="B898" s="24"/>
      <c r="C898" s="24"/>
      <c r="D898" s="24"/>
      <c r="E898" s="24"/>
      <c r="F898" s="28"/>
      <c r="G898" s="24"/>
    </row>
    <row r="899" customFormat="false" ht="15" hidden="false" customHeight="false" outlineLevel="0" collapsed="false">
      <c r="A899" s="27"/>
      <c r="B899" s="24"/>
      <c r="C899" s="24"/>
      <c r="D899" s="24"/>
      <c r="E899" s="24"/>
      <c r="F899" s="28"/>
      <c r="G899" s="24"/>
    </row>
    <row r="900" customFormat="false" ht="15" hidden="false" customHeight="false" outlineLevel="0" collapsed="false">
      <c r="A900" s="27"/>
      <c r="B900" s="24"/>
      <c r="C900" s="24"/>
      <c r="D900" s="24"/>
      <c r="E900" s="24"/>
      <c r="F900" s="28"/>
      <c r="G900" s="24"/>
    </row>
    <row r="901" customFormat="false" ht="15" hidden="false" customHeight="false" outlineLevel="0" collapsed="false">
      <c r="A901" s="27"/>
      <c r="B901" s="24"/>
      <c r="C901" s="24"/>
      <c r="D901" s="24"/>
      <c r="E901" s="24"/>
      <c r="F901" s="28"/>
      <c r="G901" s="24"/>
    </row>
    <row r="902" customFormat="false" ht="15" hidden="false" customHeight="false" outlineLevel="0" collapsed="false">
      <c r="A902" s="27"/>
      <c r="B902" s="24"/>
      <c r="C902" s="24"/>
      <c r="D902" s="24"/>
      <c r="E902" s="24"/>
      <c r="F902" s="28"/>
      <c r="G902" s="24"/>
    </row>
    <row r="903" customFormat="false" ht="15" hidden="false" customHeight="false" outlineLevel="0" collapsed="false">
      <c r="A903" s="27"/>
      <c r="B903" s="24"/>
      <c r="C903" s="24"/>
      <c r="D903" s="24"/>
      <c r="E903" s="24"/>
      <c r="F903" s="28"/>
      <c r="G903" s="24"/>
    </row>
    <row r="904" customFormat="false" ht="15" hidden="false" customHeight="false" outlineLevel="0" collapsed="false">
      <c r="A904" s="27"/>
      <c r="B904" s="24"/>
      <c r="C904" s="24"/>
      <c r="D904" s="24"/>
      <c r="E904" s="24"/>
      <c r="F904" s="28"/>
      <c r="G904" s="24"/>
    </row>
    <row r="905" customFormat="false" ht="15" hidden="false" customHeight="false" outlineLevel="0" collapsed="false">
      <c r="A905" s="27"/>
      <c r="B905" s="24"/>
      <c r="C905" s="24"/>
      <c r="D905" s="24"/>
      <c r="E905" s="24"/>
      <c r="F905" s="28"/>
      <c r="G905" s="24"/>
    </row>
    <row r="906" customFormat="false" ht="15" hidden="false" customHeight="false" outlineLevel="0" collapsed="false">
      <c r="A906" s="27"/>
      <c r="B906" s="24"/>
      <c r="C906" s="24"/>
      <c r="D906" s="24"/>
      <c r="E906" s="24"/>
      <c r="F906" s="28"/>
      <c r="G906" s="24"/>
    </row>
    <row r="907" customFormat="false" ht="15" hidden="false" customHeight="false" outlineLevel="0" collapsed="false">
      <c r="A907" s="27"/>
      <c r="B907" s="24"/>
      <c r="C907" s="24"/>
      <c r="D907" s="24"/>
      <c r="E907" s="24"/>
      <c r="F907" s="28"/>
      <c r="G907" s="24"/>
    </row>
    <row r="908" customFormat="false" ht="15" hidden="false" customHeight="false" outlineLevel="0" collapsed="false">
      <c r="A908" s="27"/>
      <c r="B908" s="24"/>
      <c r="C908" s="24"/>
      <c r="D908" s="24"/>
      <c r="E908" s="24"/>
      <c r="F908" s="28"/>
      <c r="G908" s="24"/>
    </row>
    <row r="909" customFormat="false" ht="15" hidden="false" customHeight="false" outlineLevel="0" collapsed="false">
      <c r="A909" s="27"/>
      <c r="B909" s="24"/>
      <c r="C909" s="24"/>
      <c r="D909" s="24"/>
      <c r="E909" s="24"/>
      <c r="F909" s="28"/>
      <c r="G909" s="24"/>
    </row>
    <row r="910" customFormat="false" ht="15" hidden="false" customHeight="false" outlineLevel="0" collapsed="false">
      <c r="A910" s="27"/>
      <c r="B910" s="24"/>
      <c r="C910" s="24"/>
      <c r="D910" s="24"/>
      <c r="E910" s="24"/>
      <c r="F910" s="28"/>
      <c r="G910" s="24"/>
    </row>
    <row r="911" customFormat="false" ht="15" hidden="false" customHeight="false" outlineLevel="0" collapsed="false">
      <c r="A911" s="27"/>
      <c r="B911" s="24"/>
      <c r="C911" s="24"/>
      <c r="D911" s="24"/>
      <c r="E911" s="24"/>
      <c r="F911" s="28"/>
      <c r="G911" s="24"/>
    </row>
    <row r="912" customFormat="false" ht="15" hidden="false" customHeight="false" outlineLevel="0" collapsed="false">
      <c r="A912" s="27"/>
      <c r="B912" s="24"/>
      <c r="C912" s="24"/>
      <c r="D912" s="24"/>
      <c r="E912" s="24"/>
      <c r="F912" s="28"/>
      <c r="G912" s="24"/>
    </row>
    <row r="913" customFormat="false" ht="15" hidden="false" customHeight="false" outlineLevel="0" collapsed="false">
      <c r="A913" s="27"/>
      <c r="B913" s="24"/>
      <c r="C913" s="24"/>
      <c r="D913" s="24"/>
      <c r="E913" s="24"/>
      <c r="F913" s="28"/>
      <c r="G913" s="24"/>
    </row>
    <row r="914" customFormat="false" ht="15" hidden="false" customHeight="false" outlineLevel="0" collapsed="false">
      <c r="A914" s="27"/>
      <c r="B914" s="24"/>
      <c r="C914" s="24"/>
      <c r="D914" s="24"/>
      <c r="E914" s="24"/>
      <c r="F914" s="28"/>
      <c r="G914" s="24"/>
    </row>
    <row r="915" customFormat="false" ht="15" hidden="false" customHeight="false" outlineLevel="0" collapsed="false">
      <c r="A915" s="27"/>
      <c r="B915" s="24"/>
      <c r="C915" s="24"/>
      <c r="D915" s="24"/>
      <c r="E915" s="24"/>
      <c r="F915" s="28"/>
      <c r="G915" s="24"/>
    </row>
    <row r="916" customFormat="false" ht="15" hidden="false" customHeight="false" outlineLevel="0" collapsed="false">
      <c r="A916" s="27"/>
      <c r="B916" s="24"/>
      <c r="C916" s="24"/>
      <c r="D916" s="24"/>
      <c r="E916" s="24"/>
      <c r="F916" s="28"/>
      <c r="G916" s="24"/>
    </row>
    <row r="917" customFormat="false" ht="15" hidden="false" customHeight="false" outlineLevel="0" collapsed="false">
      <c r="A917" s="27"/>
      <c r="B917" s="24"/>
      <c r="C917" s="24"/>
      <c r="D917" s="24"/>
      <c r="E917" s="24"/>
      <c r="F917" s="28"/>
      <c r="G917" s="24"/>
    </row>
    <row r="918" customFormat="false" ht="15" hidden="false" customHeight="false" outlineLevel="0" collapsed="false">
      <c r="A918" s="27"/>
      <c r="B918" s="24"/>
      <c r="C918" s="24"/>
      <c r="D918" s="24"/>
      <c r="E918" s="24"/>
      <c r="F918" s="28"/>
      <c r="G918" s="24"/>
    </row>
    <row r="919" customFormat="false" ht="15" hidden="false" customHeight="false" outlineLevel="0" collapsed="false">
      <c r="A919" s="27"/>
      <c r="B919" s="24"/>
      <c r="C919" s="24"/>
      <c r="D919" s="24"/>
      <c r="E919" s="24"/>
      <c r="F919" s="28"/>
      <c r="G919" s="24"/>
    </row>
    <row r="920" customFormat="false" ht="15" hidden="false" customHeight="false" outlineLevel="0" collapsed="false">
      <c r="A920" s="27"/>
      <c r="B920" s="24"/>
      <c r="C920" s="24"/>
      <c r="D920" s="24"/>
      <c r="E920" s="24"/>
      <c r="F920" s="28"/>
      <c r="G920" s="24"/>
    </row>
    <row r="921" customFormat="false" ht="15" hidden="false" customHeight="false" outlineLevel="0" collapsed="false">
      <c r="A921" s="27"/>
      <c r="B921" s="24"/>
      <c r="C921" s="24"/>
      <c r="D921" s="24"/>
      <c r="E921" s="24"/>
      <c r="F921" s="28"/>
      <c r="G921" s="24"/>
    </row>
    <row r="922" customFormat="false" ht="15" hidden="false" customHeight="false" outlineLevel="0" collapsed="false">
      <c r="A922" s="27"/>
      <c r="B922" s="24"/>
      <c r="C922" s="24"/>
      <c r="D922" s="24"/>
      <c r="E922" s="24"/>
      <c r="F922" s="28"/>
      <c r="G922" s="24"/>
    </row>
    <row r="923" customFormat="false" ht="15" hidden="false" customHeight="false" outlineLevel="0" collapsed="false">
      <c r="A923" s="27"/>
      <c r="B923" s="24"/>
      <c r="C923" s="24"/>
      <c r="D923" s="24"/>
      <c r="E923" s="24"/>
      <c r="F923" s="28"/>
      <c r="G923" s="24"/>
    </row>
    <row r="924" customFormat="false" ht="15" hidden="false" customHeight="false" outlineLevel="0" collapsed="false">
      <c r="A924" s="27"/>
      <c r="B924" s="24"/>
      <c r="C924" s="24"/>
      <c r="D924" s="24"/>
      <c r="E924" s="24"/>
      <c r="F924" s="28"/>
      <c r="G924" s="24"/>
    </row>
    <row r="925" customFormat="false" ht="15" hidden="false" customHeight="false" outlineLevel="0" collapsed="false">
      <c r="A925" s="27"/>
      <c r="B925" s="24"/>
      <c r="C925" s="24"/>
      <c r="D925" s="24"/>
      <c r="E925" s="24"/>
      <c r="F925" s="28"/>
      <c r="G925" s="24"/>
    </row>
    <row r="926" customFormat="false" ht="15" hidden="false" customHeight="false" outlineLevel="0" collapsed="false">
      <c r="A926" s="27"/>
      <c r="B926" s="24"/>
      <c r="C926" s="24"/>
      <c r="D926" s="24"/>
      <c r="E926" s="24"/>
      <c r="F926" s="28"/>
      <c r="G926" s="24"/>
    </row>
    <row r="927" customFormat="false" ht="15" hidden="false" customHeight="false" outlineLevel="0" collapsed="false">
      <c r="A927" s="27"/>
      <c r="B927" s="24"/>
      <c r="C927" s="24"/>
      <c r="D927" s="24"/>
      <c r="E927" s="24"/>
      <c r="F927" s="28"/>
      <c r="G927" s="24"/>
    </row>
    <row r="928" customFormat="false" ht="15" hidden="false" customHeight="false" outlineLevel="0" collapsed="false">
      <c r="A928" s="27"/>
      <c r="B928" s="24"/>
      <c r="C928" s="24"/>
      <c r="D928" s="24"/>
      <c r="E928" s="24"/>
      <c r="F928" s="28"/>
      <c r="G928" s="24"/>
    </row>
    <row r="929" customFormat="false" ht="15" hidden="false" customHeight="false" outlineLevel="0" collapsed="false">
      <c r="A929" s="27"/>
      <c r="B929" s="24"/>
      <c r="C929" s="24"/>
      <c r="D929" s="24"/>
      <c r="E929" s="24"/>
      <c r="F929" s="28"/>
      <c r="G929" s="24"/>
    </row>
    <row r="930" customFormat="false" ht="15" hidden="false" customHeight="false" outlineLevel="0" collapsed="false">
      <c r="A930" s="27"/>
      <c r="B930" s="24"/>
      <c r="C930" s="24"/>
      <c r="D930" s="24"/>
      <c r="E930" s="24"/>
      <c r="F930" s="28"/>
      <c r="G930" s="24"/>
    </row>
    <row r="931" customFormat="false" ht="15" hidden="false" customHeight="false" outlineLevel="0" collapsed="false">
      <c r="A931" s="27"/>
      <c r="B931" s="24"/>
      <c r="C931" s="24"/>
      <c r="D931" s="24"/>
      <c r="E931" s="24"/>
      <c r="F931" s="28"/>
      <c r="G931" s="24"/>
    </row>
    <row r="932" customFormat="false" ht="15" hidden="false" customHeight="false" outlineLevel="0" collapsed="false">
      <c r="A932" s="27"/>
      <c r="B932" s="24"/>
      <c r="C932" s="24"/>
      <c r="D932" s="24"/>
      <c r="E932" s="24"/>
      <c r="F932" s="28"/>
      <c r="G932" s="24"/>
    </row>
    <row r="933" customFormat="false" ht="15" hidden="false" customHeight="false" outlineLevel="0" collapsed="false">
      <c r="A933" s="27"/>
      <c r="B933" s="24"/>
      <c r="C933" s="24"/>
      <c r="D933" s="24"/>
      <c r="E933" s="24"/>
      <c r="F933" s="28"/>
      <c r="G933" s="24"/>
    </row>
    <row r="934" customFormat="false" ht="15" hidden="false" customHeight="false" outlineLevel="0" collapsed="false">
      <c r="A934" s="27"/>
      <c r="B934" s="24"/>
      <c r="C934" s="24"/>
      <c r="D934" s="24"/>
      <c r="E934" s="24"/>
      <c r="F934" s="28"/>
      <c r="G934" s="24"/>
    </row>
    <row r="935" customFormat="false" ht="15" hidden="false" customHeight="false" outlineLevel="0" collapsed="false">
      <c r="A935" s="27"/>
      <c r="B935" s="24"/>
      <c r="C935" s="24"/>
      <c r="D935" s="24"/>
      <c r="E935" s="24"/>
      <c r="F935" s="28"/>
      <c r="G935" s="24"/>
    </row>
    <row r="936" customFormat="false" ht="15" hidden="false" customHeight="false" outlineLevel="0" collapsed="false">
      <c r="A936" s="27"/>
      <c r="B936" s="24"/>
      <c r="C936" s="24"/>
      <c r="D936" s="24"/>
      <c r="E936" s="24"/>
      <c r="F936" s="28"/>
      <c r="G936" s="24"/>
    </row>
    <row r="937" customFormat="false" ht="15" hidden="false" customHeight="false" outlineLevel="0" collapsed="false">
      <c r="A937" s="27"/>
      <c r="B937" s="24"/>
      <c r="C937" s="24"/>
      <c r="D937" s="24"/>
      <c r="E937" s="24"/>
      <c r="F937" s="28"/>
      <c r="G937" s="24"/>
    </row>
    <row r="938" customFormat="false" ht="15" hidden="false" customHeight="false" outlineLevel="0" collapsed="false">
      <c r="A938" s="27"/>
      <c r="B938" s="24"/>
      <c r="C938" s="24"/>
      <c r="D938" s="24"/>
      <c r="E938" s="24"/>
      <c r="F938" s="28"/>
      <c r="G938" s="24"/>
    </row>
    <row r="939" customFormat="false" ht="15" hidden="false" customHeight="false" outlineLevel="0" collapsed="false">
      <c r="A939" s="27"/>
      <c r="B939" s="24"/>
      <c r="C939" s="24"/>
      <c r="D939" s="24"/>
      <c r="E939" s="24"/>
      <c r="F939" s="28"/>
      <c r="G939" s="24"/>
    </row>
    <row r="940" customFormat="false" ht="15" hidden="false" customHeight="false" outlineLevel="0" collapsed="false">
      <c r="A940" s="27"/>
      <c r="B940" s="24"/>
      <c r="C940" s="24"/>
      <c r="D940" s="24"/>
      <c r="E940" s="24"/>
      <c r="F940" s="28"/>
      <c r="G940" s="24"/>
    </row>
    <row r="941" customFormat="false" ht="15" hidden="false" customHeight="false" outlineLevel="0" collapsed="false">
      <c r="A941" s="27"/>
      <c r="B941" s="24"/>
      <c r="C941" s="24"/>
      <c r="D941" s="24"/>
      <c r="E941" s="24"/>
      <c r="F941" s="28"/>
      <c r="G941" s="24"/>
    </row>
    <row r="942" customFormat="false" ht="15" hidden="false" customHeight="false" outlineLevel="0" collapsed="false">
      <c r="A942" s="27"/>
      <c r="B942" s="24"/>
      <c r="C942" s="24"/>
      <c r="D942" s="24"/>
      <c r="E942" s="24"/>
      <c r="F942" s="28"/>
      <c r="G942" s="24"/>
    </row>
    <row r="943" customFormat="false" ht="15" hidden="false" customHeight="false" outlineLevel="0" collapsed="false">
      <c r="A943" s="27"/>
      <c r="B943" s="24"/>
      <c r="C943" s="24"/>
      <c r="D943" s="24"/>
      <c r="E943" s="24"/>
      <c r="F943" s="28"/>
      <c r="G943" s="24"/>
    </row>
    <row r="944" customFormat="false" ht="15" hidden="false" customHeight="false" outlineLevel="0" collapsed="false">
      <c r="A944" s="27"/>
      <c r="B944" s="24"/>
      <c r="C944" s="24"/>
      <c r="D944" s="24"/>
      <c r="E944" s="24"/>
      <c r="F944" s="28"/>
      <c r="G944" s="24"/>
    </row>
    <row r="945" customFormat="false" ht="15" hidden="false" customHeight="false" outlineLevel="0" collapsed="false">
      <c r="A945" s="27"/>
      <c r="B945" s="24"/>
      <c r="C945" s="24"/>
      <c r="D945" s="24"/>
      <c r="E945" s="24"/>
      <c r="F945" s="28"/>
      <c r="G945" s="24"/>
    </row>
    <row r="946" customFormat="false" ht="15" hidden="false" customHeight="false" outlineLevel="0" collapsed="false">
      <c r="A946" s="27"/>
      <c r="B946" s="24"/>
      <c r="C946" s="24"/>
      <c r="D946" s="24"/>
      <c r="E946" s="24"/>
      <c r="F946" s="28"/>
      <c r="G946" s="24"/>
    </row>
    <row r="947" customFormat="false" ht="15" hidden="false" customHeight="false" outlineLevel="0" collapsed="false">
      <c r="A947" s="27"/>
      <c r="B947" s="24"/>
      <c r="C947" s="24"/>
      <c r="D947" s="24"/>
      <c r="E947" s="24"/>
      <c r="F947" s="28"/>
      <c r="G947" s="24"/>
    </row>
    <row r="948" customFormat="false" ht="15" hidden="false" customHeight="false" outlineLevel="0" collapsed="false">
      <c r="A948" s="27"/>
      <c r="B948" s="24"/>
      <c r="C948" s="24"/>
      <c r="D948" s="24"/>
      <c r="E948" s="24"/>
      <c r="F948" s="28"/>
      <c r="G948" s="24"/>
    </row>
    <row r="949" customFormat="false" ht="15" hidden="false" customHeight="false" outlineLevel="0" collapsed="false">
      <c r="A949" s="27"/>
      <c r="B949" s="24"/>
      <c r="C949" s="24"/>
      <c r="D949" s="24"/>
      <c r="E949" s="24"/>
      <c r="F949" s="28"/>
      <c r="G949" s="24"/>
    </row>
    <row r="950" customFormat="false" ht="15" hidden="false" customHeight="false" outlineLevel="0" collapsed="false">
      <c r="A950" s="27"/>
      <c r="B950" s="24"/>
      <c r="C950" s="24"/>
      <c r="D950" s="24"/>
      <c r="E950" s="24"/>
      <c r="F950" s="28"/>
      <c r="G950" s="24"/>
    </row>
    <row r="951" customFormat="false" ht="15" hidden="false" customHeight="false" outlineLevel="0" collapsed="false">
      <c r="A951" s="27"/>
      <c r="B951" s="24"/>
      <c r="C951" s="24"/>
      <c r="D951" s="24"/>
      <c r="E951" s="24"/>
      <c r="F951" s="28"/>
      <c r="G951" s="24"/>
    </row>
    <row r="952" customFormat="false" ht="15" hidden="false" customHeight="false" outlineLevel="0" collapsed="false">
      <c r="A952" s="27"/>
      <c r="B952" s="24"/>
      <c r="C952" s="24"/>
      <c r="D952" s="24"/>
      <c r="E952" s="24"/>
      <c r="F952" s="28"/>
      <c r="G952" s="24"/>
    </row>
    <row r="953" customFormat="false" ht="15" hidden="false" customHeight="false" outlineLevel="0" collapsed="false">
      <c r="A953" s="27"/>
      <c r="B953" s="24"/>
      <c r="C953" s="24"/>
      <c r="D953" s="24"/>
      <c r="E953" s="24"/>
      <c r="F953" s="28"/>
      <c r="G953" s="24"/>
    </row>
    <row r="954" customFormat="false" ht="15" hidden="false" customHeight="false" outlineLevel="0" collapsed="false">
      <c r="A954" s="27"/>
      <c r="B954" s="24"/>
      <c r="C954" s="24"/>
      <c r="D954" s="24"/>
      <c r="E954" s="24"/>
      <c r="F954" s="28"/>
      <c r="G954" s="24"/>
    </row>
    <row r="955" customFormat="false" ht="15" hidden="false" customHeight="false" outlineLevel="0" collapsed="false">
      <c r="A955" s="27"/>
      <c r="B955" s="24"/>
      <c r="C955" s="24"/>
      <c r="D955" s="24"/>
      <c r="E955" s="24"/>
      <c r="F955" s="28"/>
      <c r="G955" s="24"/>
    </row>
    <row r="956" customFormat="false" ht="15" hidden="false" customHeight="false" outlineLevel="0" collapsed="false">
      <c r="A956" s="27"/>
      <c r="B956" s="24"/>
      <c r="C956" s="24"/>
      <c r="D956" s="24"/>
      <c r="E956" s="24"/>
      <c r="F956" s="28"/>
      <c r="G956" s="24"/>
    </row>
    <row r="957" customFormat="false" ht="15" hidden="false" customHeight="false" outlineLevel="0" collapsed="false">
      <c r="A957" s="27"/>
      <c r="B957" s="24"/>
      <c r="C957" s="24"/>
      <c r="D957" s="24"/>
      <c r="E957" s="24"/>
      <c r="F957" s="28"/>
      <c r="G957" s="24"/>
    </row>
    <row r="958" customFormat="false" ht="15" hidden="false" customHeight="false" outlineLevel="0" collapsed="false">
      <c r="A958" s="27"/>
      <c r="B958" s="24"/>
      <c r="C958" s="24"/>
      <c r="D958" s="24"/>
      <c r="E958" s="24"/>
      <c r="F958" s="28"/>
      <c r="G958" s="24"/>
    </row>
    <row r="959" customFormat="false" ht="15" hidden="false" customHeight="false" outlineLevel="0" collapsed="false">
      <c r="A959" s="27"/>
      <c r="B959" s="24"/>
      <c r="C959" s="24"/>
      <c r="D959" s="24"/>
      <c r="E959" s="24"/>
      <c r="F959" s="28"/>
      <c r="G959" s="24"/>
    </row>
    <row r="960" customFormat="false" ht="15" hidden="false" customHeight="false" outlineLevel="0" collapsed="false">
      <c r="A960" s="27"/>
      <c r="B960" s="24"/>
      <c r="C960" s="24"/>
      <c r="D960" s="24"/>
      <c r="E960" s="24"/>
      <c r="F960" s="28"/>
      <c r="G960" s="24"/>
    </row>
    <row r="961" customFormat="false" ht="15" hidden="false" customHeight="false" outlineLevel="0" collapsed="false">
      <c r="A961" s="27"/>
      <c r="B961" s="24"/>
      <c r="C961" s="24"/>
      <c r="D961" s="24"/>
      <c r="E961" s="24"/>
      <c r="F961" s="28"/>
      <c r="G961" s="24"/>
    </row>
    <row r="962" customFormat="false" ht="15" hidden="false" customHeight="false" outlineLevel="0" collapsed="false">
      <c r="A962" s="27"/>
      <c r="B962" s="24"/>
      <c r="C962" s="24"/>
      <c r="D962" s="24"/>
      <c r="E962" s="24"/>
      <c r="F962" s="28"/>
      <c r="G962" s="24"/>
    </row>
    <row r="963" customFormat="false" ht="15" hidden="false" customHeight="false" outlineLevel="0" collapsed="false">
      <c r="A963" s="27"/>
      <c r="B963" s="24"/>
      <c r="C963" s="24"/>
      <c r="D963" s="24"/>
      <c r="E963" s="24"/>
      <c r="F963" s="28"/>
      <c r="G963" s="24"/>
    </row>
    <row r="964" customFormat="false" ht="15" hidden="false" customHeight="false" outlineLevel="0" collapsed="false">
      <c r="A964" s="27"/>
      <c r="B964" s="24"/>
      <c r="C964" s="24"/>
      <c r="D964" s="24"/>
      <c r="E964" s="24"/>
      <c r="F964" s="28"/>
      <c r="G964" s="24"/>
    </row>
    <row r="965" customFormat="false" ht="15" hidden="false" customHeight="false" outlineLevel="0" collapsed="false">
      <c r="A965" s="27"/>
      <c r="B965" s="24"/>
      <c r="C965" s="24"/>
      <c r="D965" s="24"/>
      <c r="E965" s="24"/>
      <c r="F965" s="28"/>
      <c r="G965" s="24"/>
    </row>
    <row r="966" customFormat="false" ht="15" hidden="false" customHeight="false" outlineLevel="0" collapsed="false">
      <c r="A966" s="27"/>
      <c r="B966" s="24"/>
      <c r="C966" s="24"/>
      <c r="D966" s="24"/>
      <c r="E966" s="24"/>
      <c r="F966" s="28"/>
      <c r="G966" s="24"/>
    </row>
    <row r="967" customFormat="false" ht="15" hidden="false" customHeight="false" outlineLevel="0" collapsed="false">
      <c r="A967" s="27"/>
      <c r="B967" s="24"/>
      <c r="C967" s="24"/>
      <c r="D967" s="24"/>
      <c r="E967" s="24"/>
      <c r="F967" s="28"/>
      <c r="G967" s="24"/>
    </row>
    <row r="968" customFormat="false" ht="15" hidden="false" customHeight="false" outlineLevel="0" collapsed="false">
      <c r="A968" s="27"/>
      <c r="B968" s="24"/>
      <c r="C968" s="24"/>
      <c r="D968" s="24"/>
      <c r="E968" s="24"/>
      <c r="F968" s="28"/>
      <c r="G968" s="24"/>
    </row>
    <row r="969" customFormat="false" ht="15" hidden="false" customHeight="false" outlineLevel="0" collapsed="false">
      <c r="A969" s="27"/>
      <c r="B969" s="24"/>
      <c r="C969" s="24"/>
      <c r="D969" s="24"/>
      <c r="E969" s="24"/>
      <c r="F969" s="28"/>
      <c r="G969" s="24"/>
    </row>
    <row r="970" customFormat="false" ht="15" hidden="false" customHeight="false" outlineLevel="0" collapsed="false">
      <c r="A970" s="27"/>
      <c r="B970" s="24"/>
      <c r="C970" s="24"/>
      <c r="D970" s="24"/>
      <c r="E970" s="24"/>
      <c r="F970" s="28"/>
      <c r="G970" s="24"/>
    </row>
    <row r="971" customFormat="false" ht="15" hidden="false" customHeight="false" outlineLevel="0" collapsed="false">
      <c r="A971" s="27"/>
      <c r="B971" s="24"/>
      <c r="C971" s="24"/>
      <c r="D971" s="24"/>
      <c r="E971" s="24"/>
      <c r="F971" s="28"/>
      <c r="G971" s="24"/>
    </row>
    <row r="972" customFormat="false" ht="15" hidden="false" customHeight="false" outlineLevel="0" collapsed="false">
      <c r="A972" s="27"/>
      <c r="B972" s="24"/>
      <c r="C972" s="24"/>
      <c r="D972" s="24"/>
      <c r="E972" s="24"/>
      <c r="F972" s="28"/>
      <c r="G972" s="24"/>
    </row>
    <row r="973" customFormat="false" ht="15" hidden="false" customHeight="false" outlineLevel="0" collapsed="false">
      <c r="A973" s="27"/>
      <c r="B973" s="24"/>
      <c r="C973" s="24"/>
      <c r="D973" s="24"/>
      <c r="E973" s="24"/>
      <c r="F973" s="28"/>
      <c r="G973" s="24"/>
    </row>
    <row r="974" customFormat="false" ht="15" hidden="false" customHeight="false" outlineLevel="0" collapsed="false">
      <c r="A974" s="27"/>
      <c r="B974" s="24"/>
      <c r="C974" s="24"/>
      <c r="D974" s="24"/>
      <c r="E974" s="24"/>
      <c r="F974" s="28"/>
      <c r="G974" s="24"/>
    </row>
    <row r="975" customFormat="false" ht="15" hidden="false" customHeight="false" outlineLevel="0" collapsed="false">
      <c r="A975" s="27"/>
      <c r="B975" s="24"/>
      <c r="C975" s="24"/>
      <c r="D975" s="24"/>
      <c r="E975" s="24"/>
      <c r="F975" s="28"/>
      <c r="G975" s="24"/>
    </row>
    <row r="976" customFormat="false" ht="15" hidden="false" customHeight="false" outlineLevel="0" collapsed="false">
      <c r="A976" s="27"/>
      <c r="B976" s="24"/>
      <c r="C976" s="24"/>
      <c r="D976" s="24"/>
      <c r="E976" s="24"/>
      <c r="F976" s="28"/>
      <c r="G976" s="24"/>
    </row>
    <row r="977" customFormat="false" ht="15" hidden="false" customHeight="false" outlineLevel="0" collapsed="false">
      <c r="A977" s="27"/>
      <c r="B977" s="24"/>
      <c r="C977" s="24"/>
      <c r="D977" s="24"/>
      <c r="E977" s="24"/>
      <c r="F977" s="28"/>
      <c r="G977" s="24"/>
    </row>
    <row r="978" customFormat="false" ht="15" hidden="false" customHeight="false" outlineLevel="0" collapsed="false">
      <c r="A978" s="27"/>
      <c r="B978" s="24"/>
      <c r="C978" s="24"/>
      <c r="D978" s="24"/>
      <c r="E978" s="24"/>
      <c r="F978" s="28"/>
      <c r="G978" s="24"/>
    </row>
    <row r="979" customFormat="false" ht="15" hidden="false" customHeight="false" outlineLevel="0" collapsed="false">
      <c r="A979" s="27"/>
      <c r="B979" s="24"/>
      <c r="C979" s="24"/>
      <c r="D979" s="24"/>
      <c r="E979" s="24"/>
      <c r="F979" s="28"/>
      <c r="G979" s="24"/>
    </row>
    <row r="980" customFormat="false" ht="15" hidden="false" customHeight="false" outlineLevel="0" collapsed="false">
      <c r="A980" s="27"/>
      <c r="B980" s="24"/>
      <c r="C980" s="24"/>
      <c r="D980" s="24"/>
      <c r="E980" s="24"/>
      <c r="F980" s="28"/>
      <c r="G980" s="24"/>
    </row>
    <row r="981" customFormat="false" ht="15" hidden="false" customHeight="false" outlineLevel="0" collapsed="false">
      <c r="A981" s="27"/>
      <c r="B981" s="24"/>
      <c r="C981" s="24"/>
      <c r="D981" s="24"/>
      <c r="E981" s="24"/>
      <c r="F981" s="28"/>
      <c r="G981" s="24"/>
    </row>
    <row r="982" customFormat="false" ht="15" hidden="false" customHeight="false" outlineLevel="0" collapsed="false">
      <c r="A982" s="27"/>
      <c r="B982" s="24"/>
      <c r="C982" s="24"/>
      <c r="D982" s="24"/>
      <c r="E982" s="24"/>
      <c r="F982" s="28"/>
      <c r="G982" s="24"/>
    </row>
    <row r="983" customFormat="false" ht="15" hidden="false" customHeight="false" outlineLevel="0" collapsed="false">
      <c r="A983" s="27"/>
      <c r="B983" s="24"/>
      <c r="C983" s="24"/>
      <c r="D983" s="24"/>
      <c r="E983" s="24"/>
      <c r="F983" s="28"/>
      <c r="G983" s="24"/>
    </row>
    <row r="984" customFormat="false" ht="15" hidden="false" customHeight="false" outlineLevel="0" collapsed="false">
      <c r="A984" s="27"/>
      <c r="B984" s="24"/>
      <c r="C984" s="24"/>
      <c r="D984" s="24"/>
      <c r="E984" s="24"/>
      <c r="F984" s="28"/>
      <c r="G984" s="24"/>
    </row>
    <row r="985" customFormat="false" ht="15" hidden="false" customHeight="false" outlineLevel="0" collapsed="false">
      <c r="A985" s="27"/>
      <c r="B985" s="24"/>
      <c r="C985" s="24"/>
      <c r="D985" s="24"/>
      <c r="E985" s="24"/>
      <c r="F985" s="28"/>
      <c r="G985" s="24"/>
    </row>
    <row r="986" customFormat="false" ht="15" hidden="false" customHeight="false" outlineLevel="0" collapsed="false">
      <c r="A986" s="27"/>
      <c r="B986" s="24"/>
      <c r="C986" s="24"/>
      <c r="D986" s="24"/>
      <c r="E986" s="24"/>
      <c r="F986" s="28"/>
      <c r="G986" s="24"/>
    </row>
    <row r="987" customFormat="false" ht="15" hidden="false" customHeight="false" outlineLevel="0" collapsed="false">
      <c r="A987" s="27"/>
      <c r="B987" s="24"/>
      <c r="C987" s="24"/>
      <c r="D987" s="24"/>
      <c r="E987" s="24"/>
      <c r="F987" s="28"/>
      <c r="G987" s="24"/>
    </row>
    <row r="988" customFormat="false" ht="15" hidden="false" customHeight="false" outlineLevel="0" collapsed="false">
      <c r="A988" s="27"/>
      <c r="B988" s="24"/>
      <c r="C988" s="24"/>
      <c r="D988" s="24"/>
      <c r="E988" s="24"/>
      <c r="F988" s="28"/>
      <c r="G988" s="24"/>
    </row>
    <row r="989" customFormat="false" ht="15" hidden="false" customHeight="false" outlineLevel="0" collapsed="false">
      <c r="A989" s="27"/>
      <c r="B989" s="24"/>
      <c r="C989" s="24"/>
      <c r="D989" s="24"/>
      <c r="E989" s="24"/>
      <c r="F989" s="28"/>
      <c r="G989" s="24"/>
    </row>
    <row r="990" customFormat="false" ht="15" hidden="false" customHeight="false" outlineLevel="0" collapsed="false">
      <c r="A990" s="27"/>
      <c r="B990" s="24"/>
      <c r="C990" s="24"/>
      <c r="D990" s="24"/>
      <c r="E990" s="24"/>
      <c r="F990" s="28"/>
      <c r="G990" s="24"/>
    </row>
    <row r="991" customFormat="false" ht="15" hidden="false" customHeight="false" outlineLevel="0" collapsed="false">
      <c r="A991" s="27"/>
      <c r="B991" s="24"/>
      <c r="C991" s="24"/>
      <c r="D991" s="24"/>
      <c r="E991" s="24"/>
      <c r="F991" s="28"/>
      <c r="G991" s="24"/>
    </row>
    <row r="992" customFormat="false" ht="15" hidden="false" customHeight="false" outlineLevel="0" collapsed="false">
      <c r="A992" s="27"/>
      <c r="B992" s="24"/>
      <c r="C992" s="24"/>
      <c r="D992" s="24"/>
      <c r="E992" s="24"/>
      <c r="F992" s="28"/>
      <c r="G992" s="24"/>
    </row>
    <row r="993" customFormat="false" ht="15" hidden="false" customHeight="false" outlineLevel="0" collapsed="false">
      <c r="A993" s="27"/>
      <c r="B993" s="24"/>
      <c r="C993" s="24"/>
      <c r="D993" s="24"/>
      <c r="E993" s="24"/>
      <c r="F993" s="28"/>
      <c r="G993" s="24"/>
    </row>
    <row r="994" customFormat="false" ht="15" hidden="false" customHeight="false" outlineLevel="0" collapsed="false">
      <c r="A994" s="27"/>
      <c r="B994" s="24"/>
      <c r="C994" s="24"/>
      <c r="D994" s="24"/>
      <c r="E994" s="24"/>
      <c r="F994" s="28"/>
      <c r="G994" s="24"/>
    </row>
    <row r="995" customFormat="false" ht="15" hidden="false" customHeight="false" outlineLevel="0" collapsed="false">
      <c r="A995" s="27"/>
      <c r="B995" s="24"/>
      <c r="C995" s="24"/>
      <c r="D995" s="24"/>
      <c r="E995" s="24"/>
      <c r="F995" s="28"/>
      <c r="G995" s="24"/>
    </row>
    <row r="996" customFormat="false" ht="15" hidden="false" customHeight="false" outlineLevel="0" collapsed="false">
      <c r="A996" s="27"/>
      <c r="B996" s="24"/>
      <c r="C996" s="24"/>
      <c r="D996" s="24"/>
      <c r="E996" s="24"/>
      <c r="F996" s="28"/>
      <c r="G996" s="24"/>
    </row>
    <row r="997" customFormat="false" ht="15" hidden="false" customHeight="false" outlineLevel="0" collapsed="false">
      <c r="A997" s="27"/>
      <c r="B997" s="24"/>
      <c r="C997" s="24"/>
      <c r="D997" s="24"/>
      <c r="E997" s="24"/>
      <c r="F997" s="28"/>
      <c r="G997" s="24"/>
    </row>
    <row r="998" customFormat="false" ht="15" hidden="false" customHeight="false" outlineLevel="0" collapsed="false">
      <c r="A998" s="27"/>
      <c r="B998" s="24"/>
      <c r="C998" s="24"/>
      <c r="D998" s="24"/>
      <c r="E998" s="24"/>
      <c r="F998" s="28"/>
      <c r="G998" s="24"/>
    </row>
    <row r="999" customFormat="false" ht="15" hidden="false" customHeight="false" outlineLevel="0" collapsed="false">
      <c r="A999" s="27"/>
      <c r="B999" s="24"/>
      <c r="C999" s="24"/>
      <c r="D999" s="24"/>
      <c r="E999" s="24"/>
      <c r="F999" s="28"/>
      <c r="G999" s="24"/>
    </row>
    <row r="1000" customFormat="false" ht="15" hidden="false" customHeight="false" outlineLevel="0" collapsed="false">
      <c r="A1000" s="27"/>
      <c r="B1000" s="24"/>
      <c r="C1000" s="24"/>
      <c r="D1000" s="24"/>
      <c r="E1000" s="24"/>
      <c r="F1000" s="28"/>
      <c r="G1000" s="24"/>
    </row>
    <row r="1001" customFormat="false" ht="15" hidden="false" customHeight="false" outlineLevel="0" collapsed="false">
      <c r="A1001" s="27"/>
      <c r="B1001" s="24"/>
      <c r="C1001" s="24"/>
      <c r="D1001" s="24"/>
      <c r="E1001" s="24"/>
      <c r="F1001" s="28"/>
      <c r="G1001" s="24"/>
    </row>
  </sheetData>
  <autoFilter ref="A1:G1001"/>
  <dataValidations count="1">
    <dataValidation allowBlank="true" error="Pick one of: Ready, Fix first" errorStyle="stop" errorTitle="Not on the list" operator="between" showDropDown="false" showErrorMessage="true" showInputMessage="false" sqref="F2:F1001" type="list">
      <formula1>"Ready,Fix first"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4" min="3" style="0" width="36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25" t="s">
        <v>42</v>
      </c>
      <c r="B1" s="25" t="s">
        <v>77</v>
      </c>
      <c r="C1" s="25" t="s">
        <v>15</v>
      </c>
      <c r="D1" s="25" t="s">
        <v>78</v>
      </c>
      <c r="E1" s="25" t="s">
        <v>79</v>
      </c>
      <c r="F1" s="25" t="s">
        <v>80</v>
      </c>
    </row>
    <row r="2" customFormat="false" ht="15" hidden="false" customHeight="false" outlineLevel="0" collapsed="false">
      <c r="A2" s="27"/>
      <c r="B2" s="24"/>
      <c r="C2" s="24"/>
      <c r="D2" s="24"/>
      <c r="E2" s="24"/>
      <c r="F2" s="24"/>
    </row>
    <row r="3" customFormat="false" ht="15" hidden="false" customHeight="false" outlineLevel="0" collapsed="false">
      <c r="A3" s="27"/>
      <c r="B3" s="24"/>
      <c r="C3" s="24"/>
      <c r="D3" s="24"/>
      <c r="E3" s="24"/>
      <c r="F3" s="24"/>
    </row>
    <row r="4" customFormat="false" ht="15" hidden="false" customHeight="false" outlineLevel="0" collapsed="false">
      <c r="A4" s="27"/>
      <c r="B4" s="24"/>
      <c r="C4" s="24"/>
      <c r="D4" s="24"/>
      <c r="E4" s="24"/>
      <c r="F4" s="24"/>
    </row>
    <row r="5" customFormat="false" ht="15" hidden="false" customHeight="false" outlineLevel="0" collapsed="false">
      <c r="A5" s="27"/>
      <c r="B5" s="24"/>
      <c r="C5" s="24"/>
      <c r="D5" s="24"/>
      <c r="E5" s="24"/>
      <c r="F5" s="24"/>
    </row>
    <row r="6" customFormat="false" ht="15" hidden="false" customHeight="false" outlineLevel="0" collapsed="false">
      <c r="A6" s="27"/>
      <c r="B6" s="24"/>
      <c r="C6" s="24"/>
      <c r="D6" s="24"/>
      <c r="E6" s="24"/>
      <c r="F6" s="24"/>
    </row>
    <row r="7" customFormat="false" ht="15" hidden="false" customHeight="false" outlineLevel="0" collapsed="false">
      <c r="A7" s="27"/>
      <c r="B7" s="24"/>
      <c r="C7" s="24"/>
      <c r="D7" s="24"/>
      <c r="E7" s="24"/>
      <c r="F7" s="24"/>
    </row>
    <row r="8" customFormat="false" ht="15" hidden="false" customHeight="false" outlineLevel="0" collapsed="false">
      <c r="A8" s="27"/>
      <c r="B8" s="24"/>
      <c r="C8" s="24"/>
      <c r="D8" s="24"/>
      <c r="E8" s="24"/>
      <c r="F8" s="24"/>
    </row>
    <row r="9" customFormat="false" ht="15" hidden="false" customHeight="false" outlineLevel="0" collapsed="false">
      <c r="A9" s="27"/>
      <c r="B9" s="24"/>
      <c r="C9" s="24"/>
      <c r="D9" s="24"/>
      <c r="E9" s="24"/>
      <c r="F9" s="24"/>
    </row>
    <row r="10" customFormat="false" ht="15" hidden="false" customHeight="false" outlineLevel="0" collapsed="false">
      <c r="A10" s="27"/>
      <c r="B10" s="24"/>
      <c r="C10" s="24"/>
      <c r="D10" s="24"/>
      <c r="E10" s="24"/>
      <c r="F10" s="24"/>
    </row>
    <row r="11" customFormat="false" ht="15" hidden="false" customHeight="false" outlineLevel="0" collapsed="false">
      <c r="A11" s="27"/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27"/>
      <c r="B12" s="24"/>
      <c r="C12" s="24"/>
      <c r="D12" s="24"/>
      <c r="E12" s="24"/>
      <c r="F12" s="24"/>
    </row>
    <row r="13" customFormat="false" ht="15" hidden="false" customHeight="false" outlineLevel="0" collapsed="false">
      <c r="A13" s="27"/>
      <c r="B13" s="24"/>
      <c r="C13" s="24"/>
      <c r="D13" s="24"/>
      <c r="E13" s="24"/>
      <c r="F13" s="24"/>
    </row>
    <row r="14" customFormat="false" ht="15" hidden="false" customHeight="false" outlineLevel="0" collapsed="false">
      <c r="A14" s="27"/>
      <c r="B14" s="24"/>
      <c r="C14" s="24"/>
      <c r="D14" s="24"/>
      <c r="E14" s="24"/>
      <c r="F14" s="24"/>
    </row>
    <row r="15" customFormat="false" ht="15" hidden="false" customHeight="false" outlineLevel="0" collapsed="false">
      <c r="A15" s="27"/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27"/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27"/>
      <c r="B17" s="24"/>
      <c r="C17" s="24"/>
      <c r="D17" s="24"/>
      <c r="E17" s="24"/>
      <c r="F17" s="24"/>
    </row>
    <row r="18" customFormat="false" ht="15" hidden="false" customHeight="false" outlineLevel="0" collapsed="false">
      <c r="A18" s="27"/>
      <c r="B18" s="24"/>
      <c r="C18" s="24"/>
      <c r="D18" s="24"/>
      <c r="E18" s="24"/>
      <c r="F18" s="24"/>
    </row>
    <row r="19" customFormat="false" ht="15" hidden="false" customHeight="false" outlineLevel="0" collapsed="false">
      <c r="A19" s="27"/>
      <c r="B19" s="24"/>
      <c r="C19" s="24"/>
      <c r="D19" s="24"/>
      <c r="E19" s="24"/>
      <c r="F19" s="24"/>
    </row>
    <row r="20" customFormat="false" ht="15" hidden="false" customHeight="false" outlineLevel="0" collapsed="false">
      <c r="A20" s="27"/>
      <c r="B20" s="24"/>
      <c r="C20" s="24"/>
      <c r="D20" s="24"/>
      <c r="E20" s="24"/>
      <c r="F20" s="24"/>
    </row>
    <row r="21" customFormat="false" ht="15" hidden="false" customHeight="false" outlineLevel="0" collapsed="false">
      <c r="A21" s="27"/>
      <c r="B21" s="24"/>
      <c r="C21" s="24"/>
      <c r="D21" s="24"/>
      <c r="E21" s="24"/>
      <c r="F21" s="24"/>
    </row>
    <row r="22" customFormat="false" ht="15" hidden="false" customHeight="false" outlineLevel="0" collapsed="false">
      <c r="A22" s="27"/>
      <c r="B22" s="24"/>
      <c r="C22" s="24"/>
      <c r="D22" s="24"/>
      <c r="E22" s="24"/>
      <c r="F22" s="24"/>
    </row>
    <row r="23" customFormat="false" ht="15" hidden="false" customHeight="false" outlineLevel="0" collapsed="false">
      <c r="A23" s="27"/>
      <c r="B23" s="24"/>
      <c r="C23" s="24"/>
      <c r="D23" s="24"/>
      <c r="E23" s="24"/>
      <c r="F23" s="24"/>
    </row>
    <row r="24" customFormat="false" ht="15" hidden="false" customHeight="false" outlineLevel="0" collapsed="false">
      <c r="A24" s="27"/>
      <c r="B24" s="24"/>
      <c r="C24" s="24"/>
      <c r="D24" s="24"/>
      <c r="E24" s="24"/>
      <c r="F24" s="24"/>
    </row>
    <row r="25" customFormat="false" ht="15" hidden="false" customHeight="false" outlineLevel="0" collapsed="false">
      <c r="A25" s="27"/>
      <c r="B25" s="24"/>
      <c r="C25" s="24"/>
      <c r="D25" s="24"/>
      <c r="E25" s="24"/>
      <c r="F25" s="24"/>
    </row>
    <row r="26" customFormat="false" ht="15" hidden="false" customHeight="false" outlineLevel="0" collapsed="false">
      <c r="A26" s="27"/>
      <c r="B26" s="24"/>
      <c r="C26" s="24"/>
      <c r="D26" s="24"/>
      <c r="E26" s="24"/>
      <c r="F26" s="24"/>
    </row>
    <row r="27" customFormat="false" ht="15" hidden="false" customHeight="false" outlineLevel="0" collapsed="false">
      <c r="A27" s="27"/>
      <c r="B27" s="24"/>
      <c r="C27" s="24"/>
      <c r="D27" s="24"/>
      <c r="E27" s="24"/>
      <c r="F27" s="24"/>
    </row>
    <row r="28" customFormat="false" ht="15" hidden="false" customHeight="false" outlineLevel="0" collapsed="false">
      <c r="A28" s="27"/>
      <c r="B28" s="24"/>
      <c r="C28" s="24"/>
      <c r="D28" s="24"/>
      <c r="E28" s="24"/>
      <c r="F28" s="24"/>
    </row>
    <row r="29" customFormat="false" ht="15" hidden="false" customHeight="false" outlineLevel="0" collapsed="false">
      <c r="A29" s="27"/>
      <c r="B29" s="24"/>
      <c r="C29" s="24"/>
      <c r="D29" s="24"/>
      <c r="E29" s="24"/>
      <c r="F29" s="24"/>
    </row>
    <row r="30" customFormat="false" ht="15" hidden="false" customHeight="false" outlineLevel="0" collapsed="false">
      <c r="A30" s="27"/>
      <c r="B30" s="24"/>
      <c r="C30" s="24"/>
      <c r="D30" s="24"/>
      <c r="E30" s="24"/>
      <c r="F30" s="24"/>
    </row>
    <row r="31" customFormat="false" ht="15" hidden="false" customHeight="false" outlineLevel="0" collapsed="false">
      <c r="A31" s="27"/>
      <c r="B31" s="24"/>
      <c r="C31" s="24"/>
      <c r="D31" s="24"/>
      <c r="E31" s="24"/>
      <c r="F31" s="24"/>
    </row>
    <row r="32" customFormat="false" ht="15" hidden="false" customHeight="false" outlineLevel="0" collapsed="false">
      <c r="A32" s="27"/>
      <c r="B32" s="24"/>
      <c r="C32" s="24"/>
      <c r="D32" s="24"/>
      <c r="E32" s="24"/>
      <c r="F32" s="24"/>
    </row>
    <row r="33" customFormat="false" ht="15" hidden="false" customHeight="false" outlineLevel="0" collapsed="false">
      <c r="A33" s="27"/>
      <c r="B33" s="24"/>
      <c r="C33" s="24"/>
      <c r="D33" s="24"/>
      <c r="E33" s="24"/>
      <c r="F33" s="24"/>
    </row>
    <row r="34" customFormat="false" ht="15" hidden="false" customHeight="false" outlineLevel="0" collapsed="false">
      <c r="A34" s="27"/>
      <c r="B34" s="24"/>
      <c r="C34" s="24"/>
      <c r="D34" s="24"/>
      <c r="E34" s="24"/>
      <c r="F34" s="24"/>
    </row>
    <row r="35" customFormat="false" ht="15" hidden="false" customHeight="false" outlineLevel="0" collapsed="false">
      <c r="A35" s="27"/>
      <c r="B35" s="24"/>
      <c r="C35" s="24"/>
      <c r="D35" s="24"/>
      <c r="E35" s="24"/>
      <c r="F35" s="24"/>
    </row>
    <row r="36" customFormat="false" ht="15" hidden="false" customHeight="false" outlineLevel="0" collapsed="false">
      <c r="A36" s="27"/>
      <c r="B36" s="24"/>
      <c r="C36" s="24"/>
      <c r="D36" s="24"/>
      <c r="E36" s="24"/>
      <c r="F36" s="24"/>
    </row>
    <row r="37" customFormat="false" ht="15" hidden="false" customHeight="false" outlineLevel="0" collapsed="false">
      <c r="A37" s="27"/>
      <c r="B37" s="24"/>
      <c r="C37" s="24"/>
      <c r="D37" s="24"/>
      <c r="E37" s="24"/>
      <c r="F37" s="24"/>
    </row>
    <row r="38" customFormat="false" ht="15" hidden="false" customHeight="false" outlineLevel="0" collapsed="false">
      <c r="A38" s="27"/>
      <c r="B38" s="24"/>
      <c r="C38" s="24"/>
      <c r="D38" s="24"/>
      <c r="E38" s="24"/>
      <c r="F38" s="24"/>
    </row>
    <row r="39" customFormat="false" ht="15" hidden="false" customHeight="false" outlineLevel="0" collapsed="false">
      <c r="A39" s="27"/>
      <c r="B39" s="24"/>
      <c r="C39" s="24"/>
      <c r="D39" s="24"/>
      <c r="E39" s="24"/>
      <c r="F39" s="24"/>
    </row>
    <row r="40" customFormat="false" ht="15" hidden="false" customHeight="false" outlineLevel="0" collapsed="false">
      <c r="A40" s="27"/>
      <c r="B40" s="24"/>
      <c r="C40" s="24"/>
      <c r="D40" s="24"/>
      <c r="E40" s="24"/>
      <c r="F40" s="24"/>
    </row>
    <row r="41" customFormat="false" ht="15" hidden="false" customHeight="false" outlineLevel="0" collapsed="false">
      <c r="A41" s="27"/>
      <c r="B41" s="24"/>
      <c r="C41" s="24"/>
      <c r="D41" s="24"/>
      <c r="E41" s="24"/>
      <c r="F41" s="24"/>
    </row>
    <row r="42" customFormat="false" ht="15" hidden="false" customHeight="false" outlineLevel="0" collapsed="false">
      <c r="A42" s="27"/>
      <c r="B42" s="24"/>
      <c r="C42" s="24"/>
      <c r="D42" s="24"/>
      <c r="E42" s="24"/>
      <c r="F42" s="24"/>
    </row>
    <row r="43" customFormat="false" ht="15" hidden="false" customHeight="false" outlineLevel="0" collapsed="false">
      <c r="A43" s="27"/>
      <c r="B43" s="24"/>
      <c r="C43" s="24"/>
      <c r="D43" s="24"/>
      <c r="E43" s="24"/>
      <c r="F43" s="24"/>
    </row>
    <row r="44" customFormat="false" ht="15" hidden="false" customHeight="false" outlineLevel="0" collapsed="false">
      <c r="A44" s="27"/>
      <c r="B44" s="24"/>
      <c r="C44" s="24"/>
      <c r="D44" s="24"/>
      <c r="E44" s="24"/>
      <c r="F44" s="24"/>
    </row>
    <row r="45" customFormat="false" ht="15" hidden="false" customHeight="false" outlineLevel="0" collapsed="false">
      <c r="A45" s="27"/>
      <c r="B45" s="24"/>
      <c r="C45" s="24"/>
      <c r="D45" s="24"/>
      <c r="E45" s="24"/>
      <c r="F45" s="24"/>
    </row>
    <row r="46" customFormat="false" ht="15" hidden="false" customHeight="false" outlineLevel="0" collapsed="false">
      <c r="A46" s="27"/>
      <c r="B46" s="24"/>
      <c r="C46" s="24"/>
      <c r="D46" s="24"/>
      <c r="E46" s="24"/>
      <c r="F46" s="24"/>
    </row>
    <row r="47" customFormat="false" ht="15" hidden="false" customHeight="false" outlineLevel="0" collapsed="false">
      <c r="A47" s="27"/>
      <c r="B47" s="24"/>
      <c r="C47" s="24"/>
      <c r="D47" s="24"/>
      <c r="E47" s="24"/>
      <c r="F47" s="24"/>
    </row>
    <row r="48" customFormat="false" ht="15" hidden="false" customHeight="false" outlineLevel="0" collapsed="false">
      <c r="A48" s="27"/>
      <c r="B48" s="24"/>
      <c r="C48" s="24"/>
      <c r="D48" s="24"/>
      <c r="E48" s="24"/>
      <c r="F48" s="24"/>
    </row>
    <row r="49" customFormat="false" ht="15" hidden="false" customHeight="false" outlineLevel="0" collapsed="false">
      <c r="A49" s="27"/>
      <c r="B49" s="24"/>
      <c r="C49" s="24"/>
      <c r="D49" s="24"/>
      <c r="E49" s="24"/>
      <c r="F49" s="24"/>
    </row>
    <row r="50" customFormat="false" ht="15" hidden="false" customHeight="false" outlineLevel="0" collapsed="false">
      <c r="A50" s="27"/>
      <c r="B50" s="24"/>
      <c r="C50" s="24"/>
      <c r="D50" s="24"/>
      <c r="E50" s="24"/>
      <c r="F50" s="24"/>
    </row>
    <row r="51" customFormat="false" ht="15" hidden="false" customHeight="false" outlineLevel="0" collapsed="false">
      <c r="A51" s="27"/>
      <c r="B51" s="24"/>
      <c r="C51" s="24"/>
      <c r="D51" s="24"/>
      <c r="E51" s="24"/>
      <c r="F51" s="24"/>
    </row>
    <row r="52" customFormat="false" ht="15" hidden="false" customHeight="false" outlineLevel="0" collapsed="false">
      <c r="A52" s="27"/>
      <c r="B52" s="24"/>
      <c r="C52" s="24"/>
      <c r="D52" s="24"/>
      <c r="E52" s="24"/>
      <c r="F52" s="24"/>
    </row>
    <row r="53" customFormat="false" ht="15" hidden="false" customHeight="false" outlineLevel="0" collapsed="false">
      <c r="A53" s="27"/>
      <c r="B53" s="24"/>
      <c r="C53" s="24"/>
      <c r="D53" s="24"/>
      <c r="E53" s="24"/>
      <c r="F53" s="24"/>
    </row>
    <row r="54" customFormat="false" ht="15" hidden="false" customHeight="false" outlineLevel="0" collapsed="false">
      <c r="A54" s="27"/>
      <c r="B54" s="24"/>
      <c r="C54" s="24"/>
      <c r="D54" s="24"/>
      <c r="E54" s="24"/>
      <c r="F54" s="24"/>
    </row>
    <row r="55" customFormat="false" ht="15" hidden="false" customHeight="false" outlineLevel="0" collapsed="false">
      <c r="A55" s="27"/>
      <c r="B55" s="24"/>
      <c r="C55" s="24"/>
      <c r="D55" s="24"/>
      <c r="E55" s="24"/>
      <c r="F55" s="24"/>
    </row>
    <row r="56" customFormat="false" ht="15" hidden="false" customHeight="false" outlineLevel="0" collapsed="false">
      <c r="A56" s="27"/>
      <c r="B56" s="24"/>
      <c r="C56" s="24"/>
      <c r="D56" s="24"/>
      <c r="E56" s="24"/>
      <c r="F56" s="24"/>
    </row>
    <row r="57" customFormat="false" ht="15" hidden="false" customHeight="false" outlineLevel="0" collapsed="false">
      <c r="A57" s="27"/>
      <c r="B57" s="24"/>
      <c r="C57" s="24"/>
      <c r="D57" s="24"/>
      <c r="E57" s="24"/>
      <c r="F57" s="24"/>
    </row>
    <row r="58" customFormat="false" ht="15" hidden="false" customHeight="false" outlineLevel="0" collapsed="false">
      <c r="A58" s="27"/>
      <c r="B58" s="24"/>
      <c r="C58" s="24"/>
      <c r="D58" s="24"/>
      <c r="E58" s="24"/>
      <c r="F58" s="24"/>
    </row>
    <row r="59" customFormat="false" ht="15" hidden="false" customHeight="false" outlineLevel="0" collapsed="false">
      <c r="A59" s="27"/>
      <c r="B59" s="24"/>
      <c r="C59" s="24"/>
      <c r="D59" s="24"/>
      <c r="E59" s="24"/>
      <c r="F59" s="24"/>
    </row>
    <row r="60" customFormat="false" ht="15" hidden="false" customHeight="false" outlineLevel="0" collapsed="false">
      <c r="A60" s="27"/>
      <c r="B60" s="24"/>
      <c r="C60" s="24"/>
      <c r="D60" s="24"/>
      <c r="E60" s="24"/>
      <c r="F60" s="24"/>
    </row>
    <row r="61" customFormat="false" ht="15" hidden="false" customHeight="false" outlineLevel="0" collapsed="false">
      <c r="A61" s="27"/>
      <c r="B61" s="24"/>
      <c r="C61" s="24"/>
      <c r="D61" s="24"/>
      <c r="E61" s="24"/>
      <c r="F61" s="24"/>
    </row>
    <row r="62" customFormat="false" ht="15" hidden="false" customHeight="false" outlineLevel="0" collapsed="false">
      <c r="A62" s="27"/>
      <c r="B62" s="24"/>
      <c r="C62" s="24"/>
      <c r="D62" s="24"/>
      <c r="E62" s="24"/>
      <c r="F62" s="24"/>
    </row>
    <row r="63" customFormat="false" ht="15" hidden="false" customHeight="false" outlineLevel="0" collapsed="false">
      <c r="A63" s="27"/>
      <c r="B63" s="24"/>
      <c r="C63" s="24"/>
      <c r="D63" s="24"/>
      <c r="E63" s="24"/>
      <c r="F63" s="24"/>
    </row>
    <row r="64" customFormat="false" ht="15" hidden="false" customHeight="false" outlineLevel="0" collapsed="false">
      <c r="A64" s="27"/>
      <c r="B64" s="24"/>
      <c r="C64" s="24"/>
      <c r="D64" s="24"/>
      <c r="E64" s="24"/>
      <c r="F64" s="24"/>
    </row>
    <row r="65" customFormat="false" ht="15" hidden="false" customHeight="false" outlineLevel="0" collapsed="false">
      <c r="A65" s="27"/>
      <c r="B65" s="24"/>
      <c r="C65" s="24"/>
      <c r="D65" s="24"/>
      <c r="E65" s="24"/>
      <c r="F65" s="24"/>
    </row>
    <row r="66" customFormat="false" ht="15" hidden="false" customHeight="false" outlineLevel="0" collapsed="false">
      <c r="A66" s="27"/>
      <c r="B66" s="24"/>
      <c r="C66" s="24"/>
      <c r="D66" s="24"/>
      <c r="E66" s="24"/>
      <c r="F66" s="24"/>
    </row>
    <row r="67" customFormat="false" ht="15" hidden="false" customHeight="false" outlineLevel="0" collapsed="false">
      <c r="A67" s="27"/>
      <c r="B67" s="24"/>
      <c r="C67" s="24"/>
      <c r="D67" s="24"/>
      <c r="E67" s="24"/>
      <c r="F67" s="24"/>
    </row>
    <row r="68" customFormat="false" ht="15" hidden="false" customHeight="false" outlineLevel="0" collapsed="false">
      <c r="A68" s="27"/>
      <c r="B68" s="24"/>
      <c r="C68" s="24"/>
      <c r="D68" s="24"/>
      <c r="E68" s="24"/>
      <c r="F68" s="24"/>
    </row>
    <row r="69" customFormat="false" ht="15" hidden="false" customHeight="false" outlineLevel="0" collapsed="false">
      <c r="A69" s="27"/>
      <c r="B69" s="24"/>
      <c r="C69" s="24"/>
      <c r="D69" s="24"/>
      <c r="E69" s="24"/>
      <c r="F69" s="24"/>
    </row>
    <row r="70" customFormat="false" ht="15" hidden="false" customHeight="false" outlineLevel="0" collapsed="false">
      <c r="A70" s="27"/>
      <c r="B70" s="24"/>
      <c r="C70" s="24"/>
      <c r="D70" s="24"/>
      <c r="E70" s="24"/>
      <c r="F70" s="24"/>
    </row>
    <row r="71" customFormat="false" ht="15" hidden="false" customHeight="false" outlineLevel="0" collapsed="false">
      <c r="A71" s="27"/>
      <c r="B71" s="24"/>
      <c r="C71" s="24"/>
      <c r="D71" s="24"/>
      <c r="E71" s="24"/>
      <c r="F71" s="24"/>
    </row>
    <row r="72" customFormat="false" ht="15" hidden="false" customHeight="false" outlineLevel="0" collapsed="false">
      <c r="A72" s="27"/>
      <c r="B72" s="24"/>
      <c r="C72" s="24"/>
      <c r="D72" s="24"/>
      <c r="E72" s="24"/>
      <c r="F72" s="24"/>
    </row>
    <row r="73" customFormat="false" ht="15" hidden="false" customHeight="false" outlineLevel="0" collapsed="false">
      <c r="A73" s="27"/>
      <c r="B73" s="24"/>
      <c r="C73" s="24"/>
      <c r="D73" s="24"/>
      <c r="E73" s="24"/>
      <c r="F73" s="24"/>
    </row>
    <row r="74" customFormat="false" ht="15" hidden="false" customHeight="false" outlineLevel="0" collapsed="false">
      <c r="A74" s="27"/>
      <c r="B74" s="24"/>
      <c r="C74" s="24"/>
      <c r="D74" s="24"/>
      <c r="E74" s="24"/>
      <c r="F74" s="24"/>
    </row>
    <row r="75" customFormat="false" ht="15" hidden="false" customHeight="false" outlineLevel="0" collapsed="false">
      <c r="A75" s="27"/>
      <c r="B75" s="24"/>
      <c r="C75" s="24"/>
      <c r="D75" s="24"/>
      <c r="E75" s="24"/>
      <c r="F75" s="24"/>
    </row>
    <row r="76" customFormat="false" ht="15" hidden="false" customHeight="false" outlineLevel="0" collapsed="false">
      <c r="A76" s="27"/>
      <c r="B76" s="24"/>
      <c r="C76" s="24"/>
      <c r="D76" s="24"/>
      <c r="E76" s="24"/>
      <c r="F76" s="24"/>
    </row>
    <row r="77" customFormat="false" ht="15" hidden="false" customHeight="false" outlineLevel="0" collapsed="false">
      <c r="A77" s="27"/>
      <c r="B77" s="24"/>
      <c r="C77" s="24"/>
      <c r="D77" s="24"/>
      <c r="E77" s="24"/>
      <c r="F77" s="24"/>
    </row>
    <row r="78" customFormat="false" ht="15" hidden="false" customHeight="false" outlineLevel="0" collapsed="false">
      <c r="A78" s="27"/>
      <c r="B78" s="24"/>
      <c r="C78" s="24"/>
      <c r="D78" s="24"/>
      <c r="E78" s="24"/>
      <c r="F78" s="24"/>
    </row>
    <row r="79" customFormat="false" ht="15" hidden="false" customHeight="false" outlineLevel="0" collapsed="false">
      <c r="A79" s="27"/>
      <c r="B79" s="24"/>
      <c r="C79" s="24"/>
      <c r="D79" s="24"/>
      <c r="E79" s="24"/>
      <c r="F79" s="24"/>
    </row>
    <row r="80" customFormat="false" ht="15" hidden="false" customHeight="false" outlineLevel="0" collapsed="false">
      <c r="A80" s="27"/>
      <c r="B80" s="24"/>
      <c r="C80" s="24"/>
      <c r="D80" s="24"/>
      <c r="E80" s="24"/>
      <c r="F80" s="24"/>
    </row>
    <row r="81" customFormat="false" ht="15" hidden="false" customHeight="false" outlineLevel="0" collapsed="false">
      <c r="A81" s="27"/>
      <c r="B81" s="24"/>
      <c r="C81" s="24"/>
      <c r="D81" s="24"/>
      <c r="E81" s="24"/>
      <c r="F81" s="24"/>
    </row>
    <row r="82" customFormat="false" ht="15" hidden="false" customHeight="false" outlineLevel="0" collapsed="false">
      <c r="A82" s="27"/>
      <c r="B82" s="24"/>
      <c r="C82" s="24"/>
      <c r="D82" s="24"/>
      <c r="E82" s="24"/>
      <c r="F82" s="24"/>
    </row>
    <row r="83" customFormat="false" ht="15" hidden="false" customHeight="false" outlineLevel="0" collapsed="false">
      <c r="A83" s="27"/>
      <c r="B83" s="24"/>
      <c r="C83" s="24"/>
      <c r="D83" s="24"/>
      <c r="E83" s="24"/>
      <c r="F83" s="24"/>
    </row>
    <row r="84" customFormat="false" ht="15" hidden="false" customHeight="false" outlineLevel="0" collapsed="false">
      <c r="A84" s="27"/>
      <c r="B84" s="24"/>
      <c r="C84" s="24"/>
      <c r="D84" s="24"/>
      <c r="E84" s="24"/>
      <c r="F84" s="24"/>
    </row>
    <row r="85" customFormat="false" ht="15" hidden="false" customHeight="false" outlineLevel="0" collapsed="false">
      <c r="A85" s="27"/>
      <c r="B85" s="24"/>
      <c r="C85" s="24"/>
      <c r="D85" s="24"/>
      <c r="E85" s="24"/>
      <c r="F85" s="24"/>
    </row>
    <row r="86" customFormat="false" ht="15" hidden="false" customHeight="false" outlineLevel="0" collapsed="false">
      <c r="A86" s="27"/>
      <c r="B86" s="24"/>
      <c r="C86" s="24"/>
      <c r="D86" s="24"/>
      <c r="E86" s="24"/>
      <c r="F86" s="24"/>
    </row>
    <row r="87" customFormat="false" ht="15" hidden="false" customHeight="false" outlineLevel="0" collapsed="false">
      <c r="A87" s="27"/>
      <c r="B87" s="24"/>
      <c r="C87" s="24"/>
      <c r="D87" s="24"/>
      <c r="E87" s="24"/>
      <c r="F87" s="24"/>
    </row>
    <row r="88" customFormat="false" ht="15" hidden="false" customHeight="false" outlineLevel="0" collapsed="false">
      <c r="A88" s="27"/>
      <c r="B88" s="24"/>
      <c r="C88" s="24"/>
      <c r="D88" s="24"/>
      <c r="E88" s="24"/>
      <c r="F88" s="24"/>
    </row>
    <row r="89" customFormat="false" ht="15" hidden="false" customHeight="false" outlineLevel="0" collapsed="false">
      <c r="A89" s="27"/>
      <c r="B89" s="24"/>
      <c r="C89" s="24"/>
      <c r="D89" s="24"/>
      <c r="E89" s="24"/>
      <c r="F89" s="24"/>
    </row>
    <row r="90" customFormat="false" ht="15" hidden="false" customHeight="false" outlineLevel="0" collapsed="false">
      <c r="A90" s="27"/>
      <c r="B90" s="24"/>
      <c r="C90" s="24"/>
      <c r="D90" s="24"/>
      <c r="E90" s="24"/>
      <c r="F90" s="24"/>
    </row>
    <row r="91" customFormat="false" ht="15" hidden="false" customHeight="false" outlineLevel="0" collapsed="false">
      <c r="A91" s="27"/>
      <c r="B91" s="24"/>
      <c r="C91" s="24"/>
      <c r="D91" s="24"/>
      <c r="E91" s="24"/>
      <c r="F91" s="24"/>
    </row>
    <row r="92" customFormat="false" ht="15" hidden="false" customHeight="false" outlineLevel="0" collapsed="false">
      <c r="A92" s="27"/>
      <c r="B92" s="24"/>
      <c r="C92" s="24"/>
      <c r="D92" s="24"/>
      <c r="E92" s="24"/>
      <c r="F92" s="24"/>
    </row>
    <row r="93" customFormat="false" ht="15" hidden="false" customHeight="false" outlineLevel="0" collapsed="false">
      <c r="A93" s="27"/>
      <c r="B93" s="24"/>
      <c r="C93" s="24"/>
      <c r="D93" s="24"/>
      <c r="E93" s="24"/>
      <c r="F93" s="24"/>
    </row>
    <row r="94" customFormat="false" ht="15" hidden="false" customHeight="false" outlineLevel="0" collapsed="false">
      <c r="A94" s="27"/>
      <c r="B94" s="24"/>
      <c r="C94" s="24"/>
      <c r="D94" s="24"/>
      <c r="E94" s="24"/>
      <c r="F94" s="24"/>
    </row>
    <row r="95" customFormat="false" ht="15" hidden="false" customHeight="false" outlineLevel="0" collapsed="false">
      <c r="A95" s="27"/>
      <c r="B95" s="24"/>
      <c r="C95" s="24"/>
      <c r="D95" s="24"/>
      <c r="E95" s="24"/>
      <c r="F95" s="24"/>
    </row>
    <row r="96" customFormat="false" ht="15" hidden="false" customHeight="false" outlineLevel="0" collapsed="false">
      <c r="A96" s="27"/>
      <c r="B96" s="24"/>
      <c r="C96" s="24"/>
      <c r="D96" s="24"/>
      <c r="E96" s="24"/>
      <c r="F96" s="24"/>
    </row>
    <row r="97" customFormat="false" ht="15" hidden="false" customHeight="false" outlineLevel="0" collapsed="false">
      <c r="A97" s="27"/>
      <c r="B97" s="24"/>
      <c r="C97" s="24"/>
      <c r="D97" s="24"/>
      <c r="E97" s="24"/>
      <c r="F97" s="24"/>
    </row>
    <row r="98" customFormat="false" ht="15" hidden="false" customHeight="false" outlineLevel="0" collapsed="false">
      <c r="A98" s="27"/>
      <c r="B98" s="24"/>
      <c r="C98" s="24"/>
      <c r="D98" s="24"/>
      <c r="E98" s="24"/>
      <c r="F98" s="24"/>
    </row>
    <row r="99" customFormat="false" ht="15" hidden="false" customHeight="false" outlineLevel="0" collapsed="false">
      <c r="A99" s="27"/>
      <c r="B99" s="24"/>
      <c r="C99" s="24"/>
      <c r="D99" s="24"/>
      <c r="E99" s="24"/>
      <c r="F99" s="24"/>
    </row>
    <row r="100" customFormat="false" ht="15" hidden="false" customHeight="false" outlineLevel="0" collapsed="false">
      <c r="A100" s="27"/>
      <c r="B100" s="24"/>
      <c r="C100" s="24"/>
      <c r="D100" s="24"/>
      <c r="E100" s="24"/>
      <c r="F100" s="24"/>
    </row>
    <row r="101" customFormat="false" ht="15" hidden="false" customHeight="false" outlineLevel="0" collapsed="false">
      <c r="A101" s="27"/>
      <c r="B101" s="24"/>
      <c r="C101" s="24"/>
      <c r="D101" s="24"/>
      <c r="E101" s="24"/>
      <c r="F101" s="24"/>
    </row>
    <row r="102" customFormat="false" ht="15" hidden="false" customHeight="false" outlineLevel="0" collapsed="false">
      <c r="A102" s="27"/>
      <c r="B102" s="24"/>
      <c r="C102" s="24"/>
      <c r="D102" s="24"/>
      <c r="E102" s="24"/>
      <c r="F102" s="24"/>
    </row>
    <row r="103" customFormat="false" ht="15" hidden="false" customHeight="false" outlineLevel="0" collapsed="false">
      <c r="A103" s="27"/>
      <c r="B103" s="24"/>
      <c r="C103" s="24"/>
      <c r="D103" s="24"/>
      <c r="E103" s="24"/>
      <c r="F103" s="24"/>
    </row>
    <row r="104" customFormat="false" ht="15" hidden="false" customHeight="false" outlineLevel="0" collapsed="false">
      <c r="A104" s="27"/>
      <c r="B104" s="24"/>
      <c r="C104" s="24"/>
      <c r="D104" s="24"/>
      <c r="E104" s="24"/>
      <c r="F104" s="24"/>
    </row>
    <row r="105" customFormat="false" ht="15" hidden="false" customHeight="false" outlineLevel="0" collapsed="false">
      <c r="A105" s="27"/>
      <c r="B105" s="24"/>
      <c r="C105" s="24"/>
      <c r="D105" s="24"/>
      <c r="E105" s="24"/>
      <c r="F105" s="24"/>
    </row>
    <row r="106" customFormat="false" ht="15" hidden="false" customHeight="false" outlineLevel="0" collapsed="false">
      <c r="A106" s="27"/>
      <c r="B106" s="24"/>
      <c r="C106" s="24"/>
      <c r="D106" s="24"/>
      <c r="E106" s="24"/>
      <c r="F106" s="24"/>
    </row>
    <row r="107" customFormat="false" ht="15" hidden="false" customHeight="false" outlineLevel="0" collapsed="false">
      <c r="A107" s="27"/>
      <c r="B107" s="24"/>
      <c r="C107" s="24"/>
      <c r="D107" s="24"/>
      <c r="E107" s="24"/>
      <c r="F107" s="24"/>
    </row>
    <row r="108" customFormat="false" ht="15" hidden="false" customHeight="false" outlineLevel="0" collapsed="false">
      <c r="A108" s="27"/>
      <c r="B108" s="24"/>
      <c r="C108" s="24"/>
      <c r="D108" s="24"/>
      <c r="E108" s="24"/>
      <c r="F108" s="24"/>
    </row>
    <row r="109" customFormat="false" ht="15" hidden="false" customHeight="false" outlineLevel="0" collapsed="false">
      <c r="A109" s="27"/>
      <c r="B109" s="24"/>
      <c r="C109" s="24"/>
      <c r="D109" s="24"/>
      <c r="E109" s="24"/>
      <c r="F109" s="24"/>
    </row>
    <row r="110" customFormat="false" ht="15" hidden="false" customHeight="false" outlineLevel="0" collapsed="false">
      <c r="A110" s="27"/>
      <c r="B110" s="24"/>
      <c r="C110" s="24"/>
      <c r="D110" s="24"/>
      <c r="E110" s="24"/>
      <c r="F110" s="24"/>
    </row>
    <row r="111" customFormat="false" ht="15" hidden="false" customHeight="false" outlineLevel="0" collapsed="false">
      <c r="A111" s="27"/>
      <c r="B111" s="24"/>
      <c r="C111" s="24"/>
      <c r="D111" s="24"/>
      <c r="E111" s="24"/>
      <c r="F111" s="24"/>
    </row>
    <row r="112" customFormat="false" ht="15" hidden="false" customHeight="false" outlineLevel="0" collapsed="false">
      <c r="A112" s="27"/>
      <c r="B112" s="24"/>
      <c r="C112" s="24"/>
      <c r="D112" s="24"/>
      <c r="E112" s="24"/>
      <c r="F112" s="24"/>
    </row>
    <row r="113" customFormat="false" ht="15" hidden="false" customHeight="false" outlineLevel="0" collapsed="false">
      <c r="A113" s="27"/>
      <c r="B113" s="24"/>
      <c r="C113" s="24"/>
      <c r="D113" s="24"/>
      <c r="E113" s="24"/>
      <c r="F113" s="24"/>
    </row>
    <row r="114" customFormat="false" ht="15" hidden="false" customHeight="false" outlineLevel="0" collapsed="false">
      <c r="A114" s="27"/>
      <c r="B114" s="24"/>
      <c r="C114" s="24"/>
      <c r="D114" s="24"/>
      <c r="E114" s="24"/>
      <c r="F114" s="24"/>
    </row>
    <row r="115" customFormat="false" ht="15" hidden="false" customHeight="false" outlineLevel="0" collapsed="false">
      <c r="A115" s="27"/>
      <c r="B115" s="24"/>
      <c r="C115" s="24"/>
      <c r="D115" s="24"/>
      <c r="E115" s="24"/>
      <c r="F115" s="24"/>
    </row>
    <row r="116" customFormat="false" ht="15" hidden="false" customHeight="false" outlineLevel="0" collapsed="false">
      <c r="A116" s="27"/>
      <c r="B116" s="24"/>
      <c r="C116" s="24"/>
      <c r="D116" s="24"/>
      <c r="E116" s="24"/>
      <c r="F116" s="24"/>
    </row>
    <row r="117" customFormat="false" ht="15" hidden="false" customHeight="false" outlineLevel="0" collapsed="false">
      <c r="A117" s="27"/>
      <c r="B117" s="24"/>
      <c r="C117" s="24"/>
      <c r="D117" s="24"/>
      <c r="E117" s="24"/>
      <c r="F117" s="24"/>
    </row>
    <row r="118" customFormat="false" ht="15" hidden="false" customHeight="false" outlineLevel="0" collapsed="false">
      <c r="A118" s="27"/>
      <c r="B118" s="24"/>
      <c r="C118" s="24"/>
      <c r="D118" s="24"/>
      <c r="E118" s="24"/>
      <c r="F118" s="24"/>
    </row>
    <row r="119" customFormat="false" ht="15" hidden="false" customHeight="false" outlineLevel="0" collapsed="false">
      <c r="A119" s="27"/>
      <c r="B119" s="24"/>
      <c r="C119" s="24"/>
      <c r="D119" s="24"/>
      <c r="E119" s="24"/>
      <c r="F119" s="24"/>
    </row>
    <row r="120" customFormat="false" ht="15" hidden="false" customHeight="false" outlineLevel="0" collapsed="false">
      <c r="A120" s="27"/>
      <c r="B120" s="24"/>
      <c r="C120" s="24"/>
      <c r="D120" s="24"/>
      <c r="E120" s="24"/>
      <c r="F120" s="24"/>
    </row>
    <row r="121" customFormat="false" ht="15" hidden="false" customHeight="false" outlineLevel="0" collapsed="false">
      <c r="A121" s="27"/>
      <c r="B121" s="24"/>
      <c r="C121" s="24"/>
      <c r="D121" s="24"/>
      <c r="E121" s="24"/>
      <c r="F121" s="24"/>
    </row>
    <row r="122" customFormat="false" ht="15" hidden="false" customHeight="false" outlineLevel="0" collapsed="false">
      <c r="A122" s="27"/>
      <c r="B122" s="24"/>
      <c r="C122" s="24"/>
      <c r="D122" s="24"/>
      <c r="E122" s="24"/>
      <c r="F122" s="24"/>
    </row>
    <row r="123" customFormat="false" ht="15" hidden="false" customHeight="false" outlineLevel="0" collapsed="false">
      <c r="A123" s="27"/>
      <c r="B123" s="24"/>
      <c r="C123" s="24"/>
      <c r="D123" s="24"/>
      <c r="E123" s="24"/>
      <c r="F123" s="24"/>
    </row>
    <row r="124" customFormat="false" ht="15" hidden="false" customHeight="false" outlineLevel="0" collapsed="false">
      <c r="A124" s="27"/>
      <c r="B124" s="24"/>
      <c r="C124" s="24"/>
      <c r="D124" s="24"/>
      <c r="E124" s="24"/>
      <c r="F124" s="24"/>
    </row>
    <row r="125" customFormat="false" ht="15" hidden="false" customHeight="false" outlineLevel="0" collapsed="false">
      <c r="A125" s="27"/>
      <c r="B125" s="24"/>
      <c r="C125" s="24"/>
      <c r="D125" s="24"/>
      <c r="E125" s="24"/>
      <c r="F125" s="24"/>
    </row>
    <row r="126" customFormat="false" ht="15" hidden="false" customHeight="false" outlineLevel="0" collapsed="false">
      <c r="A126" s="27"/>
      <c r="B126" s="24"/>
      <c r="C126" s="24"/>
      <c r="D126" s="24"/>
      <c r="E126" s="24"/>
      <c r="F126" s="24"/>
    </row>
    <row r="127" customFormat="false" ht="15" hidden="false" customHeight="false" outlineLevel="0" collapsed="false">
      <c r="A127" s="27"/>
      <c r="B127" s="24"/>
      <c r="C127" s="24"/>
      <c r="D127" s="24"/>
      <c r="E127" s="24"/>
      <c r="F127" s="24"/>
    </row>
    <row r="128" customFormat="false" ht="15" hidden="false" customHeight="false" outlineLevel="0" collapsed="false">
      <c r="A128" s="27"/>
      <c r="B128" s="24"/>
      <c r="C128" s="24"/>
      <c r="D128" s="24"/>
      <c r="E128" s="24"/>
      <c r="F128" s="24"/>
    </row>
    <row r="129" customFormat="false" ht="15" hidden="false" customHeight="false" outlineLevel="0" collapsed="false">
      <c r="A129" s="27"/>
      <c r="B129" s="24"/>
      <c r="C129" s="24"/>
      <c r="D129" s="24"/>
      <c r="E129" s="24"/>
      <c r="F129" s="24"/>
    </row>
    <row r="130" customFormat="false" ht="15" hidden="false" customHeight="false" outlineLevel="0" collapsed="false">
      <c r="A130" s="27"/>
      <c r="B130" s="24"/>
      <c r="C130" s="24"/>
      <c r="D130" s="24"/>
      <c r="E130" s="24"/>
      <c r="F130" s="24"/>
    </row>
    <row r="131" customFormat="false" ht="15" hidden="false" customHeight="false" outlineLevel="0" collapsed="false">
      <c r="A131" s="27"/>
      <c r="B131" s="24"/>
      <c r="C131" s="24"/>
      <c r="D131" s="24"/>
      <c r="E131" s="24"/>
      <c r="F131" s="24"/>
    </row>
    <row r="132" customFormat="false" ht="15" hidden="false" customHeight="false" outlineLevel="0" collapsed="false">
      <c r="A132" s="27"/>
      <c r="B132" s="24"/>
      <c r="C132" s="24"/>
      <c r="D132" s="24"/>
      <c r="E132" s="24"/>
      <c r="F132" s="24"/>
    </row>
    <row r="133" customFormat="false" ht="15" hidden="false" customHeight="false" outlineLevel="0" collapsed="false">
      <c r="A133" s="27"/>
      <c r="B133" s="24"/>
      <c r="C133" s="24"/>
      <c r="D133" s="24"/>
      <c r="E133" s="24"/>
      <c r="F133" s="24"/>
    </row>
    <row r="134" customFormat="false" ht="15" hidden="false" customHeight="false" outlineLevel="0" collapsed="false">
      <c r="A134" s="27"/>
      <c r="B134" s="24"/>
      <c r="C134" s="24"/>
      <c r="D134" s="24"/>
      <c r="E134" s="24"/>
      <c r="F134" s="24"/>
    </row>
    <row r="135" customFormat="false" ht="15" hidden="false" customHeight="false" outlineLevel="0" collapsed="false">
      <c r="A135" s="27"/>
      <c r="B135" s="24"/>
      <c r="C135" s="24"/>
      <c r="D135" s="24"/>
      <c r="E135" s="24"/>
      <c r="F135" s="24"/>
    </row>
    <row r="136" customFormat="false" ht="15" hidden="false" customHeight="false" outlineLevel="0" collapsed="false">
      <c r="A136" s="27"/>
      <c r="B136" s="24"/>
      <c r="C136" s="24"/>
      <c r="D136" s="24"/>
      <c r="E136" s="24"/>
      <c r="F136" s="24"/>
    </row>
    <row r="137" customFormat="false" ht="15" hidden="false" customHeight="false" outlineLevel="0" collapsed="false">
      <c r="A137" s="27"/>
      <c r="B137" s="24"/>
      <c r="C137" s="24"/>
      <c r="D137" s="24"/>
      <c r="E137" s="24"/>
      <c r="F137" s="24"/>
    </row>
    <row r="138" customFormat="false" ht="15" hidden="false" customHeight="false" outlineLevel="0" collapsed="false">
      <c r="A138" s="27"/>
      <c r="B138" s="24"/>
      <c r="C138" s="24"/>
      <c r="D138" s="24"/>
      <c r="E138" s="24"/>
      <c r="F138" s="24"/>
    </row>
    <row r="139" customFormat="false" ht="15" hidden="false" customHeight="false" outlineLevel="0" collapsed="false">
      <c r="A139" s="27"/>
      <c r="B139" s="24"/>
      <c r="C139" s="24"/>
      <c r="D139" s="24"/>
      <c r="E139" s="24"/>
      <c r="F139" s="24"/>
    </row>
    <row r="140" customFormat="false" ht="15" hidden="false" customHeight="false" outlineLevel="0" collapsed="false">
      <c r="A140" s="27"/>
      <c r="B140" s="24"/>
      <c r="C140" s="24"/>
      <c r="D140" s="24"/>
      <c r="E140" s="24"/>
      <c r="F140" s="24"/>
    </row>
    <row r="141" customFormat="false" ht="15" hidden="false" customHeight="false" outlineLevel="0" collapsed="false">
      <c r="A141" s="27"/>
      <c r="B141" s="24"/>
      <c r="C141" s="24"/>
      <c r="D141" s="24"/>
      <c r="E141" s="24"/>
      <c r="F141" s="24"/>
    </row>
    <row r="142" customFormat="false" ht="15" hidden="false" customHeight="false" outlineLevel="0" collapsed="false">
      <c r="A142" s="27"/>
      <c r="B142" s="24"/>
      <c r="C142" s="24"/>
      <c r="D142" s="24"/>
      <c r="E142" s="24"/>
      <c r="F142" s="24"/>
    </row>
    <row r="143" customFormat="false" ht="15" hidden="false" customHeight="false" outlineLevel="0" collapsed="false">
      <c r="A143" s="27"/>
      <c r="B143" s="24"/>
      <c r="C143" s="24"/>
      <c r="D143" s="24"/>
      <c r="E143" s="24"/>
      <c r="F143" s="24"/>
    </row>
    <row r="144" customFormat="false" ht="15" hidden="false" customHeight="false" outlineLevel="0" collapsed="false">
      <c r="A144" s="27"/>
      <c r="B144" s="24"/>
      <c r="C144" s="24"/>
      <c r="D144" s="24"/>
      <c r="E144" s="24"/>
      <c r="F144" s="24"/>
    </row>
    <row r="145" customFormat="false" ht="15" hidden="false" customHeight="false" outlineLevel="0" collapsed="false">
      <c r="A145" s="27"/>
      <c r="B145" s="24"/>
      <c r="C145" s="24"/>
      <c r="D145" s="24"/>
      <c r="E145" s="24"/>
      <c r="F145" s="24"/>
    </row>
    <row r="146" customFormat="false" ht="15" hidden="false" customHeight="false" outlineLevel="0" collapsed="false">
      <c r="A146" s="27"/>
      <c r="B146" s="24"/>
      <c r="C146" s="24"/>
      <c r="D146" s="24"/>
      <c r="E146" s="24"/>
      <c r="F146" s="24"/>
    </row>
    <row r="147" customFormat="false" ht="15" hidden="false" customHeight="false" outlineLevel="0" collapsed="false">
      <c r="A147" s="27"/>
      <c r="B147" s="24"/>
      <c r="C147" s="24"/>
      <c r="D147" s="24"/>
      <c r="E147" s="24"/>
      <c r="F147" s="24"/>
    </row>
    <row r="148" customFormat="false" ht="15" hidden="false" customHeight="false" outlineLevel="0" collapsed="false">
      <c r="A148" s="27"/>
      <c r="B148" s="24"/>
      <c r="C148" s="24"/>
      <c r="D148" s="24"/>
      <c r="E148" s="24"/>
      <c r="F148" s="24"/>
    </row>
    <row r="149" customFormat="false" ht="15" hidden="false" customHeight="false" outlineLevel="0" collapsed="false">
      <c r="A149" s="27"/>
      <c r="B149" s="24"/>
      <c r="C149" s="24"/>
      <c r="D149" s="24"/>
      <c r="E149" s="24"/>
      <c r="F149" s="24"/>
    </row>
    <row r="150" customFormat="false" ht="15" hidden="false" customHeight="false" outlineLevel="0" collapsed="false">
      <c r="A150" s="27"/>
      <c r="B150" s="24"/>
      <c r="C150" s="24"/>
      <c r="D150" s="24"/>
      <c r="E150" s="24"/>
      <c r="F150" s="24"/>
    </row>
    <row r="151" customFormat="false" ht="15" hidden="false" customHeight="false" outlineLevel="0" collapsed="false">
      <c r="A151" s="27"/>
      <c r="B151" s="24"/>
      <c r="C151" s="24"/>
      <c r="D151" s="24"/>
      <c r="E151" s="24"/>
      <c r="F151" s="24"/>
    </row>
    <row r="152" customFormat="false" ht="15" hidden="false" customHeight="false" outlineLevel="0" collapsed="false">
      <c r="A152" s="27"/>
      <c r="B152" s="24"/>
      <c r="C152" s="24"/>
      <c r="D152" s="24"/>
      <c r="E152" s="24"/>
      <c r="F152" s="24"/>
    </row>
    <row r="153" customFormat="false" ht="15" hidden="false" customHeight="false" outlineLevel="0" collapsed="false">
      <c r="A153" s="27"/>
      <c r="B153" s="24"/>
      <c r="C153" s="24"/>
      <c r="D153" s="24"/>
      <c r="E153" s="24"/>
      <c r="F153" s="24"/>
    </row>
    <row r="154" customFormat="false" ht="15" hidden="false" customHeight="false" outlineLevel="0" collapsed="false">
      <c r="A154" s="27"/>
      <c r="B154" s="24"/>
      <c r="C154" s="24"/>
      <c r="D154" s="24"/>
      <c r="E154" s="24"/>
      <c r="F154" s="24"/>
    </row>
    <row r="155" customFormat="false" ht="15" hidden="false" customHeight="false" outlineLevel="0" collapsed="false">
      <c r="A155" s="27"/>
      <c r="B155" s="24"/>
      <c r="C155" s="24"/>
      <c r="D155" s="24"/>
      <c r="E155" s="24"/>
      <c r="F155" s="24"/>
    </row>
    <row r="156" customFormat="false" ht="15" hidden="false" customHeight="false" outlineLevel="0" collapsed="false">
      <c r="A156" s="27"/>
      <c r="B156" s="24"/>
      <c r="C156" s="24"/>
      <c r="D156" s="24"/>
      <c r="E156" s="24"/>
      <c r="F156" s="24"/>
    </row>
    <row r="157" customFormat="false" ht="15" hidden="false" customHeight="false" outlineLevel="0" collapsed="false">
      <c r="A157" s="27"/>
      <c r="B157" s="24"/>
      <c r="C157" s="24"/>
      <c r="D157" s="24"/>
      <c r="E157" s="24"/>
      <c r="F157" s="24"/>
    </row>
    <row r="158" customFormat="false" ht="15" hidden="false" customHeight="false" outlineLevel="0" collapsed="false">
      <c r="A158" s="27"/>
      <c r="B158" s="24"/>
      <c r="C158" s="24"/>
      <c r="D158" s="24"/>
      <c r="E158" s="24"/>
      <c r="F158" s="24"/>
    </row>
    <row r="159" customFormat="false" ht="15" hidden="false" customHeight="false" outlineLevel="0" collapsed="false">
      <c r="A159" s="27"/>
      <c r="B159" s="24"/>
      <c r="C159" s="24"/>
      <c r="D159" s="24"/>
      <c r="E159" s="24"/>
      <c r="F159" s="24"/>
    </row>
    <row r="160" customFormat="false" ht="15" hidden="false" customHeight="false" outlineLevel="0" collapsed="false">
      <c r="A160" s="27"/>
      <c r="B160" s="24"/>
      <c r="C160" s="24"/>
      <c r="D160" s="24"/>
      <c r="E160" s="24"/>
      <c r="F160" s="24"/>
    </row>
    <row r="161" customFormat="false" ht="15" hidden="false" customHeight="false" outlineLevel="0" collapsed="false">
      <c r="A161" s="27"/>
      <c r="B161" s="24"/>
      <c r="C161" s="24"/>
      <c r="D161" s="24"/>
      <c r="E161" s="24"/>
      <c r="F161" s="24"/>
    </row>
    <row r="162" customFormat="false" ht="15" hidden="false" customHeight="false" outlineLevel="0" collapsed="false">
      <c r="A162" s="27"/>
      <c r="B162" s="24"/>
      <c r="C162" s="24"/>
      <c r="D162" s="24"/>
      <c r="E162" s="24"/>
      <c r="F162" s="24"/>
    </row>
    <row r="163" customFormat="false" ht="15" hidden="false" customHeight="false" outlineLevel="0" collapsed="false">
      <c r="A163" s="27"/>
      <c r="B163" s="24"/>
      <c r="C163" s="24"/>
      <c r="D163" s="24"/>
      <c r="E163" s="24"/>
      <c r="F163" s="24"/>
    </row>
    <row r="164" customFormat="false" ht="15" hidden="false" customHeight="false" outlineLevel="0" collapsed="false">
      <c r="A164" s="27"/>
      <c r="B164" s="24"/>
      <c r="C164" s="24"/>
      <c r="D164" s="24"/>
      <c r="E164" s="24"/>
      <c r="F164" s="24"/>
    </row>
    <row r="165" customFormat="false" ht="15" hidden="false" customHeight="false" outlineLevel="0" collapsed="false">
      <c r="A165" s="27"/>
      <c r="B165" s="24"/>
      <c r="C165" s="24"/>
      <c r="D165" s="24"/>
      <c r="E165" s="24"/>
      <c r="F165" s="24"/>
    </row>
    <row r="166" customFormat="false" ht="15" hidden="false" customHeight="false" outlineLevel="0" collapsed="false">
      <c r="A166" s="27"/>
      <c r="B166" s="24"/>
      <c r="C166" s="24"/>
      <c r="D166" s="24"/>
      <c r="E166" s="24"/>
      <c r="F166" s="24"/>
    </row>
    <row r="167" customFormat="false" ht="15" hidden="false" customHeight="false" outlineLevel="0" collapsed="false">
      <c r="A167" s="27"/>
      <c r="B167" s="24"/>
      <c r="C167" s="24"/>
      <c r="D167" s="24"/>
      <c r="E167" s="24"/>
      <c r="F167" s="24"/>
    </row>
    <row r="168" customFormat="false" ht="15" hidden="false" customHeight="false" outlineLevel="0" collapsed="false">
      <c r="A168" s="27"/>
      <c r="B168" s="24"/>
      <c r="C168" s="24"/>
      <c r="D168" s="24"/>
      <c r="E168" s="24"/>
      <c r="F168" s="24"/>
    </row>
    <row r="169" customFormat="false" ht="15" hidden="false" customHeight="false" outlineLevel="0" collapsed="false">
      <c r="A169" s="27"/>
      <c r="B169" s="24"/>
      <c r="C169" s="24"/>
      <c r="D169" s="24"/>
      <c r="E169" s="24"/>
      <c r="F169" s="24"/>
    </row>
    <row r="170" customFormat="false" ht="15" hidden="false" customHeight="false" outlineLevel="0" collapsed="false">
      <c r="A170" s="27"/>
      <c r="B170" s="24"/>
      <c r="C170" s="24"/>
      <c r="D170" s="24"/>
      <c r="E170" s="24"/>
      <c r="F170" s="24"/>
    </row>
    <row r="171" customFormat="false" ht="15" hidden="false" customHeight="false" outlineLevel="0" collapsed="false">
      <c r="A171" s="27"/>
      <c r="B171" s="24"/>
      <c r="C171" s="24"/>
      <c r="D171" s="24"/>
      <c r="E171" s="24"/>
      <c r="F171" s="24"/>
    </row>
    <row r="172" customFormat="false" ht="15" hidden="false" customHeight="false" outlineLevel="0" collapsed="false">
      <c r="A172" s="27"/>
      <c r="B172" s="24"/>
      <c r="C172" s="24"/>
      <c r="D172" s="24"/>
      <c r="E172" s="24"/>
      <c r="F172" s="24"/>
    </row>
    <row r="173" customFormat="false" ht="15" hidden="false" customHeight="false" outlineLevel="0" collapsed="false">
      <c r="A173" s="27"/>
      <c r="B173" s="24"/>
      <c r="C173" s="24"/>
      <c r="D173" s="24"/>
      <c r="E173" s="24"/>
      <c r="F173" s="24"/>
    </row>
    <row r="174" customFormat="false" ht="15" hidden="false" customHeight="false" outlineLevel="0" collapsed="false">
      <c r="A174" s="27"/>
      <c r="B174" s="24"/>
      <c r="C174" s="24"/>
      <c r="D174" s="24"/>
      <c r="E174" s="24"/>
      <c r="F174" s="24"/>
    </row>
    <row r="175" customFormat="false" ht="15" hidden="false" customHeight="false" outlineLevel="0" collapsed="false">
      <c r="A175" s="27"/>
      <c r="B175" s="24"/>
      <c r="C175" s="24"/>
      <c r="D175" s="24"/>
      <c r="E175" s="24"/>
      <c r="F175" s="24"/>
    </row>
    <row r="176" customFormat="false" ht="15" hidden="false" customHeight="false" outlineLevel="0" collapsed="false">
      <c r="A176" s="27"/>
      <c r="B176" s="24"/>
      <c r="C176" s="24"/>
      <c r="D176" s="24"/>
      <c r="E176" s="24"/>
      <c r="F176" s="24"/>
    </row>
    <row r="177" customFormat="false" ht="15" hidden="false" customHeight="false" outlineLevel="0" collapsed="false">
      <c r="A177" s="27"/>
      <c r="B177" s="24"/>
      <c r="C177" s="24"/>
      <c r="D177" s="24"/>
      <c r="E177" s="24"/>
      <c r="F177" s="24"/>
    </row>
    <row r="178" customFormat="false" ht="15" hidden="false" customHeight="false" outlineLevel="0" collapsed="false">
      <c r="A178" s="27"/>
      <c r="B178" s="24"/>
      <c r="C178" s="24"/>
      <c r="D178" s="24"/>
      <c r="E178" s="24"/>
      <c r="F178" s="24"/>
    </row>
    <row r="179" customFormat="false" ht="15" hidden="false" customHeight="false" outlineLevel="0" collapsed="false">
      <c r="A179" s="27"/>
      <c r="B179" s="24"/>
      <c r="C179" s="24"/>
      <c r="D179" s="24"/>
      <c r="E179" s="24"/>
      <c r="F179" s="24"/>
    </row>
    <row r="180" customFormat="false" ht="15" hidden="false" customHeight="false" outlineLevel="0" collapsed="false">
      <c r="A180" s="27"/>
      <c r="B180" s="24"/>
      <c r="C180" s="24"/>
      <c r="D180" s="24"/>
      <c r="E180" s="24"/>
      <c r="F180" s="24"/>
    </row>
    <row r="181" customFormat="false" ht="15" hidden="false" customHeight="false" outlineLevel="0" collapsed="false">
      <c r="A181" s="27"/>
      <c r="B181" s="24"/>
      <c r="C181" s="24"/>
      <c r="D181" s="24"/>
      <c r="E181" s="24"/>
      <c r="F181" s="24"/>
    </row>
    <row r="182" customFormat="false" ht="15" hidden="false" customHeight="false" outlineLevel="0" collapsed="false">
      <c r="A182" s="27"/>
      <c r="B182" s="24"/>
      <c r="C182" s="24"/>
      <c r="D182" s="24"/>
      <c r="E182" s="24"/>
      <c r="F182" s="24"/>
    </row>
    <row r="183" customFormat="false" ht="15" hidden="false" customHeight="false" outlineLevel="0" collapsed="false">
      <c r="A183" s="27"/>
      <c r="B183" s="24"/>
      <c r="C183" s="24"/>
      <c r="D183" s="24"/>
      <c r="E183" s="24"/>
      <c r="F183" s="24"/>
    </row>
    <row r="184" customFormat="false" ht="15" hidden="false" customHeight="false" outlineLevel="0" collapsed="false">
      <c r="A184" s="27"/>
      <c r="B184" s="24"/>
      <c r="C184" s="24"/>
      <c r="D184" s="24"/>
      <c r="E184" s="24"/>
      <c r="F184" s="24"/>
    </row>
    <row r="185" customFormat="false" ht="15" hidden="false" customHeight="false" outlineLevel="0" collapsed="false">
      <c r="A185" s="27"/>
      <c r="B185" s="24"/>
      <c r="C185" s="24"/>
      <c r="D185" s="24"/>
      <c r="E185" s="24"/>
      <c r="F185" s="24"/>
    </row>
    <row r="186" customFormat="false" ht="15" hidden="false" customHeight="false" outlineLevel="0" collapsed="false">
      <c r="A186" s="27"/>
      <c r="B186" s="24"/>
      <c r="C186" s="24"/>
      <c r="D186" s="24"/>
      <c r="E186" s="24"/>
      <c r="F186" s="24"/>
    </row>
    <row r="187" customFormat="false" ht="15" hidden="false" customHeight="false" outlineLevel="0" collapsed="false">
      <c r="A187" s="27"/>
      <c r="B187" s="24"/>
      <c r="C187" s="24"/>
      <c r="D187" s="24"/>
      <c r="E187" s="24"/>
      <c r="F187" s="24"/>
    </row>
    <row r="188" customFormat="false" ht="15" hidden="false" customHeight="false" outlineLevel="0" collapsed="false">
      <c r="A188" s="27"/>
      <c r="B188" s="24"/>
      <c r="C188" s="24"/>
      <c r="D188" s="24"/>
      <c r="E188" s="24"/>
      <c r="F188" s="24"/>
    </row>
    <row r="189" customFormat="false" ht="15" hidden="false" customHeight="false" outlineLevel="0" collapsed="false">
      <c r="A189" s="27"/>
      <c r="B189" s="24"/>
      <c r="C189" s="24"/>
      <c r="D189" s="24"/>
      <c r="E189" s="24"/>
      <c r="F189" s="24"/>
    </row>
    <row r="190" customFormat="false" ht="15" hidden="false" customHeight="false" outlineLevel="0" collapsed="false">
      <c r="A190" s="27"/>
      <c r="B190" s="24"/>
      <c r="C190" s="24"/>
      <c r="D190" s="24"/>
      <c r="E190" s="24"/>
      <c r="F190" s="24"/>
    </row>
    <row r="191" customFormat="false" ht="15" hidden="false" customHeight="false" outlineLevel="0" collapsed="false">
      <c r="A191" s="27"/>
      <c r="B191" s="24"/>
      <c r="C191" s="24"/>
      <c r="D191" s="24"/>
      <c r="E191" s="24"/>
      <c r="F191" s="24"/>
    </row>
    <row r="192" customFormat="false" ht="15" hidden="false" customHeight="false" outlineLevel="0" collapsed="false">
      <c r="A192" s="27"/>
      <c r="B192" s="24"/>
      <c r="C192" s="24"/>
      <c r="D192" s="24"/>
      <c r="E192" s="24"/>
      <c r="F192" s="24"/>
    </row>
    <row r="193" customFormat="false" ht="15" hidden="false" customHeight="false" outlineLevel="0" collapsed="false">
      <c r="A193" s="27"/>
      <c r="B193" s="24"/>
      <c r="C193" s="24"/>
      <c r="D193" s="24"/>
      <c r="E193" s="24"/>
      <c r="F193" s="24"/>
    </row>
    <row r="194" customFormat="false" ht="15" hidden="false" customHeight="false" outlineLevel="0" collapsed="false">
      <c r="A194" s="27"/>
      <c r="B194" s="24"/>
      <c r="C194" s="24"/>
      <c r="D194" s="24"/>
      <c r="E194" s="24"/>
      <c r="F194" s="24"/>
    </row>
    <row r="195" customFormat="false" ht="15" hidden="false" customHeight="false" outlineLevel="0" collapsed="false">
      <c r="A195" s="27"/>
      <c r="B195" s="24"/>
      <c r="C195" s="24"/>
      <c r="D195" s="24"/>
      <c r="E195" s="24"/>
      <c r="F195" s="24"/>
    </row>
    <row r="196" customFormat="false" ht="15" hidden="false" customHeight="false" outlineLevel="0" collapsed="false">
      <c r="A196" s="27"/>
      <c r="B196" s="24"/>
      <c r="C196" s="24"/>
      <c r="D196" s="24"/>
      <c r="E196" s="24"/>
      <c r="F196" s="24"/>
    </row>
    <row r="197" customFormat="false" ht="15" hidden="false" customHeight="false" outlineLevel="0" collapsed="false">
      <c r="A197" s="27"/>
      <c r="B197" s="24"/>
      <c r="C197" s="24"/>
      <c r="D197" s="24"/>
      <c r="E197" s="24"/>
      <c r="F197" s="24"/>
    </row>
    <row r="198" customFormat="false" ht="15" hidden="false" customHeight="false" outlineLevel="0" collapsed="false">
      <c r="A198" s="27"/>
      <c r="B198" s="24"/>
      <c r="C198" s="24"/>
      <c r="D198" s="24"/>
      <c r="E198" s="24"/>
      <c r="F198" s="24"/>
    </row>
    <row r="199" customFormat="false" ht="15" hidden="false" customHeight="false" outlineLevel="0" collapsed="false">
      <c r="A199" s="27"/>
      <c r="B199" s="24"/>
      <c r="C199" s="24"/>
      <c r="D199" s="24"/>
      <c r="E199" s="24"/>
      <c r="F199" s="24"/>
    </row>
    <row r="200" customFormat="false" ht="15" hidden="false" customHeight="false" outlineLevel="0" collapsed="false">
      <c r="A200" s="27"/>
      <c r="B200" s="24"/>
      <c r="C200" s="24"/>
      <c r="D200" s="24"/>
      <c r="E200" s="24"/>
      <c r="F200" s="24"/>
    </row>
    <row r="201" customFormat="false" ht="15" hidden="false" customHeight="false" outlineLevel="0" collapsed="false">
      <c r="A201" s="27"/>
      <c r="B201" s="24"/>
      <c r="C201" s="24"/>
      <c r="D201" s="24"/>
      <c r="E201" s="24"/>
      <c r="F201" s="24"/>
    </row>
    <row r="202" customFormat="false" ht="15" hidden="false" customHeight="false" outlineLevel="0" collapsed="false">
      <c r="A202" s="27"/>
      <c r="B202" s="24"/>
      <c r="C202" s="24"/>
      <c r="D202" s="24"/>
      <c r="E202" s="24"/>
      <c r="F202" s="24"/>
    </row>
    <row r="203" customFormat="false" ht="15" hidden="false" customHeight="false" outlineLevel="0" collapsed="false">
      <c r="A203" s="27"/>
      <c r="B203" s="24"/>
      <c r="C203" s="24"/>
      <c r="D203" s="24"/>
      <c r="E203" s="24"/>
      <c r="F203" s="24"/>
    </row>
    <row r="204" customFormat="false" ht="15" hidden="false" customHeight="false" outlineLevel="0" collapsed="false">
      <c r="A204" s="27"/>
      <c r="B204" s="24"/>
      <c r="C204" s="24"/>
      <c r="D204" s="24"/>
      <c r="E204" s="24"/>
      <c r="F204" s="24"/>
    </row>
    <row r="205" customFormat="false" ht="15" hidden="false" customHeight="false" outlineLevel="0" collapsed="false">
      <c r="A205" s="27"/>
      <c r="B205" s="24"/>
      <c r="C205" s="24"/>
      <c r="D205" s="24"/>
      <c r="E205" s="24"/>
      <c r="F205" s="24"/>
    </row>
    <row r="206" customFormat="false" ht="15" hidden="false" customHeight="false" outlineLevel="0" collapsed="false">
      <c r="A206" s="27"/>
      <c r="B206" s="24"/>
      <c r="C206" s="24"/>
      <c r="D206" s="24"/>
      <c r="E206" s="24"/>
      <c r="F206" s="24"/>
    </row>
    <row r="207" customFormat="false" ht="15" hidden="false" customHeight="false" outlineLevel="0" collapsed="false">
      <c r="A207" s="27"/>
      <c r="B207" s="24"/>
      <c r="C207" s="24"/>
      <c r="D207" s="24"/>
      <c r="E207" s="24"/>
      <c r="F207" s="24"/>
    </row>
    <row r="208" customFormat="false" ht="15" hidden="false" customHeight="false" outlineLevel="0" collapsed="false">
      <c r="A208" s="27"/>
      <c r="B208" s="24"/>
      <c r="C208" s="24"/>
      <c r="D208" s="24"/>
      <c r="E208" s="24"/>
      <c r="F208" s="24"/>
    </row>
    <row r="209" customFormat="false" ht="15" hidden="false" customHeight="false" outlineLevel="0" collapsed="false">
      <c r="A209" s="27"/>
      <c r="B209" s="24"/>
      <c r="C209" s="24"/>
      <c r="D209" s="24"/>
      <c r="E209" s="24"/>
      <c r="F209" s="24"/>
    </row>
    <row r="210" customFormat="false" ht="15" hidden="false" customHeight="false" outlineLevel="0" collapsed="false">
      <c r="A210" s="27"/>
      <c r="B210" s="24"/>
      <c r="C210" s="24"/>
      <c r="D210" s="24"/>
      <c r="E210" s="24"/>
      <c r="F210" s="24"/>
    </row>
    <row r="211" customFormat="false" ht="15" hidden="false" customHeight="false" outlineLevel="0" collapsed="false">
      <c r="A211" s="27"/>
      <c r="B211" s="24"/>
      <c r="C211" s="24"/>
      <c r="D211" s="24"/>
      <c r="E211" s="24"/>
      <c r="F211" s="24"/>
    </row>
    <row r="212" customFormat="false" ht="15" hidden="false" customHeight="false" outlineLevel="0" collapsed="false">
      <c r="A212" s="27"/>
      <c r="B212" s="24"/>
      <c r="C212" s="24"/>
      <c r="D212" s="24"/>
      <c r="E212" s="24"/>
      <c r="F212" s="24"/>
    </row>
    <row r="213" customFormat="false" ht="15" hidden="false" customHeight="false" outlineLevel="0" collapsed="false">
      <c r="A213" s="27"/>
      <c r="B213" s="24"/>
      <c r="C213" s="24"/>
      <c r="D213" s="24"/>
      <c r="E213" s="24"/>
      <c r="F213" s="24"/>
    </row>
    <row r="214" customFormat="false" ht="15" hidden="false" customHeight="false" outlineLevel="0" collapsed="false">
      <c r="A214" s="27"/>
      <c r="B214" s="24"/>
      <c r="C214" s="24"/>
      <c r="D214" s="24"/>
      <c r="E214" s="24"/>
      <c r="F214" s="24"/>
    </row>
    <row r="215" customFormat="false" ht="15" hidden="false" customHeight="false" outlineLevel="0" collapsed="false">
      <c r="A215" s="27"/>
      <c r="B215" s="24"/>
      <c r="C215" s="24"/>
      <c r="D215" s="24"/>
      <c r="E215" s="24"/>
      <c r="F215" s="24"/>
    </row>
    <row r="216" customFormat="false" ht="15" hidden="false" customHeight="false" outlineLevel="0" collapsed="false">
      <c r="A216" s="27"/>
      <c r="B216" s="24"/>
      <c r="C216" s="24"/>
      <c r="D216" s="24"/>
      <c r="E216" s="24"/>
      <c r="F216" s="24"/>
    </row>
    <row r="217" customFormat="false" ht="15" hidden="false" customHeight="false" outlineLevel="0" collapsed="false">
      <c r="A217" s="27"/>
      <c r="B217" s="24"/>
      <c r="C217" s="24"/>
      <c r="D217" s="24"/>
      <c r="E217" s="24"/>
      <c r="F217" s="24"/>
    </row>
    <row r="218" customFormat="false" ht="15" hidden="false" customHeight="false" outlineLevel="0" collapsed="false">
      <c r="A218" s="27"/>
      <c r="B218" s="24"/>
      <c r="C218" s="24"/>
      <c r="D218" s="24"/>
      <c r="E218" s="24"/>
      <c r="F218" s="24"/>
    </row>
    <row r="219" customFormat="false" ht="15" hidden="false" customHeight="false" outlineLevel="0" collapsed="false">
      <c r="A219" s="27"/>
      <c r="B219" s="24"/>
      <c r="C219" s="24"/>
      <c r="D219" s="24"/>
      <c r="E219" s="24"/>
      <c r="F219" s="24"/>
    </row>
    <row r="220" customFormat="false" ht="15" hidden="false" customHeight="false" outlineLevel="0" collapsed="false">
      <c r="A220" s="27"/>
      <c r="B220" s="24"/>
      <c r="C220" s="24"/>
      <c r="D220" s="24"/>
      <c r="E220" s="24"/>
      <c r="F220" s="24"/>
    </row>
    <row r="221" customFormat="false" ht="15" hidden="false" customHeight="false" outlineLevel="0" collapsed="false">
      <c r="A221" s="27"/>
      <c r="B221" s="24"/>
      <c r="C221" s="24"/>
      <c r="D221" s="24"/>
      <c r="E221" s="24"/>
      <c r="F221" s="24"/>
    </row>
    <row r="222" customFormat="false" ht="15" hidden="false" customHeight="false" outlineLevel="0" collapsed="false">
      <c r="A222" s="27"/>
      <c r="B222" s="24"/>
      <c r="C222" s="24"/>
      <c r="D222" s="24"/>
      <c r="E222" s="24"/>
      <c r="F222" s="24"/>
    </row>
    <row r="223" customFormat="false" ht="15" hidden="false" customHeight="false" outlineLevel="0" collapsed="false">
      <c r="A223" s="27"/>
      <c r="B223" s="24"/>
      <c r="C223" s="24"/>
      <c r="D223" s="24"/>
      <c r="E223" s="24"/>
      <c r="F223" s="24"/>
    </row>
    <row r="224" customFormat="false" ht="15" hidden="false" customHeight="false" outlineLevel="0" collapsed="false">
      <c r="A224" s="27"/>
      <c r="B224" s="24"/>
      <c r="C224" s="24"/>
      <c r="D224" s="24"/>
      <c r="E224" s="24"/>
      <c r="F224" s="24"/>
    </row>
    <row r="225" customFormat="false" ht="15" hidden="false" customHeight="false" outlineLevel="0" collapsed="false">
      <c r="A225" s="27"/>
      <c r="B225" s="24"/>
      <c r="C225" s="24"/>
      <c r="D225" s="24"/>
      <c r="E225" s="24"/>
      <c r="F225" s="24"/>
    </row>
    <row r="226" customFormat="false" ht="15" hidden="false" customHeight="false" outlineLevel="0" collapsed="false">
      <c r="A226" s="27"/>
      <c r="B226" s="24"/>
      <c r="C226" s="24"/>
      <c r="D226" s="24"/>
      <c r="E226" s="24"/>
      <c r="F226" s="24"/>
    </row>
    <row r="227" customFormat="false" ht="15" hidden="false" customHeight="false" outlineLevel="0" collapsed="false">
      <c r="A227" s="27"/>
      <c r="B227" s="24"/>
      <c r="C227" s="24"/>
      <c r="D227" s="24"/>
      <c r="E227" s="24"/>
      <c r="F227" s="24"/>
    </row>
    <row r="228" customFormat="false" ht="15" hidden="false" customHeight="false" outlineLevel="0" collapsed="false">
      <c r="A228" s="27"/>
      <c r="B228" s="24"/>
      <c r="C228" s="24"/>
      <c r="D228" s="24"/>
      <c r="E228" s="24"/>
      <c r="F228" s="24"/>
    </row>
    <row r="229" customFormat="false" ht="15" hidden="false" customHeight="false" outlineLevel="0" collapsed="false">
      <c r="A229" s="27"/>
      <c r="B229" s="24"/>
      <c r="C229" s="24"/>
      <c r="D229" s="24"/>
      <c r="E229" s="24"/>
      <c r="F229" s="24"/>
    </row>
    <row r="230" customFormat="false" ht="15" hidden="false" customHeight="false" outlineLevel="0" collapsed="false">
      <c r="A230" s="27"/>
      <c r="B230" s="24"/>
      <c r="C230" s="24"/>
      <c r="D230" s="24"/>
      <c r="E230" s="24"/>
      <c r="F230" s="24"/>
    </row>
    <row r="231" customFormat="false" ht="15" hidden="false" customHeight="false" outlineLevel="0" collapsed="false">
      <c r="A231" s="27"/>
      <c r="B231" s="24"/>
      <c r="C231" s="24"/>
      <c r="D231" s="24"/>
      <c r="E231" s="24"/>
      <c r="F231" s="24"/>
    </row>
    <row r="232" customFormat="false" ht="15" hidden="false" customHeight="false" outlineLevel="0" collapsed="false">
      <c r="A232" s="27"/>
      <c r="B232" s="24"/>
      <c r="C232" s="24"/>
      <c r="D232" s="24"/>
      <c r="E232" s="24"/>
      <c r="F232" s="24"/>
    </row>
    <row r="233" customFormat="false" ht="15" hidden="false" customHeight="false" outlineLevel="0" collapsed="false">
      <c r="A233" s="27"/>
      <c r="B233" s="24"/>
      <c r="C233" s="24"/>
      <c r="D233" s="24"/>
      <c r="E233" s="24"/>
      <c r="F233" s="24"/>
    </row>
    <row r="234" customFormat="false" ht="15" hidden="false" customHeight="false" outlineLevel="0" collapsed="false">
      <c r="A234" s="27"/>
      <c r="B234" s="24"/>
      <c r="C234" s="24"/>
      <c r="D234" s="24"/>
      <c r="E234" s="24"/>
      <c r="F234" s="24"/>
    </row>
    <row r="235" customFormat="false" ht="15" hidden="false" customHeight="false" outlineLevel="0" collapsed="false">
      <c r="A235" s="27"/>
      <c r="B235" s="24"/>
      <c r="C235" s="24"/>
      <c r="D235" s="24"/>
      <c r="E235" s="24"/>
      <c r="F235" s="24"/>
    </row>
    <row r="236" customFormat="false" ht="15" hidden="false" customHeight="false" outlineLevel="0" collapsed="false">
      <c r="A236" s="27"/>
      <c r="B236" s="24"/>
      <c r="C236" s="24"/>
      <c r="D236" s="24"/>
      <c r="E236" s="24"/>
      <c r="F236" s="24"/>
    </row>
    <row r="237" customFormat="false" ht="15" hidden="false" customHeight="false" outlineLevel="0" collapsed="false">
      <c r="A237" s="27"/>
      <c r="B237" s="24"/>
      <c r="C237" s="24"/>
      <c r="D237" s="24"/>
      <c r="E237" s="24"/>
      <c r="F237" s="24"/>
    </row>
    <row r="238" customFormat="false" ht="15" hidden="false" customHeight="false" outlineLevel="0" collapsed="false">
      <c r="A238" s="27"/>
      <c r="B238" s="24"/>
      <c r="C238" s="24"/>
      <c r="D238" s="24"/>
      <c r="E238" s="24"/>
      <c r="F238" s="24"/>
    </row>
    <row r="239" customFormat="false" ht="15" hidden="false" customHeight="false" outlineLevel="0" collapsed="false">
      <c r="A239" s="27"/>
      <c r="B239" s="24"/>
      <c r="C239" s="24"/>
      <c r="D239" s="24"/>
      <c r="E239" s="24"/>
      <c r="F239" s="24"/>
    </row>
    <row r="240" customFormat="false" ht="15" hidden="false" customHeight="false" outlineLevel="0" collapsed="false">
      <c r="A240" s="27"/>
      <c r="B240" s="24"/>
      <c r="C240" s="24"/>
      <c r="D240" s="24"/>
      <c r="E240" s="24"/>
      <c r="F240" s="24"/>
    </row>
    <row r="241" customFormat="false" ht="15" hidden="false" customHeight="false" outlineLevel="0" collapsed="false">
      <c r="A241" s="27"/>
      <c r="B241" s="24"/>
      <c r="C241" s="24"/>
      <c r="D241" s="24"/>
      <c r="E241" s="24"/>
      <c r="F241" s="24"/>
    </row>
    <row r="242" customFormat="false" ht="15" hidden="false" customHeight="false" outlineLevel="0" collapsed="false">
      <c r="A242" s="27"/>
      <c r="B242" s="24"/>
      <c r="C242" s="24"/>
      <c r="D242" s="24"/>
      <c r="E242" s="24"/>
      <c r="F242" s="24"/>
    </row>
    <row r="243" customFormat="false" ht="15" hidden="false" customHeight="false" outlineLevel="0" collapsed="false">
      <c r="A243" s="27"/>
      <c r="B243" s="24"/>
      <c r="C243" s="24"/>
      <c r="D243" s="24"/>
      <c r="E243" s="24"/>
      <c r="F243" s="24"/>
    </row>
    <row r="244" customFormat="false" ht="15" hidden="false" customHeight="false" outlineLevel="0" collapsed="false">
      <c r="A244" s="27"/>
      <c r="B244" s="24"/>
      <c r="C244" s="24"/>
      <c r="D244" s="24"/>
      <c r="E244" s="24"/>
      <c r="F244" s="24"/>
    </row>
    <row r="245" customFormat="false" ht="15" hidden="false" customHeight="false" outlineLevel="0" collapsed="false">
      <c r="A245" s="27"/>
      <c r="B245" s="24"/>
      <c r="C245" s="24"/>
      <c r="D245" s="24"/>
      <c r="E245" s="24"/>
      <c r="F245" s="24"/>
    </row>
    <row r="246" customFormat="false" ht="15" hidden="false" customHeight="false" outlineLevel="0" collapsed="false">
      <c r="A246" s="27"/>
      <c r="B246" s="24"/>
      <c r="C246" s="24"/>
      <c r="D246" s="24"/>
      <c r="E246" s="24"/>
      <c r="F246" s="24"/>
    </row>
    <row r="247" customFormat="false" ht="15" hidden="false" customHeight="false" outlineLevel="0" collapsed="false">
      <c r="A247" s="27"/>
      <c r="B247" s="24"/>
      <c r="C247" s="24"/>
      <c r="D247" s="24"/>
      <c r="E247" s="24"/>
      <c r="F247" s="24"/>
    </row>
    <row r="248" customFormat="false" ht="15" hidden="false" customHeight="false" outlineLevel="0" collapsed="false">
      <c r="A248" s="27"/>
      <c r="B248" s="24"/>
      <c r="C248" s="24"/>
      <c r="D248" s="24"/>
      <c r="E248" s="24"/>
      <c r="F248" s="24"/>
    </row>
    <row r="249" customFormat="false" ht="15" hidden="false" customHeight="false" outlineLevel="0" collapsed="false">
      <c r="A249" s="27"/>
      <c r="B249" s="24"/>
      <c r="C249" s="24"/>
      <c r="D249" s="24"/>
      <c r="E249" s="24"/>
      <c r="F249" s="24"/>
    </row>
    <row r="250" customFormat="false" ht="15" hidden="false" customHeight="false" outlineLevel="0" collapsed="false">
      <c r="A250" s="27"/>
      <c r="B250" s="24"/>
      <c r="C250" s="24"/>
      <c r="D250" s="24"/>
      <c r="E250" s="24"/>
      <c r="F250" s="24"/>
    </row>
    <row r="251" customFormat="false" ht="15" hidden="false" customHeight="false" outlineLevel="0" collapsed="false">
      <c r="A251" s="27"/>
      <c r="B251" s="24"/>
      <c r="C251" s="24"/>
      <c r="D251" s="24"/>
      <c r="E251" s="24"/>
      <c r="F251" s="24"/>
    </row>
    <row r="252" customFormat="false" ht="15" hidden="false" customHeight="false" outlineLevel="0" collapsed="false">
      <c r="A252" s="27"/>
      <c r="B252" s="24"/>
      <c r="C252" s="24"/>
      <c r="D252" s="24"/>
      <c r="E252" s="24"/>
      <c r="F252" s="24"/>
    </row>
    <row r="253" customFormat="false" ht="15" hidden="false" customHeight="false" outlineLevel="0" collapsed="false">
      <c r="A253" s="27"/>
      <c r="B253" s="24"/>
      <c r="C253" s="24"/>
      <c r="D253" s="24"/>
      <c r="E253" s="24"/>
      <c r="F253" s="24"/>
    </row>
    <row r="254" customFormat="false" ht="15" hidden="false" customHeight="false" outlineLevel="0" collapsed="false">
      <c r="A254" s="27"/>
      <c r="B254" s="24"/>
      <c r="C254" s="24"/>
      <c r="D254" s="24"/>
      <c r="E254" s="24"/>
      <c r="F254" s="24"/>
    </row>
    <row r="255" customFormat="false" ht="15" hidden="false" customHeight="false" outlineLevel="0" collapsed="false">
      <c r="A255" s="27"/>
      <c r="B255" s="24"/>
      <c r="C255" s="24"/>
      <c r="D255" s="24"/>
      <c r="E255" s="24"/>
      <c r="F255" s="24"/>
    </row>
    <row r="256" customFormat="false" ht="15" hidden="false" customHeight="false" outlineLevel="0" collapsed="false">
      <c r="A256" s="27"/>
      <c r="B256" s="24"/>
      <c r="C256" s="24"/>
      <c r="D256" s="24"/>
      <c r="E256" s="24"/>
      <c r="F256" s="24"/>
    </row>
    <row r="257" customFormat="false" ht="15" hidden="false" customHeight="false" outlineLevel="0" collapsed="false">
      <c r="A257" s="27"/>
      <c r="B257" s="24"/>
      <c r="C257" s="24"/>
      <c r="D257" s="24"/>
      <c r="E257" s="24"/>
      <c r="F257" s="24"/>
    </row>
    <row r="258" customFormat="false" ht="15" hidden="false" customHeight="false" outlineLevel="0" collapsed="false">
      <c r="A258" s="27"/>
      <c r="B258" s="24"/>
      <c r="C258" s="24"/>
      <c r="D258" s="24"/>
      <c r="E258" s="24"/>
      <c r="F258" s="24"/>
    </row>
    <row r="259" customFormat="false" ht="15" hidden="false" customHeight="false" outlineLevel="0" collapsed="false">
      <c r="A259" s="27"/>
      <c r="B259" s="24"/>
      <c r="C259" s="24"/>
      <c r="D259" s="24"/>
      <c r="E259" s="24"/>
      <c r="F259" s="24"/>
    </row>
    <row r="260" customFormat="false" ht="15" hidden="false" customHeight="false" outlineLevel="0" collapsed="false">
      <c r="A260" s="27"/>
      <c r="B260" s="24"/>
      <c r="C260" s="24"/>
      <c r="D260" s="24"/>
      <c r="E260" s="24"/>
      <c r="F260" s="24"/>
    </row>
    <row r="261" customFormat="false" ht="15" hidden="false" customHeight="false" outlineLevel="0" collapsed="false">
      <c r="A261" s="27"/>
      <c r="B261" s="24"/>
      <c r="C261" s="24"/>
      <c r="D261" s="24"/>
      <c r="E261" s="24"/>
      <c r="F261" s="24"/>
    </row>
    <row r="262" customFormat="false" ht="15" hidden="false" customHeight="false" outlineLevel="0" collapsed="false">
      <c r="A262" s="27"/>
      <c r="B262" s="24"/>
      <c r="C262" s="24"/>
      <c r="D262" s="24"/>
      <c r="E262" s="24"/>
      <c r="F262" s="24"/>
    </row>
    <row r="263" customFormat="false" ht="15" hidden="false" customHeight="false" outlineLevel="0" collapsed="false">
      <c r="A263" s="27"/>
      <c r="B263" s="24"/>
      <c r="C263" s="24"/>
      <c r="D263" s="24"/>
      <c r="E263" s="24"/>
      <c r="F263" s="24"/>
    </row>
    <row r="264" customFormat="false" ht="15" hidden="false" customHeight="false" outlineLevel="0" collapsed="false">
      <c r="A264" s="27"/>
      <c r="B264" s="24"/>
      <c r="C264" s="24"/>
      <c r="D264" s="24"/>
      <c r="E264" s="24"/>
      <c r="F264" s="24"/>
    </row>
    <row r="265" customFormat="false" ht="15" hidden="false" customHeight="false" outlineLevel="0" collapsed="false">
      <c r="A265" s="27"/>
      <c r="B265" s="24"/>
      <c r="C265" s="24"/>
      <c r="D265" s="24"/>
      <c r="E265" s="24"/>
      <c r="F265" s="24"/>
    </row>
    <row r="266" customFormat="false" ht="15" hidden="false" customHeight="false" outlineLevel="0" collapsed="false">
      <c r="A266" s="27"/>
      <c r="B266" s="24"/>
      <c r="C266" s="24"/>
      <c r="D266" s="24"/>
      <c r="E266" s="24"/>
      <c r="F266" s="24"/>
    </row>
    <row r="267" customFormat="false" ht="15" hidden="false" customHeight="false" outlineLevel="0" collapsed="false">
      <c r="A267" s="27"/>
      <c r="B267" s="24"/>
      <c r="C267" s="24"/>
      <c r="D267" s="24"/>
      <c r="E267" s="24"/>
      <c r="F267" s="24"/>
    </row>
    <row r="268" customFormat="false" ht="15" hidden="false" customHeight="false" outlineLevel="0" collapsed="false">
      <c r="A268" s="27"/>
      <c r="B268" s="24"/>
      <c r="C268" s="24"/>
      <c r="D268" s="24"/>
      <c r="E268" s="24"/>
      <c r="F268" s="24"/>
    </row>
    <row r="269" customFormat="false" ht="15" hidden="false" customHeight="false" outlineLevel="0" collapsed="false">
      <c r="A269" s="27"/>
      <c r="B269" s="24"/>
      <c r="C269" s="24"/>
      <c r="D269" s="24"/>
      <c r="E269" s="24"/>
      <c r="F269" s="24"/>
    </row>
    <row r="270" customFormat="false" ht="15" hidden="false" customHeight="false" outlineLevel="0" collapsed="false">
      <c r="A270" s="27"/>
      <c r="B270" s="24"/>
      <c r="C270" s="24"/>
      <c r="D270" s="24"/>
      <c r="E270" s="24"/>
      <c r="F270" s="24"/>
    </row>
    <row r="271" customFormat="false" ht="15" hidden="false" customHeight="false" outlineLevel="0" collapsed="false">
      <c r="A271" s="27"/>
      <c r="B271" s="24"/>
      <c r="C271" s="24"/>
      <c r="D271" s="24"/>
      <c r="E271" s="24"/>
      <c r="F271" s="24"/>
    </row>
    <row r="272" customFormat="false" ht="15" hidden="false" customHeight="false" outlineLevel="0" collapsed="false">
      <c r="A272" s="27"/>
      <c r="B272" s="24"/>
      <c r="C272" s="24"/>
      <c r="D272" s="24"/>
      <c r="E272" s="24"/>
      <c r="F272" s="24"/>
    </row>
    <row r="273" customFormat="false" ht="15" hidden="false" customHeight="false" outlineLevel="0" collapsed="false">
      <c r="A273" s="27"/>
      <c r="B273" s="24"/>
      <c r="C273" s="24"/>
      <c r="D273" s="24"/>
      <c r="E273" s="24"/>
      <c r="F273" s="24"/>
    </row>
    <row r="274" customFormat="false" ht="15" hidden="false" customHeight="false" outlineLevel="0" collapsed="false">
      <c r="A274" s="27"/>
      <c r="B274" s="24"/>
      <c r="C274" s="24"/>
      <c r="D274" s="24"/>
      <c r="E274" s="24"/>
      <c r="F274" s="24"/>
    </row>
    <row r="275" customFormat="false" ht="15" hidden="false" customHeight="false" outlineLevel="0" collapsed="false">
      <c r="A275" s="27"/>
      <c r="B275" s="24"/>
      <c r="C275" s="24"/>
      <c r="D275" s="24"/>
      <c r="E275" s="24"/>
      <c r="F275" s="24"/>
    </row>
    <row r="276" customFormat="false" ht="15" hidden="false" customHeight="false" outlineLevel="0" collapsed="false">
      <c r="A276" s="27"/>
      <c r="B276" s="24"/>
      <c r="C276" s="24"/>
      <c r="D276" s="24"/>
      <c r="E276" s="24"/>
      <c r="F276" s="24"/>
    </row>
    <row r="277" customFormat="false" ht="15" hidden="false" customHeight="false" outlineLevel="0" collapsed="false">
      <c r="A277" s="27"/>
      <c r="B277" s="24"/>
      <c r="C277" s="24"/>
      <c r="D277" s="24"/>
      <c r="E277" s="24"/>
      <c r="F277" s="24"/>
    </row>
    <row r="278" customFormat="false" ht="15" hidden="false" customHeight="false" outlineLevel="0" collapsed="false">
      <c r="A278" s="27"/>
      <c r="B278" s="24"/>
      <c r="C278" s="24"/>
      <c r="D278" s="24"/>
      <c r="E278" s="24"/>
      <c r="F278" s="24"/>
    </row>
    <row r="279" customFormat="false" ht="15" hidden="false" customHeight="false" outlineLevel="0" collapsed="false">
      <c r="A279" s="27"/>
      <c r="B279" s="24"/>
      <c r="C279" s="24"/>
      <c r="D279" s="24"/>
      <c r="E279" s="24"/>
      <c r="F279" s="24"/>
    </row>
    <row r="280" customFormat="false" ht="15" hidden="false" customHeight="false" outlineLevel="0" collapsed="false">
      <c r="A280" s="27"/>
      <c r="B280" s="24"/>
      <c r="C280" s="24"/>
      <c r="D280" s="24"/>
      <c r="E280" s="24"/>
      <c r="F280" s="24"/>
    </row>
    <row r="281" customFormat="false" ht="15" hidden="false" customHeight="false" outlineLevel="0" collapsed="false">
      <c r="A281" s="27"/>
      <c r="B281" s="24"/>
      <c r="C281" s="24"/>
      <c r="D281" s="24"/>
      <c r="E281" s="24"/>
      <c r="F281" s="24"/>
    </row>
    <row r="282" customFormat="false" ht="15" hidden="false" customHeight="false" outlineLevel="0" collapsed="false">
      <c r="A282" s="27"/>
      <c r="B282" s="24"/>
      <c r="C282" s="24"/>
      <c r="D282" s="24"/>
      <c r="E282" s="24"/>
      <c r="F282" s="24"/>
    </row>
    <row r="283" customFormat="false" ht="15" hidden="false" customHeight="false" outlineLevel="0" collapsed="false">
      <c r="A283" s="27"/>
      <c r="B283" s="24"/>
      <c r="C283" s="24"/>
      <c r="D283" s="24"/>
      <c r="E283" s="24"/>
      <c r="F283" s="24"/>
    </row>
    <row r="284" customFormat="false" ht="15" hidden="false" customHeight="false" outlineLevel="0" collapsed="false">
      <c r="A284" s="27"/>
      <c r="B284" s="24"/>
      <c r="C284" s="24"/>
      <c r="D284" s="24"/>
      <c r="E284" s="24"/>
      <c r="F284" s="24"/>
    </row>
    <row r="285" customFormat="false" ht="15" hidden="false" customHeight="false" outlineLevel="0" collapsed="false">
      <c r="A285" s="27"/>
      <c r="B285" s="24"/>
      <c r="C285" s="24"/>
      <c r="D285" s="24"/>
      <c r="E285" s="24"/>
      <c r="F285" s="24"/>
    </row>
    <row r="286" customFormat="false" ht="15" hidden="false" customHeight="false" outlineLevel="0" collapsed="false">
      <c r="A286" s="27"/>
      <c r="B286" s="24"/>
      <c r="C286" s="24"/>
      <c r="D286" s="24"/>
      <c r="E286" s="24"/>
      <c r="F286" s="24"/>
    </row>
    <row r="287" customFormat="false" ht="15" hidden="false" customHeight="false" outlineLevel="0" collapsed="false">
      <c r="A287" s="27"/>
      <c r="B287" s="24"/>
      <c r="C287" s="24"/>
      <c r="D287" s="24"/>
      <c r="E287" s="24"/>
      <c r="F287" s="24"/>
    </row>
    <row r="288" customFormat="false" ht="15" hidden="false" customHeight="false" outlineLevel="0" collapsed="false">
      <c r="A288" s="27"/>
      <c r="B288" s="24"/>
      <c r="C288" s="24"/>
      <c r="D288" s="24"/>
      <c r="E288" s="24"/>
      <c r="F288" s="24"/>
    </row>
    <row r="289" customFormat="false" ht="15" hidden="false" customHeight="false" outlineLevel="0" collapsed="false">
      <c r="A289" s="27"/>
      <c r="B289" s="24"/>
      <c r="C289" s="24"/>
      <c r="D289" s="24"/>
      <c r="E289" s="24"/>
      <c r="F289" s="24"/>
    </row>
    <row r="290" customFormat="false" ht="15" hidden="false" customHeight="false" outlineLevel="0" collapsed="false">
      <c r="A290" s="27"/>
      <c r="B290" s="24"/>
      <c r="C290" s="24"/>
      <c r="D290" s="24"/>
      <c r="E290" s="24"/>
      <c r="F290" s="24"/>
    </row>
    <row r="291" customFormat="false" ht="15" hidden="false" customHeight="false" outlineLevel="0" collapsed="false">
      <c r="A291" s="27"/>
      <c r="B291" s="24"/>
      <c r="C291" s="24"/>
      <c r="D291" s="24"/>
      <c r="E291" s="24"/>
      <c r="F291" s="24"/>
    </row>
    <row r="292" customFormat="false" ht="15" hidden="false" customHeight="false" outlineLevel="0" collapsed="false">
      <c r="A292" s="27"/>
      <c r="B292" s="24"/>
      <c r="C292" s="24"/>
      <c r="D292" s="24"/>
      <c r="E292" s="24"/>
      <c r="F292" s="24"/>
    </row>
    <row r="293" customFormat="false" ht="15" hidden="false" customHeight="false" outlineLevel="0" collapsed="false">
      <c r="A293" s="27"/>
      <c r="B293" s="24"/>
      <c r="C293" s="24"/>
      <c r="D293" s="24"/>
      <c r="E293" s="24"/>
      <c r="F293" s="24"/>
    </row>
    <row r="294" customFormat="false" ht="15" hidden="false" customHeight="false" outlineLevel="0" collapsed="false">
      <c r="A294" s="27"/>
      <c r="B294" s="24"/>
      <c r="C294" s="24"/>
      <c r="D294" s="24"/>
      <c r="E294" s="24"/>
      <c r="F294" s="24"/>
    </row>
    <row r="295" customFormat="false" ht="15" hidden="false" customHeight="false" outlineLevel="0" collapsed="false">
      <c r="A295" s="27"/>
      <c r="B295" s="24"/>
      <c r="C295" s="24"/>
      <c r="D295" s="24"/>
      <c r="E295" s="24"/>
      <c r="F295" s="24"/>
    </row>
    <row r="296" customFormat="false" ht="15" hidden="false" customHeight="false" outlineLevel="0" collapsed="false">
      <c r="A296" s="27"/>
      <c r="B296" s="24"/>
      <c r="C296" s="24"/>
      <c r="D296" s="24"/>
      <c r="E296" s="24"/>
      <c r="F296" s="24"/>
    </row>
    <row r="297" customFormat="false" ht="15" hidden="false" customHeight="false" outlineLevel="0" collapsed="false">
      <c r="A297" s="27"/>
      <c r="B297" s="24"/>
      <c r="C297" s="24"/>
      <c r="D297" s="24"/>
      <c r="E297" s="24"/>
      <c r="F297" s="24"/>
    </row>
    <row r="298" customFormat="false" ht="15" hidden="false" customHeight="false" outlineLevel="0" collapsed="false">
      <c r="A298" s="27"/>
      <c r="B298" s="24"/>
      <c r="C298" s="24"/>
      <c r="D298" s="24"/>
      <c r="E298" s="24"/>
      <c r="F298" s="24"/>
    </row>
    <row r="299" customFormat="false" ht="15" hidden="false" customHeight="false" outlineLevel="0" collapsed="false">
      <c r="A299" s="27"/>
      <c r="B299" s="24"/>
      <c r="C299" s="24"/>
      <c r="D299" s="24"/>
      <c r="E299" s="24"/>
      <c r="F299" s="24"/>
    </row>
    <row r="300" customFormat="false" ht="15" hidden="false" customHeight="false" outlineLevel="0" collapsed="false">
      <c r="A300" s="27"/>
      <c r="B300" s="24"/>
      <c r="C300" s="24"/>
      <c r="D300" s="24"/>
      <c r="E300" s="24"/>
      <c r="F300" s="24"/>
    </row>
    <row r="301" customFormat="false" ht="15" hidden="false" customHeight="false" outlineLevel="0" collapsed="false">
      <c r="A301" s="27"/>
      <c r="B301" s="24"/>
      <c r="C301" s="24"/>
      <c r="D301" s="24"/>
      <c r="E301" s="24"/>
      <c r="F301" s="24"/>
    </row>
    <row r="302" customFormat="false" ht="15" hidden="false" customHeight="false" outlineLevel="0" collapsed="false">
      <c r="A302" s="27"/>
      <c r="B302" s="24"/>
      <c r="C302" s="24"/>
      <c r="D302" s="24"/>
      <c r="E302" s="24"/>
      <c r="F302" s="24"/>
    </row>
    <row r="303" customFormat="false" ht="15" hidden="false" customHeight="false" outlineLevel="0" collapsed="false">
      <c r="A303" s="27"/>
      <c r="B303" s="24"/>
      <c r="C303" s="24"/>
      <c r="D303" s="24"/>
      <c r="E303" s="24"/>
      <c r="F303" s="24"/>
    </row>
    <row r="304" customFormat="false" ht="15" hidden="false" customHeight="false" outlineLevel="0" collapsed="false">
      <c r="A304" s="27"/>
      <c r="B304" s="24"/>
      <c r="C304" s="24"/>
      <c r="D304" s="24"/>
      <c r="E304" s="24"/>
      <c r="F304" s="24"/>
    </row>
    <row r="305" customFormat="false" ht="15" hidden="false" customHeight="false" outlineLevel="0" collapsed="false">
      <c r="A305" s="27"/>
      <c r="B305" s="24"/>
      <c r="C305" s="24"/>
      <c r="D305" s="24"/>
      <c r="E305" s="24"/>
      <c r="F305" s="24"/>
    </row>
    <row r="306" customFormat="false" ht="15" hidden="false" customHeight="false" outlineLevel="0" collapsed="false">
      <c r="A306" s="27"/>
      <c r="B306" s="24"/>
      <c r="C306" s="24"/>
      <c r="D306" s="24"/>
      <c r="E306" s="24"/>
      <c r="F306" s="24"/>
    </row>
    <row r="307" customFormat="false" ht="15" hidden="false" customHeight="false" outlineLevel="0" collapsed="false">
      <c r="A307" s="27"/>
      <c r="B307" s="24"/>
      <c r="C307" s="24"/>
      <c r="D307" s="24"/>
      <c r="E307" s="24"/>
      <c r="F307" s="24"/>
    </row>
    <row r="308" customFormat="false" ht="15" hidden="false" customHeight="false" outlineLevel="0" collapsed="false">
      <c r="A308" s="27"/>
      <c r="B308" s="24"/>
      <c r="C308" s="24"/>
      <c r="D308" s="24"/>
      <c r="E308" s="24"/>
      <c r="F308" s="24"/>
    </row>
    <row r="309" customFormat="false" ht="15" hidden="false" customHeight="false" outlineLevel="0" collapsed="false">
      <c r="A309" s="27"/>
      <c r="B309" s="24"/>
      <c r="C309" s="24"/>
      <c r="D309" s="24"/>
      <c r="E309" s="24"/>
      <c r="F309" s="24"/>
    </row>
    <row r="310" customFormat="false" ht="15" hidden="false" customHeight="false" outlineLevel="0" collapsed="false">
      <c r="A310" s="27"/>
      <c r="B310" s="24"/>
      <c r="C310" s="24"/>
      <c r="D310" s="24"/>
      <c r="E310" s="24"/>
      <c r="F310" s="24"/>
    </row>
    <row r="311" customFormat="false" ht="15" hidden="false" customHeight="false" outlineLevel="0" collapsed="false">
      <c r="A311" s="27"/>
      <c r="B311" s="24"/>
      <c r="C311" s="24"/>
      <c r="D311" s="24"/>
      <c r="E311" s="24"/>
      <c r="F311" s="24"/>
    </row>
    <row r="312" customFormat="false" ht="15" hidden="false" customHeight="false" outlineLevel="0" collapsed="false">
      <c r="A312" s="27"/>
      <c r="B312" s="24"/>
      <c r="C312" s="24"/>
      <c r="D312" s="24"/>
      <c r="E312" s="24"/>
      <c r="F312" s="24"/>
    </row>
    <row r="313" customFormat="false" ht="15" hidden="false" customHeight="false" outlineLevel="0" collapsed="false">
      <c r="A313" s="27"/>
      <c r="B313" s="24"/>
      <c r="C313" s="24"/>
      <c r="D313" s="24"/>
      <c r="E313" s="24"/>
      <c r="F313" s="24"/>
    </row>
    <row r="314" customFormat="false" ht="15" hidden="false" customHeight="false" outlineLevel="0" collapsed="false">
      <c r="A314" s="27"/>
      <c r="B314" s="24"/>
      <c r="C314" s="24"/>
      <c r="D314" s="24"/>
      <c r="E314" s="24"/>
      <c r="F314" s="24"/>
    </row>
    <row r="315" customFormat="false" ht="15" hidden="false" customHeight="false" outlineLevel="0" collapsed="false">
      <c r="A315" s="27"/>
      <c r="B315" s="24"/>
      <c r="C315" s="24"/>
      <c r="D315" s="24"/>
      <c r="E315" s="24"/>
      <c r="F315" s="24"/>
    </row>
    <row r="316" customFormat="false" ht="15" hidden="false" customHeight="false" outlineLevel="0" collapsed="false">
      <c r="A316" s="27"/>
      <c r="B316" s="24"/>
      <c r="C316" s="24"/>
      <c r="D316" s="24"/>
      <c r="E316" s="24"/>
      <c r="F316" s="24"/>
    </row>
    <row r="317" customFormat="false" ht="15" hidden="false" customHeight="false" outlineLevel="0" collapsed="false">
      <c r="A317" s="27"/>
      <c r="B317" s="24"/>
      <c r="C317" s="24"/>
      <c r="D317" s="24"/>
      <c r="E317" s="24"/>
      <c r="F317" s="24"/>
    </row>
    <row r="318" customFormat="false" ht="15" hidden="false" customHeight="false" outlineLevel="0" collapsed="false">
      <c r="A318" s="27"/>
      <c r="B318" s="24"/>
      <c r="C318" s="24"/>
      <c r="D318" s="24"/>
      <c r="E318" s="24"/>
      <c r="F318" s="24"/>
    </row>
    <row r="319" customFormat="false" ht="15" hidden="false" customHeight="false" outlineLevel="0" collapsed="false">
      <c r="A319" s="27"/>
      <c r="B319" s="24"/>
      <c r="C319" s="24"/>
      <c r="D319" s="24"/>
      <c r="E319" s="24"/>
      <c r="F319" s="24"/>
    </row>
    <row r="320" customFormat="false" ht="15" hidden="false" customHeight="false" outlineLevel="0" collapsed="false">
      <c r="A320" s="27"/>
      <c r="B320" s="24"/>
      <c r="C320" s="24"/>
      <c r="D320" s="24"/>
      <c r="E320" s="24"/>
      <c r="F320" s="24"/>
    </row>
    <row r="321" customFormat="false" ht="15" hidden="false" customHeight="false" outlineLevel="0" collapsed="false">
      <c r="A321" s="27"/>
      <c r="B321" s="24"/>
      <c r="C321" s="24"/>
      <c r="D321" s="24"/>
      <c r="E321" s="24"/>
      <c r="F321" s="24"/>
    </row>
    <row r="322" customFormat="false" ht="15" hidden="false" customHeight="false" outlineLevel="0" collapsed="false">
      <c r="A322" s="27"/>
      <c r="B322" s="24"/>
      <c r="C322" s="24"/>
      <c r="D322" s="24"/>
      <c r="E322" s="24"/>
      <c r="F322" s="24"/>
    </row>
    <row r="323" customFormat="false" ht="15" hidden="false" customHeight="false" outlineLevel="0" collapsed="false">
      <c r="A323" s="27"/>
      <c r="B323" s="24"/>
      <c r="C323" s="24"/>
      <c r="D323" s="24"/>
      <c r="E323" s="24"/>
      <c r="F323" s="24"/>
    </row>
    <row r="324" customFormat="false" ht="15" hidden="false" customHeight="false" outlineLevel="0" collapsed="false">
      <c r="A324" s="27"/>
      <c r="B324" s="24"/>
      <c r="C324" s="24"/>
      <c r="D324" s="24"/>
      <c r="E324" s="24"/>
      <c r="F324" s="24"/>
    </row>
    <row r="325" customFormat="false" ht="15" hidden="false" customHeight="false" outlineLevel="0" collapsed="false">
      <c r="A325" s="27"/>
      <c r="B325" s="24"/>
      <c r="C325" s="24"/>
      <c r="D325" s="24"/>
      <c r="E325" s="24"/>
      <c r="F325" s="24"/>
    </row>
    <row r="326" customFormat="false" ht="15" hidden="false" customHeight="false" outlineLevel="0" collapsed="false">
      <c r="A326" s="27"/>
      <c r="B326" s="24"/>
      <c r="C326" s="24"/>
      <c r="D326" s="24"/>
      <c r="E326" s="24"/>
      <c r="F326" s="24"/>
    </row>
    <row r="327" customFormat="false" ht="15" hidden="false" customHeight="false" outlineLevel="0" collapsed="false">
      <c r="A327" s="27"/>
      <c r="B327" s="24"/>
      <c r="C327" s="24"/>
      <c r="D327" s="24"/>
      <c r="E327" s="24"/>
      <c r="F327" s="24"/>
    </row>
    <row r="328" customFormat="false" ht="15" hidden="false" customHeight="false" outlineLevel="0" collapsed="false">
      <c r="A328" s="27"/>
      <c r="B328" s="24"/>
      <c r="C328" s="24"/>
      <c r="D328" s="24"/>
      <c r="E328" s="24"/>
      <c r="F328" s="24"/>
    </row>
    <row r="329" customFormat="false" ht="15" hidden="false" customHeight="false" outlineLevel="0" collapsed="false">
      <c r="A329" s="27"/>
      <c r="B329" s="24"/>
      <c r="C329" s="24"/>
      <c r="D329" s="24"/>
      <c r="E329" s="24"/>
      <c r="F329" s="24"/>
    </row>
    <row r="330" customFormat="false" ht="15" hidden="false" customHeight="false" outlineLevel="0" collapsed="false">
      <c r="A330" s="27"/>
      <c r="B330" s="24"/>
      <c r="C330" s="24"/>
      <c r="D330" s="24"/>
      <c r="E330" s="24"/>
      <c r="F330" s="24"/>
    </row>
    <row r="331" customFormat="false" ht="15" hidden="false" customHeight="false" outlineLevel="0" collapsed="false">
      <c r="A331" s="27"/>
      <c r="B331" s="24"/>
      <c r="C331" s="24"/>
      <c r="D331" s="24"/>
      <c r="E331" s="24"/>
      <c r="F331" s="24"/>
    </row>
    <row r="332" customFormat="false" ht="15" hidden="false" customHeight="false" outlineLevel="0" collapsed="false">
      <c r="A332" s="27"/>
      <c r="B332" s="24"/>
      <c r="C332" s="24"/>
      <c r="D332" s="24"/>
      <c r="E332" s="24"/>
      <c r="F332" s="24"/>
    </row>
    <row r="333" customFormat="false" ht="15" hidden="false" customHeight="false" outlineLevel="0" collapsed="false">
      <c r="A333" s="27"/>
      <c r="B333" s="24"/>
      <c r="C333" s="24"/>
      <c r="D333" s="24"/>
      <c r="E333" s="24"/>
      <c r="F333" s="24"/>
    </row>
    <row r="334" customFormat="false" ht="15" hidden="false" customHeight="false" outlineLevel="0" collapsed="false">
      <c r="A334" s="27"/>
      <c r="B334" s="24"/>
      <c r="C334" s="24"/>
      <c r="D334" s="24"/>
      <c r="E334" s="24"/>
      <c r="F334" s="24"/>
    </row>
    <row r="335" customFormat="false" ht="15" hidden="false" customHeight="false" outlineLevel="0" collapsed="false">
      <c r="A335" s="27"/>
      <c r="B335" s="24"/>
      <c r="C335" s="24"/>
      <c r="D335" s="24"/>
      <c r="E335" s="24"/>
      <c r="F335" s="24"/>
    </row>
    <row r="336" customFormat="false" ht="15" hidden="false" customHeight="false" outlineLevel="0" collapsed="false">
      <c r="A336" s="27"/>
      <c r="B336" s="24"/>
      <c r="C336" s="24"/>
      <c r="D336" s="24"/>
      <c r="E336" s="24"/>
      <c r="F336" s="24"/>
    </row>
    <row r="337" customFormat="false" ht="15" hidden="false" customHeight="false" outlineLevel="0" collapsed="false">
      <c r="A337" s="27"/>
      <c r="B337" s="24"/>
      <c r="C337" s="24"/>
      <c r="D337" s="24"/>
      <c r="E337" s="24"/>
      <c r="F337" s="24"/>
    </row>
    <row r="338" customFormat="false" ht="15" hidden="false" customHeight="false" outlineLevel="0" collapsed="false">
      <c r="A338" s="27"/>
      <c r="B338" s="24"/>
      <c r="C338" s="24"/>
      <c r="D338" s="24"/>
      <c r="E338" s="24"/>
      <c r="F338" s="24"/>
    </row>
    <row r="339" customFormat="false" ht="15" hidden="false" customHeight="false" outlineLevel="0" collapsed="false">
      <c r="A339" s="27"/>
      <c r="B339" s="24"/>
      <c r="C339" s="24"/>
      <c r="D339" s="24"/>
      <c r="E339" s="24"/>
      <c r="F339" s="24"/>
    </row>
    <row r="340" customFormat="false" ht="15" hidden="false" customHeight="false" outlineLevel="0" collapsed="false">
      <c r="A340" s="27"/>
      <c r="B340" s="24"/>
      <c r="C340" s="24"/>
      <c r="D340" s="24"/>
      <c r="E340" s="24"/>
      <c r="F340" s="24"/>
    </row>
    <row r="341" customFormat="false" ht="15" hidden="false" customHeight="false" outlineLevel="0" collapsed="false">
      <c r="A341" s="27"/>
      <c r="B341" s="24"/>
      <c r="C341" s="24"/>
      <c r="D341" s="24"/>
      <c r="E341" s="24"/>
      <c r="F341" s="24"/>
    </row>
    <row r="342" customFormat="false" ht="15" hidden="false" customHeight="false" outlineLevel="0" collapsed="false">
      <c r="A342" s="27"/>
      <c r="B342" s="24"/>
      <c r="C342" s="24"/>
      <c r="D342" s="24"/>
      <c r="E342" s="24"/>
      <c r="F342" s="24"/>
    </row>
    <row r="343" customFormat="false" ht="15" hidden="false" customHeight="false" outlineLevel="0" collapsed="false">
      <c r="A343" s="27"/>
      <c r="B343" s="24"/>
      <c r="C343" s="24"/>
      <c r="D343" s="24"/>
      <c r="E343" s="24"/>
      <c r="F343" s="24"/>
    </row>
    <row r="344" customFormat="false" ht="15" hidden="false" customHeight="false" outlineLevel="0" collapsed="false">
      <c r="A344" s="27"/>
      <c r="B344" s="24"/>
      <c r="C344" s="24"/>
      <c r="D344" s="24"/>
      <c r="E344" s="24"/>
      <c r="F344" s="24"/>
    </row>
    <row r="345" customFormat="false" ht="15" hidden="false" customHeight="false" outlineLevel="0" collapsed="false">
      <c r="A345" s="27"/>
      <c r="B345" s="24"/>
      <c r="C345" s="24"/>
      <c r="D345" s="24"/>
      <c r="E345" s="24"/>
      <c r="F345" s="24"/>
    </row>
    <row r="346" customFormat="false" ht="15" hidden="false" customHeight="false" outlineLevel="0" collapsed="false">
      <c r="A346" s="27"/>
      <c r="B346" s="24"/>
      <c r="C346" s="24"/>
      <c r="D346" s="24"/>
      <c r="E346" s="24"/>
      <c r="F346" s="24"/>
    </row>
    <row r="347" customFormat="false" ht="15" hidden="false" customHeight="false" outlineLevel="0" collapsed="false">
      <c r="A347" s="27"/>
      <c r="B347" s="24"/>
      <c r="C347" s="24"/>
      <c r="D347" s="24"/>
      <c r="E347" s="24"/>
      <c r="F347" s="24"/>
    </row>
    <row r="348" customFormat="false" ht="15" hidden="false" customHeight="false" outlineLevel="0" collapsed="false">
      <c r="A348" s="27"/>
      <c r="B348" s="24"/>
      <c r="C348" s="24"/>
      <c r="D348" s="24"/>
      <c r="E348" s="24"/>
      <c r="F348" s="24"/>
    </row>
    <row r="349" customFormat="false" ht="15" hidden="false" customHeight="false" outlineLevel="0" collapsed="false">
      <c r="A349" s="27"/>
      <c r="B349" s="24"/>
      <c r="C349" s="24"/>
      <c r="D349" s="24"/>
      <c r="E349" s="24"/>
      <c r="F349" s="24"/>
    </row>
    <row r="350" customFormat="false" ht="15" hidden="false" customHeight="false" outlineLevel="0" collapsed="false">
      <c r="A350" s="27"/>
      <c r="B350" s="24"/>
      <c r="C350" s="24"/>
      <c r="D350" s="24"/>
      <c r="E350" s="24"/>
      <c r="F350" s="24"/>
    </row>
    <row r="351" customFormat="false" ht="15" hidden="false" customHeight="false" outlineLevel="0" collapsed="false">
      <c r="A351" s="27"/>
      <c r="B351" s="24"/>
      <c r="C351" s="24"/>
      <c r="D351" s="24"/>
      <c r="E351" s="24"/>
      <c r="F351" s="24"/>
    </row>
    <row r="352" customFormat="false" ht="15" hidden="false" customHeight="false" outlineLevel="0" collapsed="false">
      <c r="A352" s="27"/>
      <c r="B352" s="24"/>
      <c r="C352" s="24"/>
      <c r="D352" s="24"/>
      <c r="E352" s="24"/>
      <c r="F352" s="24"/>
    </row>
    <row r="353" customFormat="false" ht="15" hidden="false" customHeight="false" outlineLevel="0" collapsed="false">
      <c r="A353" s="27"/>
      <c r="B353" s="24"/>
      <c r="C353" s="24"/>
      <c r="D353" s="24"/>
      <c r="E353" s="24"/>
      <c r="F353" s="24"/>
    </row>
    <row r="354" customFormat="false" ht="15" hidden="false" customHeight="false" outlineLevel="0" collapsed="false">
      <c r="A354" s="27"/>
      <c r="B354" s="24"/>
      <c r="C354" s="24"/>
      <c r="D354" s="24"/>
      <c r="E354" s="24"/>
      <c r="F354" s="24"/>
    </row>
    <row r="355" customFormat="false" ht="15" hidden="false" customHeight="false" outlineLevel="0" collapsed="false">
      <c r="A355" s="27"/>
      <c r="B355" s="24"/>
      <c r="C355" s="24"/>
      <c r="D355" s="24"/>
      <c r="E355" s="24"/>
      <c r="F355" s="24"/>
    </row>
    <row r="356" customFormat="false" ht="15" hidden="false" customHeight="false" outlineLevel="0" collapsed="false">
      <c r="A356" s="27"/>
      <c r="B356" s="24"/>
      <c r="C356" s="24"/>
      <c r="D356" s="24"/>
      <c r="E356" s="24"/>
      <c r="F356" s="24"/>
    </row>
    <row r="357" customFormat="false" ht="15" hidden="false" customHeight="false" outlineLevel="0" collapsed="false">
      <c r="A357" s="27"/>
      <c r="B357" s="24"/>
      <c r="C357" s="24"/>
      <c r="D357" s="24"/>
      <c r="E357" s="24"/>
      <c r="F357" s="24"/>
    </row>
    <row r="358" customFormat="false" ht="15" hidden="false" customHeight="false" outlineLevel="0" collapsed="false">
      <c r="A358" s="27"/>
      <c r="B358" s="24"/>
      <c r="C358" s="24"/>
      <c r="D358" s="24"/>
      <c r="E358" s="24"/>
      <c r="F358" s="24"/>
    </row>
    <row r="359" customFormat="false" ht="15" hidden="false" customHeight="false" outlineLevel="0" collapsed="false">
      <c r="A359" s="27"/>
      <c r="B359" s="24"/>
      <c r="C359" s="24"/>
      <c r="D359" s="24"/>
      <c r="E359" s="24"/>
      <c r="F359" s="24"/>
    </row>
    <row r="360" customFormat="false" ht="15" hidden="false" customHeight="false" outlineLevel="0" collapsed="false">
      <c r="A360" s="27"/>
      <c r="B360" s="24"/>
      <c r="C360" s="24"/>
      <c r="D360" s="24"/>
      <c r="E360" s="24"/>
      <c r="F360" s="24"/>
    </row>
    <row r="361" customFormat="false" ht="15" hidden="false" customHeight="false" outlineLevel="0" collapsed="false">
      <c r="A361" s="27"/>
      <c r="B361" s="24"/>
      <c r="C361" s="24"/>
      <c r="D361" s="24"/>
      <c r="E361" s="24"/>
      <c r="F361" s="24"/>
    </row>
    <row r="362" customFormat="false" ht="15" hidden="false" customHeight="false" outlineLevel="0" collapsed="false">
      <c r="A362" s="27"/>
      <c r="B362" s="24"/>
      <c r="C362" s="24"/>
      <c r="D362" s="24"/>
      <c r="E362" s="24"/>
      <c r="F362" s="24"/>
    </row>
    <row r="363" customFormat="false" ht="15" hidden="false" customHeight="false" outlineLevel="0" collapsed="false">
      <c r="A363" s="27"/>
      <c r="B363" s="24"/>
      <c r="C363" s="24"/>
      <c r="D363" s="24"/>
      <c r="E363" s="24"/>
      <c r="F363" s="24"/>
    </row>
    <row r="364" customFormat="false" ht="15" hidden="false" customHeight="false" outlineLevel="0" collapsed="false">
      <c r="A364" s="27"/>
      <c r="B364" s="24"/>
      <c r="C364" s="24"/>
      <c r="D364" s="24"/>
      <c r="E364" s="24"/>
      <c r="F364" s="24"/>
    </row>
    <row r="365" customFormat="false" ht="15" hidden="false" customHeight="false" outlineLevel="0" collapsed="false">
      <c r="A365" s="27"/>
      <c r="B365" s="24"/>
      <c r="C365" s="24"/>
      <c r="D365" s="24"/>
      <c r="E365" s="24"/>
      <c r="F365" s="24"/>
    </row>
    <row r="366" customFormat="false" ht="15" hidden="false" customHeight="false" outlineLevel="0" collapsed="false">
      <c r="A366" s="27"/>
      <c r="B366" s="24"/>
      <c r="C366" s="24"/>
      <c r="D366" s="24"/>
      <c r="E366" s="24"/>
      <c r="F366" s="24"/>
    </row>
    <row r="367" customFormat="false" ht="15" hidden="false" customHeight="false" outlineLevel="0" collapsed="false">
      <c r="A367" s="27"/>
      <c r="B367" s="24"/>
      <c r="C367" s="24"/>
      <c r="D367" s="24"/>
      <c r="E367" s="24"/>
      <c r="F367" s="24"/>
    </row>
    <row r="368" customFormat="false" ht="15" hidden="false" customHeight="false" outlineLevel="0" collapsed="false">
      <c r="A368" s="27"/>
      <c r="B368" s="24"/>
      <c r="C368" s="24"/>
      <c r="D368" s="24"/>
      <c r="E368" s="24"/>
      <c r="F368" s="24"/>
    </row>
    <row r="369" customFormat="false" ht="15" hidden="false" customHeight="false" outlineLevel="0" collapsed="false">
      <c r="A369" s="27"/>
      <c r="B369" s="24"/>
      <c r="C369" s="24"/>
      <c r="D369" s="24"/>
      <c r="E369" s="24"/>
      <c r="F369" s="24"/>
    </row>
    <row r="370" customFormat="false" ht="15" hidden="false" customHeight="false" outlineLevel="0" collapsed="false">
      <c r="A370" s="27"/>
      <c r="B370" s="24"/>
      <c r="C370" s="24"/>
      <c r="D370" s="24"/>
      <c r="E370" s="24"/>
      <c r="F370" s="24"/>
    </row>
    <row r="371" customFormat="false" ht="15" hidden="false" customHeight="false" outlineLevel="0" collapsed="false">
      <c r="A371" s="27"/>
      <c r="B371" s="24"/>
      <c r="C371" s="24"/>
      <c r="D371" s="24"/>
      <c r="E371" s="24"/>
      <c r="F371" s="24"/>
    </row>
    <row r="372" customFormat="false" ht="15" hidden="false" customHeight="false" outlineLevel="0" collapsed="false">
      <c r="A372" s="27"/>
      <c r="B372" s="24"/>
      <c r="C372" s="24"/>
      <c r="D372" s="24"/>
      <c r="E372" s="24"/>
      <c r="F372" s="24"/>
    </row>
    <row r="373" customFormat="false" ht="15" hidden="false" customHeight="false" outlineLevel="0" collapsed="false">
      <c r="A373" s="27"/>
      <c r="B373" s="24"/>
      <c r="C373" s="24"/>
      <c r="D373" s="24"/>
      <c r="E373" s="24"/>
      <c r="F373" s="24"/>
    </row>
    <row r="374" customFormat="false" ht="15" hidden="false" customHeight="false" outlineLevel="0" collapsed="false">
      <c r="A374" s="27"/>
      <c r="B374" s="24"/>
      <c r="C374" s="24"/>
      <c r="D374" s="24"/>
      <c r="E374" s="24"/>
      <c r="F374" s="24"/>
    </row>
    <row r="375" customFormat="false" ht="15" hidden="false" customHeight="false" outlineLevel="0" collapsed="false">
      <c r="A375" s="27"/>
      <c r="B375" s="24"/>
      <c r="C375" s="24"/>
      <c r="D375" s="24"/>
      <c r="E375" s="24"/>
      <c r="F375" s="24"/>
    </row>
    <row r="376" customFormat="false" ht="15" hidden="false" customHeight="false" outlineLevel="0" collapsed="false">
      <c r="A376" s="27"/>
      <c r="B376" s="24"/>
      <c r="C376" s="24"/>
      <c r="D376" s="24"/>
      <c r="E376" s="24"/>
      <c r="F376" s="24"/>
    </row>
    <row r="377" customFormat="false" ht="15" hidden="false" customHeight="false" outlineLevel="0" collapsed="false">
      <c r="A377" s="27"/>
      <c r="B377" s="24"/>
      <c r="C377" s="24"/>
      <c r="D377" s="24"/>
      <c r="E377" s="24"/>
      <c r="F377" s="24"/>
    </row>
    <row r="378" customFormat="false" ht="15" hidden="false" customHeight="false" outlineLevel="0" collapsed="false">
      <c r="A378" s="27"/>
      <c r="B378" s="24"/>
      <c r="C378" s="24"/>
      <c r="D378" s="24"/>
      <c r="E378" s="24"/>
      <c r="F378" s="24"/>
    </row>
    <row r="379" customFormat="false" ht="15" hidden="false" customHeight="false" outlineLevel="0" collapsed="false">
      <c r="A379" s="27"/>
      <c r="B379" s="24"/>
      <c r="C379" s="24"/>
      <c r="D379" s="24"/>
      <c r="E379" s="24"/>
      <c r="F379" s="24"/>
    </row>
    <row r="380" customFormat="false" ht="15" hidden="false" customHeight="false" outlineLevel="0" collapsed="false">
      <c r="A380" s="27"/>
      <c r="B380" s="24"/>
      <c r="C380" s="24"/>
      <c r="D380" s="24"/>
      <c r="E380" s="24"/>
      <c r="F380" s="24"/>
    </row>
    <row r="381" customFormat="false" ht="15" hidden="false" customHeight="false" outlineLevel="0" collapsed="false">
      <c r="A381" s="27"/>
      <c r="B381" s="24"/>
      <c r="C381" s="24"/>
      <c r="D381" s="24"/>
      <c r="E381" s="24"/>
      <c r="F381" s="24"/>
    </row>
    <row r="382" customFormat="false" ht="15" hidden="false" customHeight="false" outlineLevel="0" collapsed="false">
      <c r="A382" s="27"/>
      <c r="B382" s="24"/>
      <c r="C382" s="24"/>
      <c r="D382" s="24"/>
      <c r="E382" s="24"/>
      <c r="F382" s="24"/>
    </row>
    <row r="383" customFormat="false" ht="15" hidden="false" customHeight="false" outlineLevel="0" collapsed="false">
      <c r="A383" s="27"/>
      <c r="B383" s="24"/>
      <c r="C383" s="24"/>
      <c r="D383" s="24"/>
      <c r="E383" s="24"/>
      <c r="F383" s="24"/>
    </row>
    <row r="384" customFormat="false" ht="15" hidden="false" customHeight="false" outlineLevel="0" collapsed="false">
      <c r="A384" s="27"/>
      <c r="B384" s="24"/>
      <c r="C384" s="24"/>
      <c r="D384" s="24"/>
      <c r="E384" s="24"/>
      <c r="F384" s="24"/>
    </row>
    <row r="385" customFormat="false" ht="15" hidden="false" customHeight="false" outlineLevel="0" collapsed="false">
      <c r="A385" s="27"/>
      <c r="B385" s="24"/>
      <c r="C385" s="24"/>
      <c r="D385" s="24"/>
      <c r="E385" s="24"/>
      <c r="F385" s="24"/>
    </row>
    <row r="386" customFormat="false" ht="15" hidden="false" customHeight="false" outlineLevel="0" collapsed="false">
      <c r="A386" s="27"/>
      <c r="B386" s="24"/>
      <c r="C386" s="24"/>
      <c r="D386" s="24"/>
      <c r="E386" s="24"/>
      <c r="F386" s="24"/>
    </row>
    <row r="387" customFormat="false" ht="15" hidden="false" customHeight="false" outlineLevel="0" collapsed="false">
      <c r="A387" s="27"/>
      <c r="B387" s="24"/>
      <c r="C387" s="24"/>
      <c r="D387" s="24"/>
      <c r="E387" s="24"/>
      <c r="F387" s="24"/>
    </row>
    <row r="388" customFormat="false" ht="15" hidden="false" customHeight="false" outlineLevel="0" collapsed="false">
      <c r="A388" s="27"/>
      <c r="B388" s="24"/>
      <c r="C388" s="24"/>
      <c r="D388" s="24"/>
      <c r="E388" s="24"/>
      <c r="F388" s="24"/>
    </row>
    <row r="389" customFormat="false" ht="15" hidden="false" customHeight="false" outlineLevel="0" collapsed="false">
      <c r="A389" s="27"/>
      <c r="B389" s="24"/>
      <c r="C389" s="24"/>
      <c r="D389" s="24"/>
      <c r="E389" s="24"/>
      <c r="F389" s="24"/>
    </row>
    <row r="390" customFormat="false" ht="15" hidden="false" customHeight="false" outlineLevel="0" collapsed="false">
      <c r="A390" s="27"/>
      <c r="B390" s="24"/>
      <c r="C390" s="24"/>
      <c r="D390" s="24"/>
      <c r="E390" s="24"/>
      <c r="F390" s="24"/>
    </row>
    <row r="391" customFormat="false" ht="15" hidden="false" customHeight="false" outlineLevel="0" collapsed="false">
      <c r="A391" s="27"/>
      <c r="B391" s="24"/>
      <c r="C391" s="24"/>
      <c r="D391" s="24"/>
      <c r="E391" s="24"/>
      <c r="F391" s="24"/>
    </row>
    <row r="392" customFormat="false" ht="15" hidden="false" customHeight="false" outlineLevel="0" collapsed="false">
      <c r="A392" s="27"/>
      <c r="B392" s="24"/>
      <c r="C392" s="24"/>
      <c r="D392" s="24"/>
      <c r="E392" s="24"/>
      <c r="F392" s="24"/>
    </row>
    <row r="393" customFormat="false" ht="15" hidden="false" customHeight="false" outlineLevel="0" collapsed="false">
      <c r="A393" s="27"/>
      <c r="B393" s="24"/>
      <c r="C393" s="24"/>
      <c r="D393" s="24"/>
      <c r="E393" s="24"/>
      <c r="F393" s="24"/>
    </row>
    <row r="394" customFormat="false" ht="15" hidden="false" customHeight="false" outlineLevel="0" collapsed="false">
      <c r="A394" s="27"/>
      <c r="B394" s="24"/>
      <c r="C394" s="24"/>
      <c r="D394" s="24"/>
      <c r="E394" s="24"/>
      <c r="F394" s="24"/>
    </row>
    <row r="395" customFormat="false" ht="15" hidden="false" customHeight="false" outlineLevel="0" collapsed="false">
      <c r="A395" s="27"/>
      <c r="B395" s="24"/>
      <c r="C395" s="24"/>
      <c r="D395" s="24"/>
      <c r="E395" s="24"/>
      <c r="F395" s="24"/>
    </row>
    <row r="396" customFormat="false" ht="15" hidden="false" customHeight="false" outlineLevel="0" collapsed="false">
      <c r="A396" s="27"/>
      <c r="B396" s="24"/>
      <c r="C396" s="24"/>
      <c r="D396" s="24"/>
      <c r="E396" s="24"/>
      <c r="F396" s="24"/>
    </row>
    <row r="397" customFormat="false" ht="15" hidden="false" customHeight="false" outlineLevel="0" collapsed="false">
      <c r="A397" s="27"/>
      <c r="B397" s="24"/>
      <c r="C397" s="24"/>
      <c r="D397" s="24"/>
      <c r="E397" s="24"/>
      <c r="F397" s="24"/>
    </row>
    <row r="398" customFormat="false" ht="15" hidden="false" customHeight="false" outlineLevel="0" collapsed="false">
      <c r="A398" s="27"/>
      <c r="B398" s="24"/>
      <c r="C398" s="24"/>
      <c r="D398" s="24"/>
      <c r="E398" s="24"/>
      <c r="F398" s="24"/>
    </row>
    <row r="399" customFormat="false" ht="15" hidden="false" customHeight="false" outlineLevel="0" collapsed="false">
      <c r="A399" s="27"/>
      <c r="B399" s="24"/>
      <c r="C399" s="24"/>
      <c r="D399" s="24"/>
      <c r="E399" s="24"/>
      <c r="F399" s="24"/>
    </row>
    <row r="400" customFormat="false" ht="15" hidden="false" customHeight="false" outlineLevel="0" collapsed="false">
      <c r="A400" s="27"/>
      <c r="B400" s="24"/>
      <c r="C400" s="24"/>
      <c r="D400" s="24"/>
      <c r="E400" s="24"/>
      <c r="F400" s="24"/>
    </row>
    <row r="401" customFormat="false" ht="15" hidden="false" customHeight="false" outlineLevel="0" collapsed="false">
      <c r="A401" s="27"/>
      <c r="B401" s="24"/>
      <c r="C401" s="24"/>
      <c r="D401" s="24"/>
      <c r="E401" s="24"/>
      <c r="F401" s="24"/>
    </row>
    <row r="402" customFormat="false" ht="15" hidden="false" customHeight="false" outlineLevel="0" collapsed="false">
      <c r="A402" s="27"/>
      <c r="B402" s="24"/>
      <c r="C402" s="24"/>
      <c r="D402" s="24"/>
      <c r="E402" s="24"/>
      <c r="F402" s="24"/>
    </row>
    <row r="403" customFormat="false" ht="15" hidden="false" customHeight="false" outlineLevel="0" collapsed="false">
      <c r="A403" s="27"/>
      <c r="B403" s="24"/>
      <c r="C403" s="24"/>
      <c r="D403" s="24"/>
      <c r="E403" s="24"/>
      <c r="F403" s="24"/>
    </row>
    <row r="404" customFormat="false" ht="15" hidden="false" customHeight="false" outlineLevel="0" collapsed="false">
      <c r="A404" s="27"/>
      <c r="B404" s="24"/>
      <c r="C404" s="24"/>
      <c r="D404" s="24"/>
      <c r="E404" s="24"/>
      <c r="F404" s="24"/>
    </row>
    <row r="405" customFormat="false" ht="15" hidden="false" customHeight="false" outlineLevel="0" collapsed="false">
      <c r="A405" s="27"/>
      <c r="B405" s="24"/>
      <c r="C405" s="24"/>
      <c r="D405" s="24"/>
      <c r="E405" s="24"/>
      <c r="F405" s="24"/>
    </row>
    <row r="406" customFormat="false" ht="15" hidden="false" customHeight="false" outlineLevel="0" collapsed="false">
      <c r="A406" s="27"/>
      <c r="B406" s="24"/>
      <c r="C406" s="24"/>
      <c r="D406" s="24"/>
      <c r="E406" s="24"/>
      <c r="F406" s="24"/>
    </row>
    <row r="407" customFormat="false" ht="15" hidden="false" customHeight="false" outlineLevel="0" collapsed="false">
      <c r="A407" s="27"/>
      <c r="B407" s="24"/>
      <c r="C407" s="24"/>
      <c r="D407" s="24"/>
      <c r="E407" s="24"/>
      <c r="F407" s="24"/>
    </row>
    <row r="408" customFormat="false" ht="15" hidden="false" customHeight="false" outlineLevel="0" collapsed="false">
      <c r="A408" s="27"/>
      <c r="B408" s="24"/>
      <c r="C408" s="24"/>
      <c r="D408" s="24"/>
      <c r="E408" s="24"/>
      <c r="F408" s="24"/>
    </row>
    <row r="409" customFormat="false" ht="15" hidden="false" customHeight="false" outlineLevel="0" collapsed="false">
      <c r="A409" s="27"/>
      <c r="B409" s="24"/>
      <c r="C409" s="24"/>
      <c r="D409" s="24"/>
      <c r="E409" s="24"/>
      <c r="F409" s="24"/>
    </row>
    <row r="410" customFormat="false" ht="15" hidden="false" customHeight="false" outlineLevel="0" collapsed="false">
      <c r="A410" s="27"/>
      <c r="B410" s="24"/>
      <c r="C410" s="24"/>
      <c r="D410" s="24"/>
      <c r="E410" s="24"/>
      <c r="F410" s="24"/>
    </row>
    <row r="411" customFormat="false" ht="15" hidden="false" customHeight="false" outlineLevel="0" collapsed="false">
      <c r="A411" s="27"/>
      <c r="B411" s="24"/>
      <c r="C411" s="24"/>
      <c r="D411" s="24"/>
      <c r="E411" s="24"/>
      <c r="F411" s="24"/>
    </row>
    <row r="412" customFormat="false" ht="15" hidden="false" customHeight="false" outlineLevel="0" collapsed="false">
      <c r="A412" s="27"/>
      <c r="B412" s="24"/>
      <c r="C412" s="24"/>
      <c r="D412" s="24"/>
      <c r="E412" s="24"/>
      <c r="F412" s="24"/>
    </row>
    <row r="413" customFormat="false" ht="15" hidden="false" customHeight="false" outlineLevel="0" collapsed="false">
      <c r="A413" s="27"/>
      <c r="B413" s="24"/>
      <c r="C413" s="24"/>
      <c r="D413" s="24"/>
      <c r="E413" s="24"/>
      <c r="F413" s="24"/>
    </row>
    <row r="414" customFormat="false" ht="15" hidden="false" customHeight="false" outlineLevel="0" collapsed="false">
      <c r="A414" s="27"/>
      <c r="B414" s="24"/>
      <c r="C414" s="24"/>
      <c r="D414" s="24"/>
      <c r="E414" s="24"/>
      <c r="F414" s="24"/>
    </row>
    <row r="415" customFormat="false" ht="15" hidden="false" customHeight="false" outlineLevel="0" collapsed="false">
      <c r="A415" s="27"/>
      <c r="B415" s="24"/>
      <c r="C415" s="24"/>
      <c r="D415" s="24"/>
      <c r="E415" s="24"/>
      <c r="F415" s="24"/>
    </row>
    <row r="416" customFormat="false" ht="15" hidden="false" customHeight="false" outlineLevel="0" collapsed="false">
      <c r="A416" s="27"/>
      <c r="B416" s="24"/>
      <c r="C416" s="24"/>
      <c r="D416" s="24"/>
      <c r="E416" s="24"/>
      <c r="F416" s="24"/>
    </row>
    <row r="417" customFormat="false" ht="15" hidden="false" customHeight="false" outlineLevel="0" collapsed="false">
      <c r="A417" s="27"/>
      <c r="B417" s="24"/>
      <c r="C417" s="24"/>
      <c r="D417" s="24"/>
      <c r="E417" s="24"/>
      <c r="F417" s="24"/>
    </row>
    <row r="418" customFormat="false" ht="15" hidden="false" customHeight="false" outlineLevel="0" collapsed="false">
      <c r="A418" s="27"/>
      <c r="B418" s="24"/>
      <c r="C418" s="24"/>
      <c r="D418" s="24"/>
      <c r="E418" s="24"/>
      <c r="F418" s="24"/>
    </row>
    <row r="419" customFormat="false" ht="15" hidden="false" customHeight="false" outlineLevel="0" collapsed="false">
      <c r="A419" s="27"/>
      <c r="B419" s="24"/>
      <c r="C419" s="24"/>
      <c r="D419" s="24"/>
      <c r="E419" s="24"/>
      <c r="F419" s="24"/>
    </row>
    <row r="420" customFormat="false" ht="15" hidden="false" customHeight="false" outlineLevel="0" collapsed="false">
      <c r="A420" s="27"/>
      <c r="B420" s="24"/>
      <c r="C420" s="24"/>
      <c r="D420" s="24"/>
      <c r="E420" s="24"/>
      <c r="F420" s="24"/>
    </row>
    <row r="421" customFormat="false" ht="15" hidden="false" customHeight="false" outlineLevel="0" collapsed="false">
      <c r="A421" s="27"/>
      <c r="B421" s="24"/>
      <c r="C421" s="24"/>
      <c r="D421" s="24"/>
      <c r="E421" s="24"/>
      <c r="F421" s="24"/>
    </row>
    <row r="422" customFormat="false" ht="15" hidden="false" customHeight="false" outlineLevel="0" collapsed="false">
      <c r="A422" s="27"/>
      <c r="B422" s="24"/>
      <c r="C422" s="24"/>
      <c r="D422" s="24"/>
      <c r="E422" s="24"/>
      <c r="F422" s="24"/>
    </row>
    <row r="423" customFormat="false" ht="15" hidden="false" customHeight="false" outlineLevel="0" collapsed="false">
      <c r="A423" s="27"/>
      <c r="B423" s="24"/>
      <c r="C423" s="24"/>
      <c r="D423" s="24"/>
      <c r="E423" s="24"/>
      <c r="F423" s="24"/>
    </row>
    <row r="424" customFormat="false" ht="15" hidden="false" customHeight="false" outlineLevel="0" collapsed="false">
      <c r="A424" s="27"/>
      <c r="B424" s="24"/>
      <c r="C424" s="24"/>
      <c r="D424" s="24"/>
      <c r="E424" s="24"/>
      <c r="F424" s="24"/>
    </row>
    <row r="425" customFormat="false" ht="15" hidden="false" customHeight="false" outlineLevel="0" collapsed="false">
      <c r="A425" s="27"/>
      <c r="B425" s="24"/>
      <c r="C425" s="24"/>
      <c r="D425" s="24"/>
      <c r="E425" s="24"/>
      <c r="F425" s="24"/>
    </row>
    <row r="426" customFormat="false" ht="15" hidden="false" customHeight="false" outlineLevel="0" collapsed="false">
      <c r="A426" s="27"/>
      <c r="B426" s="24"/>
      <c r="C426" s="24"/>
      <c r="D426" s="24"/>
      <c r="E426" s="24"/>
      <c r="F426" s="24"/>
    </row>
    <row r="427" customFormat="false" ht="15" hidden="false" customHeight="false" outlineLevel="0" collapsed="false">
      <c r="A427" s="27"/>
      <c r="B427" s="24"/>
      <c r="C427" s="24"/>
      <c r="D427" s="24"/>
      <c r="E427" s="24"/>
      <c r="F427" s="24"/>
    </row>
    <row r="428" customFormat="false" ht="15" hidden="false" customHeight="false" outlineLevel="0" collapsed="false">
      <c r="A428" s="27"/>
      <c r="B428" s="24"/>
      <c r="C428" s="24"/>
      <c r="D428" s="24"/>
      <c r="E428" s="24"/>
      <c r="F428" s="24"/>
    </row>
    <row r="429" customFormat="false" ht="15" hidden="false" customHeight="false" outlineLevel="0" collapsed="false">
      <c r="A429" s="27"/>
      <c r="B429" s="24"/>
      <c r="C429" s="24"/>
      <c r="D429" s="24"/>
      <c r="E429" s="24"/>
      <c r="F429" s="24"/>
    </row>
    <row r="430" customFormat="false" ht="15" hidden="false" customHeight="false" outlineLevel="0" collapsed="false">
      <c r="A430" s="27"/>
      <c r="B430" s="24"/>
      <c r="C430" s="24"/>
      <c r="D430" s="24"/>
      <c r="E430" s="24"/>
      <c r="F430" s="24"/>
    </row>
    <row r="431" customFormat="false" ht="15" hidden="false" customHeight="false" outlineLevel="0" collapsed="false">
      <c r="A431" s="27"/>
      <c r="B431" s="24"/>
      <c r="C431" s="24"/>
      <c r="D431" s="24"/>
      <c r="E431" s="24"/>
      <c r="F431" s="24"/>
    </row>
    <row r="432" customFormat="false" ht="15" hidden="false" customHeight="false" outlineLevel="0" collapsed="false">
      <c r="A432" s="27"/>
      <c r="B432" s="24"/>
      <c r="C432" s="24"/>
      <c r="D432" s="24"/>
      <c r="E432" s="24"/>
      <c r="F432" s="24"/>
    </row>
    <row r="433" customFormat="false" ht="15" hidden="false" customHeight="false" outlineLevel="0" collapsed="false">
      <c r="A433" s="27"/>
      <c r="B433" s="24"/>
      <c r="C433" s="24"/>
      <c r="D433" s="24"/>
      <c r="E433" s="24"/>
      <c r="F433" s="24"/>
    </row>
    <row r="434" customFormat="false" ht="15" hidden="false" customHeight="false" outlineLevel="0" collapsed="false">
      <c r="A434" s="27"/>
      <c r="B434" s="24"/>
      <c r="C434" s="24"/>
      <c r="D434" s="24"/>
      <c r="E434" s="24"/>
      <c r="F434" s="24"/>
    </row>
    <row r="435" customFormat="false" ht="15" hidden="false" customHeight="false" outlineLevel="0" collapsed="false">
      <c r="A435" s="27"/>
      <c r="B435" s="24"/>
      <c r="C435" s="24"/>
      <c r="D435" s="24"/>
      <c r="E435" s="24"/>
      <c r="F435" s="24"/>
    </row>
    <row r="436" customFormat="false" ht="15" hidden="false" customHeight="false" outlineLevel="0" collapsed="false">
      <c r="A436" s="27"/>
      <c r="B436" s="24"/>
      <c r="C436" s="24"/>
      <c r="D436" s="24"/>
      <c r="E436" s="24"/>
      <c r="F436" s="24"/>
    </row>
    <row r="437" customFormat="false" ht="15" hidden="false" customHeight="false" outlineLevel="0" collapsed="false">
      <c r="A437" s="27"/>
      <c r="B437" s="24"/>
      <c r="C437" s="24"/>
      <c r="D437" s="24"/>
      <c r="E437" s="24"/>
      <c r="F437" s="24"/>
    </row>
    <row r="438" customFormat="false" ht="15" hidden="false" customHeight="false" outlineLevel="0" collapsed="false">
      <c r="A438" s="27"/>
      <c r="B438" s="24"/>
      <c r="C438" s="24"/>
      <c r="D438" s="24"/>
      <c r="E438" s="24"/>
      <c r="F438" s="24"/>
    </row>
    <row r="439" customFormat="false" ht="15" hidden="false" customHeight="false" outlineLevel="0" collapsed="false">
      <c r="A439" s="27"/>
      <c r="B439" s="24"/>
      <c r="C439" s="24"/>
      <c r="D439" s="24"/>
      <c r="E439" s="24"/>
      <c r="F439" s="24"/>
    </row>
    <row r="440" customFormat="false" ht="15" hidden="false" customHeight="false" outlineLevel="0" collapsed="false">
      <c r="A440" s="27"/>
      <c r="B440" s="24"/>
      <c r="C440" s="24"/>
      <c r="D440" s="24"/>
      <c r="E440" s="24"/>
      <c r="F440" s="24"/>
    </row>
    <row r="441" customFormat="false" ht="15" hidden="false" customHeight="false" outlineLevel="0" collapsed="false">
      <c r="A441" s="27"/>
      <c r="B441" s="24"/>
      <c r="C441" s="24"/>
      <c r="D441" s="24"/>
      <c r="E441" s="24"/>
      <c r="F441" s="24"/>
    </row>
    <row r="442" customFormat="false" ht="15" hidden="false" customHeight="false" outlineLevel="0" collapsed="false">
      <c r="A442" s="27"/>
      <c r="B442" s="24"/>
      <c r="C442" s="24"/>
      <c r="D442" s="24"/>
      <c r="E442" s="24"/>
      <c r="F442" s="24"/>
    </row>
    <row r="443" customFormat="false" ht="15" hidden="false" customHeight="false" outlineLevel="0" collapsed="false">
      <c r="A443" s="27"/>
      <c r="B443" s="24"/>
      <c r="C443" s="24"/>
      <c r="D443" s="24"/>
      <c r="E443" s="24"/>
      <c r="F443" s="24"/>
    </row>
    <row r="444" customFormat="false" ht="15" hidden="false" customHeight="false" outlineLevel="0" collapsed="false">
      <c r="A444" s="27"/>
      <c r="B444" s="24"/>
      <c r="C444" s="24"/>
      <c r="D444" s="24"/>
      <c r="E444" s="24"/>
      <c r="F444" s="24"/>
    </row>
    <row r="445" customFormat="false" ht="15" hidden="false" customHeight="false" outlineLevel="0" collapsed="false">
      <c r="A445" s="27"/>
      <c r="B445" s="24"/>
      <c r="C445" s="24"/>
      <c r="D445" s="24"/>
      <c r="E445" s="24"/>
      <c r="F445" s="24"/>
    </row>
    <row r="446" customFormat="false" ht="15" hidden="false" customHeight="false" outlineLevel="0" collapsed="false">
      <c r="A446" s="27"/>
      <c r="B446" s="24"/>
      <c r="C446" s="24"/>
      <c r="D446" s="24"/>
      <c r="E446" s="24"/>
      <c r="F446" s="24"/>
    </row>
    <row r="447" customFormat="false" ht="15" hidden="false" customHeight="false" outlineLevel="0" collapsed="false">
      <c r="A447" s="27"/>
      <c r="B447" s="24"/>
      <c r="C447" s="24"/>
      <c r="D447" s="24"/>
      <c r="E447" s="24"/>
      <c r="F447" s="24"/>
    </row>
    <row r="448" customFormat="false" ht="15" hidden="false" customHeight="false" outlineLevel="0" collapsed="false">
      <c r="A448" s="27"/>
      <c r="B448" s="24"/>
      <c r="C448" s="24"/>
      <c r="D448" s="24"/>
      <c r="E448" s="24"/>
      <c r="F448" s="24"/>
    </row>
    <row r="449" customFormat="false" ht="15" hidden="false" customHeight="false" outlineLevel="0" collapsed="false">
      <c r="A449" s="27"/>
      <c r="B449" s="24"/>
      <c r="C449" s="24"/>
      <c r="D449" s="24"/>
      <c r="E449" s="24"/>
      <c r="F449" s="24"/>
    </row>
    <row r="450" customFormat="false" ht="15" hidden="false" customHeight="false" outlineLevel="0" collapsed="false">
      <c r="A450" s="27"/>
      <c r="B450" s="24"/>
      <c r="C450" s="24"/>
      <c r="D450" s="24"/>
      <c r="E450" s="24"/>
      <c r="F450" s="24"/>
    </row>
    <row r="451" customFormat="false" ht="15" hidden="false" customHeight="false" outlineLevel="0" collapsed="false">
      <c r="A451" s="27"/>
      <c r="B451" s="24"/>
      <c r="C451" s="24"/>
      <c r="D451" s="24"/>
      <c r="E451" s="24"/>
      <c r="F451" s="24"/>
    </row>
    <row r="452" customFormat="false" ht="15" hidden="false" customHeight="false" outlineLevel="0" collapsed="false">
      <c r="A452" s="27"/>
      <c r="B452" s="24"/>
      <c r="C452" s="24"/>
      <c r="D452" s="24"/>
      <c r="E452" s="24"/>
      <c r="F452" s="24"/>
    </row>
    <row r="453" customFormat="false" ht="15" hidden="false" customHeight="false" outlineLevel="0" collapsed="false">
      <c r="A453" s="27"/>
      <c r="B453" s="24"/>
      <c r="C453" s="24"/>
      <c r="D453" s="24"/>
      <c r="E453" s="24"/>
      <c r="F453" s="24"/>
    </row>
    <row r="454" customFormat="false" ht="15" hidden="false" customHeight="false" outlineLevel="0" collapsed="false">
      <c r="A454" s="27"/>
      <c r="B454" s="24"/>
      <c r="C454" s="24"/>
      <c r="D454" s="24"/>
      <c r="E454" s="24"/>
      <c r="F454" s="24"/>
    </row>
    <row r="455" customFormat="false" ht="15" hidden="false" customHeight="false" outlineLevel="0" collapsed="false">
      <c r="A455" s="27"/>
      <c r="B455" s="24"/>
      <c r="C455" s="24"/>
      <c r="D455" s="24"/>
      <c r="E455" s="24"/>
      <c r="F455" s="24"/>
    </row>
    <row r="456" customFormat="false" ht="15" hidden="false" customHeight="false" outlineLevel="0" collapsed="false">
      <c r="A456" s="27"/>
      <c r="B456" s="24"/>
      <c r="C456" s="24"/>
      <c r="D456" s="24"/>
      <c r="E456" s="24"/>
      <c r="F456" s="24"/>
    </row>
    <row r="457" customFormat="false" ht="15" hidden="false" customHeight="false" outlineLevel="0" collapsed="false">
      <c r="A457" s="27"/>
      <c r="B457" s="24"/>
      <c r="C457" s="24"/>
      <c r="D457" s="24"/>
      <c r="E457" s="24"/>
      <c r="F457" s="24"/>
    </row>
    <row r="458" customFormat="false" ht="15" hidden="false" customHeight="false" outlineLevel="0" collapsed="false">
      <c r="A458" s="27"/>
      <c r="B458" s="24"/>
      <c r="C458" s="24"/>
      <c r="D458" s="24"/>
      <c r="E458" s="24"/>
      <c r="F458" s="24"/>
    </row>
    <row r="459" customFormat="false" ht="15" hidden="false" customHeight="false" outlineLevel="0" collapsed="false">
      <c r="A459" s="27"/>
      <c r="B459" s="24"/>
      <c r="C459" s="24"/>
      <c r="D459" s="24"/>
      <c r="E459" s="24"/>
      <c r="F459" s="24"/>
    </row>
    <row r="460" customFormat="false" ht="15" hidden="false" customHeight="false" outlineLevel="0" collapsed="false">
      <c r="A460" s="27"/>
      <c r="B460" s="24"/>
      <c r="C460" s="24"/>
      <c r="D460" s="24"/>
      <c r="E460" s="24"/>
      <c r="F460" s="24"/>
    </row>
    <row r="461" customFormat="false" ht="15" hidden="false" customHeight="false" outlineLevel="0" collapsed="false">
      <c r="A461" s="27"/>
      <c r="B461" s="24"/>
      <c r="C461" s="24"/>
      <c r="D461" s="24"/>
      <c r="E461" s="24"/>
      <c r="F461" s="24"/>
    </row>
    <row r="462" customFormat="false" ht="15" hidden="false" customHeight="false" outlineLevel="0" collapsed="false">
      <c r="A462" s="27"/>
      <c r="B462" s="24"/>
      <c r="C462" s="24"/>
      <c r="D462" s="24"/>
      <c r="E462" s="24"/>
      <c r="F462" s="24"/>
    </row>
    <row r="463" customFormat="false" ht="15" hidden="false" customHeight="false" outlineLevel="0" collapsed="false">
      <c r="A463" s="27"/>
      <c r="B463" s="24"/>
      <c r="C463" s="24"/>
      <c r="D463" s="24"/>
      <c r="E463" s="24"/>
      <c r="F463" s="24"/>
    </row>
    <row r="464" customFormat="false" ht="15" hidden="false" customHeight="false" outlineLevel="0" collapsed="false">
      <c r="A464" s="27"/>
      <c r="B464" s="24"/>
      <c r="C464" s="24"/>
      <c r="D464" s="24"/>
      <c r="E464" s="24"/>
      <c r="F464" s="24"/>
    </row>
    <row r="465" customFormat="false" ht="15" hidden="false" customHeight="false" outlineLevel="0" collapsed="false">
      <c r="A465" s="27"/>
      <c r="B465" s="24"/>
      <c r="C465" s="24"/>
      <c r="D465" s="24"/>
      <c r="E465" s="24"/>
      <c r="F465" s="24"/>
    </row>
    <row r="466" customFormat="false" ht="15" hidden="false" customHeight="false" outlineLevel="0" collapsed="false">
      <c r="A466" s="27"/>
      <c r="B466" s="24"/>
      <c r="C466" s="24"/>
      <c r="D466" s="24"/>
      <c r="E466" s="24"/>
      <c r="F466" s="24"/>
    </row>
    <row r="467" customFormat="false" ht="15" hidden="false" customHeight="false" outlineLevel="0" collapsed="false">
      <c r="A467" s="27"/>
      <c r="B467" s="24"/>
      <c r="C467" s="24"/>
      <c r="D467" s="24"/>
      <c r="E467" s="24"/>
      <c r="F467" s="24"/>
    </row>
    <row r="468" customFormat="false" ht="15" hidden="false" customHeight="false" outlineLevel="0" collapsed="false">
      <c r="A468" s="27"/>
      <c r="B468" s="24"/>
      <c r="C468" s="24"/>
      <c r="D468" s="24"/>
      <c r="E468" s="24"/>
      <c r="F468" s="24"/>
    </row>
    <row r="469" customFormat="false" ht="15" hidden="false" customHeight="false" outlineLevel="0" collapsed="false">
      <c r="A469" s="27"/>
      <c r="B469" s="24"/>
      <c r="C469" s="24"/>
      <c r="D469" s="24"/>
      <c r="E469" s="24"/>
      <c r="F469" s="24"/>
    </row>
    <row r="470" customFormat="false" ht="15" hidden="false" customHeight="false" outlineLevel="0" collapsed="false">
      <c r="A470" s="27"/>
      <c r="B470" s="24"/>
      <c r="C470" s="24"/>
      <c r="D470" s="24"/>
      <c r="E470" s="24"/>
      <c r="F470" s="24"/>
    </row>
    <row r="471" customFormat="false" ht="15" hidden="false" customHeight="false" outlineLevel="0" collapsed="false">
      <c r="A471" s="27"/>
      <c r="B471" s="24"/>
      <c r="C471" s="24"/>
      <c r="D471" s="24"/>
      <c r="E471" s="24"/>
      <c r="F471" s="24"/>
    </row>
    <row r="472" customFormat="false" ht="15" hidden="false" customHeight="false" outlineLevel="0" collapsed="false">
      <c r="A472" s="27"/>
      <c r="B472" s="24"/>
      <c r="C472" s="24"/>
      <c r="D472" s="24"/>
      <c r="E472" s="24"/>
      <c r="F472" s="24"/>
    </row>
    <row r="473" customFormat="false" ht="15" hidden="false" customHeight="false" outlineLevel="0" collapsed="false">
      <c r="A473" s="27"/>
      <c r="B473" s="24"/>
      <c r="C473" s="24"/>
      <c r="D473" s="24"/>
      <c r="E473" s="24"/>
      <c r="F473" s="24"/>
    </row>
    <row r="474" customFormat="false" ht="15" hidden="false" customHeight="false" outlineLevel="0" collapsed="false">
      <c r="A474" s="27"/>
      <c r="B474" s="24"/>
      <c r="C474" s="24"/>
      <c r="D474" s="24"/>
      <c r="E474" s="24"/>
      <c r="F474" s="24"/>
    </row>
    <row r="475" customFormat="false" ht="15" hidden="false" customHeight="false" outlineLevel="0" collapsed="false">
      <c r="A475" s="27"/>
      <c r="B475" s="24"/>
      <c r="C475" s="24"/>
      <c r="D475" s="24"/>
      <c r="E475" s="24"/>
      <c r="F475" s="24"/>
    </row>
    <row r="476" customFormat="false" ht="15" hidden="false" customHeight="false" outlineLevel="0" collapsed="false">
      <c r="A476" s="27"/>
      <c r="B476" s="24"/>
      <c r="C476" s="24"/>
      <c r="D476" s="24"/>
      <c r="E476" s="24"/>
      <c r="F476" s="24"/>
    </row>
    <row r="477" customFormat="false" ht="15" hidden="false" customHeight="false" outlineLevel="0" collapsed="false">
      <c r="A477" s="27"/>
      <c r="B477" s="24"/>
      <c r="C477" s="24"/>
      <c r="D477" s="24"/>
      <c r="E477" s="24"/>
      <c r="F477" s="24"/>
    </row>
    <row r="478" customFormat="false" ht="15" hidden="false" customHeight="false" outlineLevel="0" collapsed="false">
      <c r="A478" s="27"/>
      <c r="B478" s="24"/>
      <c r="C478" s="24"/>
      <c r="D478" s="24"/>
      <c r="E478" s="24"/>
      <c r="F478" s="24"/>
    </row>
    <row r="479" customFormat="false" ht="15" hidden="false" customHeight="false" outlineLevel="0" collapsed="false">
      <c r="A479" s="27"/>
      <c r="B479" s="24"/>
      <c r="C479" s="24"/>
      <c r="D479" s="24"/>
      <c r="E479" s="24"/>
      <c r="F479" s="24"/>
    </row>
    <row r="480" customFormat="false" ht="15" hidden="false" customHeight="false" outlineLevel="0" collapsed="false">
      <c r="A480" s="27"/>
      <c r="B480" s="24"/>
      <c r="C480" s="24"/>
      <c r="D480" s="24"/>
      <c r="E480" s="24"/>
      <c r="F480" s="24"/>
    </row>
    <row r="481" customFormat="false" ht="15" hidden="false" customHeight="false" outlineLevel="0" collapsed="false">
      <c r="A481" s="27"/>
      <c r="B481" s="24"/>
      <c r="C481" s="24"/>
      <c r="D481" s="24"/>
      <c r="E481" s="24"/>
      <c r="F481" s="24"/>
    </row>
    <row r="482" customFormat="false" ht="15" hidden="false" customHeight="false" outlineLevel="0" collapsed="false">
      <c r="A482" s="27"/>
      <c r="B482" s="24"/>
      <c r="C482" s="24"/>
      <c r="D482" s="24"/>
      <c r="E482" s="24"/>
      <c r="F482" s="24"/>
    </row>
    <row r="483" customFormat="false" ht="15" hidden="false" customHeight="false" outlineLevel="0" collapsed="false">
      <c r="A483" s="27"/>
      <c r="B483" s="24"/>
      <c r="C483" s="24"/>
      <c r="D483" s="24"/>
      <c r="E483" s="24"/>
      <c r="F483" s="24"/>
    </row>
    <row r="484" customFormat="false" ht="15" hidden="false" customHeight="false" outlineLevel="0" collapsed="false">
      <c r="A484" s="27"/>
      <c r="B484" s="24"/>
      <c r="C484" s="24"/>
      <c r="D484" s="24"/>
      <c r="E484" s="24"/>
      <c r="F484" s="24"/>
    </row>
    <row r="485" customFormat="false" ht="15" hidden="false" customHeight="false" outlineLevel="0" collapsed="false">
      <c r="A485" s="27"/>
      <c r="B485" s="24"/>
      <c r="C485" s="24"/>
      <c r="D485" s="24"/>
      <c r="E485" s="24"/>
      <c r="F485" s="24"/>
    </row>
    <row r="486" customFormat="false" ht="15" hidden="false" customHeight="false" outlineLevel="0" collapsed="false">
      <c r="A486" s="27"/>
      <c r="B486" s="24"/>
      <c r="C486" s="24"/>
      <c r="D486" s="24"/>
      <c r="E486" s="24"/>
      <c r="F486" s="24"/>
    </row>
    <row r="487" customFormat="false" ht="15" hidden="false" customHeight="false" outlineLevel="0" collapsed="false">
      <c r="A487" s="27"/>
      <c r="B487" s="24"/>
      <c r="C487" s="24"/>
      <c r="D487" s="24"/>
      <c r="E487" s="24"/>
      <c r="F487" s="24"/>
    </row>
    <row r="488" customFormat="false" ht="15" hidden="false" customHeight="false" outlineLevel="0" collapsed="false">
      <c r="A488" s="27"/>
      <c r="B488" s="24"/>
      <c r="C488" s="24"/>
      <c r="D488" s="24"/>
      <c r="E488" s="24"/>
      <c r="F488" s="24"/>
    </row>
    <row r="489" customFormat="false" ht="15" hidden="false" customHeight="false" outlineLevel="0" collapsed="false">
      <c r="A489" s="27"/>
      <c r="B489" s="24"/>
      <c r="C489" s="24"/>
      <c r="D489" s="24"/>
      <c r="E489" s="24"/>
      <c r="F489" s="24"/>
    </row>
    <row r="490" customFormat="false" ht="15" hidden="false" customHeight="false" outlineLevel="0" collapsed="false">
      <c r="A490" s="27"/>
      <c r="B490" s="24"/>
      <c r="C490" s="24"/>
      <c r="D490" s="24"/>
      <c r="E490" s="24"/>
      <c r="F490" s="24"/>
    </row>
    <row r="491" customFormat="false" ht="15" hidden="false" customHeight="false" outlineLevel="0" collapsed="false">
      <c r="A491" s="27"/>
      <c r="B491" s="24"/>
      <c r="C491" s="24"/>
      <c r="D491" s="24"/>
      <c r="E491" s="24"/>
      <c r="F491" s="24"/>
    </row>
    <row r="492" customFormat="false" ht="15" hidden="false" customHeight="false" outlineLevel="0" collapsed="false">
      <c r="A492" s="27"/>
      <c r="B492" s="24"/>
      <c r="C492" s="24"/>
      <c r="D492" s="24"/>
      <c r="E492" s="24"/>
      <c r="F492" s="24"/>
    </row>
    <row r="493" customFormat="false" ht="15" hidden="false" customHeight="false" outlineLevel="0" collapsed="false">
      <c r="A493" s="27"/>
      <c r="B493" s="24"/>
      <c r="C493" s="24"/>
      <c r="D493" s="24"/>
      <c r="E493" s="24"/>
      <c r="F493" s="24"/>
    </row>
    <row r="494" customFormat="false" ht="15" hidden="false" customHeight="false" outlineLevel="0" collapsed="false">
      <c r="A494" s="27"/>
      <c r="B494" s="24"/>
      <c r="C494" s="24"/>
      <c r="D494" s="24"/>
      <c r="E494" s="24"/>
      <c r="F494" s="24"/>
    </row>
    <row r="495" customFormat="false" ht="15" hidden="false" customHeight="false" outlineLevel="0" collapsed="false">
      <c r="A495" s="27"/>
      <c r="B495" s="24"/>
      <c r="C495" s="24"/>
      <c r="D495" s="24"/>
      <c r="E495" s="24"/>
      <c r="F495" s="24"/>
    </row>
    <row r="496" customFormat="false" ht="15" hidden="false" customHeight="false" outlineLevel="0" collapsed="false">
      <c r="A496" s="27"/>
      <c r="B496" s="24"/>
      <c r="C496" s="24"/>
      <c r="D496" s="24"/>
      <c r="E496" s="24"/>
      <c r="F496" s="24"/>
    </row>
    <row r="497" customFormat="false" ht="15" hidden="false" customHeight="false" outlineLevel="0" collapsed="false">
      <c r="A497" s="27"/>
      <c r="B497" s="24"/>
      <c r="C497" s="24"/>
      <c r="D497" s="24"/>
      <c r="E497" s="24"/>
      <c r="F497" s="24"/>
    </row>
    <row r="498" customFormat="false" ht="15" hidden="false" customHeight="false" outlineLevel="0" collapsed="false">
      <c r="A498" s="27"/>
      <c r="B498" s="24"/>
      <c r="C498" s="24"/>
      <c r="D498" s="24"/>
      <c r="E498" s="24"/>
      <c r="F498" s="24"/>
    </row>
    <row r="499" customFormat="false" ht="15" hidden="false" customHeight="false" outlineLevel="0" collapsed="false">
      <c r="A499" s="27"/>
      <c r="B499" s="24"/>
      <c r="C499" s="24"/>
      <c r="D499" s="24"/>
      <c r="E499" s="24"/>
      <c r="F499" s="24"/>
    </row>
    <row r="500" customFormat="false" ht="15" hidden="false" customHeight="false" outlineLevel="0" collapsed="false">
      <c r="A500" s="27"/>
      <c r="B500" s="24"/>
      <c r="C500" s="24"/>
      <c r="D500" s="24"/>
      <c r="E500" s="24"/>
      <c r="F500" s="24"/>
    </row>
    <row r="501" customFormat="false" ht="15" hidden="false" customHeight="false" outlineLevel="0" collapsed="false">
      <c r="A501" s="27"/>
      <c r="B501" s="24"/>
      <c r="C501" s="24"/>
      <c r="D501" s="24"/>
      <c r="E501" s="24"/>
      <c r="F501" s="24"/>
    </row>
    <row r="502" customFormat="false" ht="15" hidden="false" customHeight="false" outlineLevel="0" collapsed="false">
      <c r="A502" s="27"/>
      <c r="B502" s="24"/>
      <c r="C502" s="24"/>
      <c r="D502" s="24"/>
      <c r="E502" s="24"/>
      <c r="F502" s="24"/>
    </row>
    <row r="503" customFormat="false" ht="15" hidden="false" customHeight="false" outlineLevel="0" collapsed="false">
      <c r="A503" s="27"/>
      <c r="B503" s="24"/>
      <c r="C503" s="24"/>
      <c r="D503" s="24"/>
      <c r="E503" s="24"/>
      <c r="F503" s="24"/>
    </row>
    <row r="504" customFormat="false" ht="15" hidden="false" customHeight="false" outlineLevel="0" collapsed="false">
      <c r="A504" s="27"/>
      <c r="B504" s="24"/>
      <c r="C504" s="24"/>
      <c r="D504" s="24"/>
      <c r="E504" s="24"/>
      <c r="F504" s="24"/>
    </row>
    <row r="505" customFormat="false" ht="15" hidden="false" customHeight="false" outlineLevel="0" collapsed="false">
      <c r="A505" s="27"/>
      <c r="B505" s="24"/>
      <c r="C505" s="24"/>
      <c r="D505" s="24"/>
      <c r="E505" s="24"/>
      <c r="F505" s="24"/>
    </row>
    <row r="506" customFormat="false" ht="15" hidden="false" customHeight="false" outlineLevel="0" collapsed="false">
      <c r="A506" s="27"/>
      <c r="B506" s="24"/>
      <c r="C506" s="24"/>
      <c r="D506" s="24"/>
      <c r="E506" s="24"/>
      <c r="F506" s="24"/>
    </row>
    <row r="507" customFormat="false" ht="15" hidden="false" customHeight="false" outlineLevel="0" collapsed="false">
      <c r="A507" s="27"/>
      <c r="B507" s="24"/>
      <c r="C507" s="24"/>
      <c r="D507" s="24"/>
      <c r="E507" s="24"/>
      <c r="F507" s="24"/>
    </row>
    <row r="508" customFormat="false" ht="15" hidden="false" customHeight="false" outlineLevel="0" collapsed="false">
      <c r="A508" s="27"/>
      <c r="B508" s="24"/>
      <c r="C508" s="24"/>
      <c r="D508" s="24"/>
      <c r="E508" s="24"/>
      <c r="F508" s="24"/>
    </row>
    <row r="509" customFormat="false" ht="15" hidden="false" customHeight="false" outlineLevel="0" collapsed="false">
      <c r="A509" s="27"/>
      <c r="B509" s="24"/>
      <c r="C509" s="24"/>
      <c r="D509" s="24"/>
      <c r="E509" s="24"/>
      <c r="F509" s="24"/>
    </row>
    <row r="510" customFormat="false" ht="15" hidden="false" customHeight="false" outlineLevel="0" collapsed="false">
      <c r="A510" s="27"/>
      <c r="B510" s="24"/>
      <c r="C510" s="24"/>
      <c r="D510" s="24"/>
      <c r="E510" s="24"/>
      <c r="F510" s="24"/>
    </row>
    <row r="511" customFormat="false" ht="15" hidden="false" customHeight="false" outlineLevel="0" collapsed="false">
      <c r="A511" s="27"/>
      <c r="B511" s="24"/>
      <c r="C511" s="24"/>
      <c r="D511" s="24"/>
      <c r="E511" s="24"/>
      <c r="F511" s="24"/>
    </row>
    <row r="512" customFormat="false" ht="15" hidden="false" customHeight="false" outlineLevel="0" collapsed="false">
      <c r="A512" s="27"/>
      <c r="B512" s="24"/>
      <c r="C512" s="24"/>
      <c r="D512" s="24"/>
      <c r="E512" s="24"/>
      <c r="F512" s="24"/>
    </row>
    <row r="513" customFormat="false" ht="15" hidden="false" customHeight="false" outlineLevel="0" collapsed="false">
      <c r="A513" s="27"/>
      <c r="B513" s="24"/>
      <c r="C513" s="24"/>
      <c r="D513" s="24"/>
      <c r="E513" s="24"/>
      <c r="F513" s="24"/>
    </row>
    <row r="514" customFormat="false" ht="15" hidden="false" customHeight="false" outlineLevel="0" collapsed="false">
      <c r="A514" s="27"/>
      <c r="B514" s="24"/>
      <c r="C514" s="24"/>
      <c r="D514" s="24"/>
      <c r="E514" s="24"/>
      <c r="F514" s="24"/>
    </row>
    <row r="515" customFormat="false" ht="15" hidden="false" customHeight="false" outlineLevel="0" collapsed="false">
      <c r="A515" s="27"/>
      <c r="B515" s="24"/>
      <c r="C515" s="24"/>
      <c r="D515" s="24"/>
      <c r="E515" s="24"/>
      <c r="F515" s="24"/>
    </row>
    <row r="516" customFormat="false" ht="15" hidden="false" customHeight="false" outlineLevel="0" collapsed="false">
      <c r="A516" s="27"/>
      <c r="B516" s="24"/>
      <c r="C516" s="24"/>
      <c r="D516" s="24"/>
      <c r="E516" s="24"/>
      <c r="F516" s="24"/>
    </row>
    <row r="517" customFormat="false" ht="15" hidden="false" customHeight="false" outlineLevel="0" collapsed="false">
      <c r="A517" s="27"/>
      <c r="B517" s="24"/>
      <c r="C517" s="24"/>
      <c r="D517" s="24"/>
      <c r="E517" s="24"/>
      <c r="F517" s="24"/>
    </row>
    <row r="518" customFormat="false" ht="15" hidden="false" customHeight="false" outlineLevel="0" collapsed="false">
      <c r="A518" s="27"/>
      <c r="B518" s="24"/>
      <c r="C518" s="24"/>
      <c r="D518" s="24"/>
      <c r="E518" s="24"/>
      <c r="F518" s="24"/>
    </row>
    <row r="519" customFormat="false" ht="15" hidden="false" customHeight="false" outlineLevel="0" collapsed="false">
      <c r="A519" s="27"/>
      <c r="B519" s="24"/>
      <c r="C519" s="24"/>
      <c r="D519" s="24"/>
      <c r="E519" s="24"/>
      <c r="F519" s="24"/>
    </row>
    <row r="520" customFormat="false" ht="15" hidden="false" customHeight="false" outlineLevel="0" collapsed="false">
      <c r="A520" s="27"/>
      <c r="B520" s="24"/>
      <c r="C520" s="24"/>
      <c r="D520" s="24"/>
      <c r="E520" s="24"/>
      <c r="F520" s="24"/>
    </row>
    <row r="521" customFormat="false" ht="15" hidden="false" customHeight="false" outlineLevel="0" collapsed="false">
      <c r="A521" s="27"/>
      <c r="B521" s="24"/>
      <c r="C521" s="24"/>
      <c r="D521" s="24"/>
      <c r="E521" s="24"/>
      <c r="F521" s="24"/>
    </row>
    <row r="522" customFormat="false" ht="15" hidden="false" customHeight="false" outlineLevel="0" collapsed="false">
      <c r="A522" s="27"/>
      <c r="B522" s="24"/>
      <c r="C522" s="24"/>
      <c r="D522" s="24"/>
      <c r="E522" s="24"/>
      <c r="F522" s="24"/>
    </row>
    <row r="523" customFormat="false" ht="15" hidden="false" customHeight="false" outlineLevel="0" collapsed="false">
      <c r="A523" s="27"/>
      <c r="B523" s="24"/>
      <c r="C523" s="24"/>
      <c r="D523" s="24"/>
      <c r="E523" s="24"/>
      <c r="F523" s="24"/>
    </row>
    <row r="524" customFormat="false" ht="15" hidden="false" customHeight="false" outlineLevel="0" collapsed="false">
      <c r="A524" s="27"/>
      <c r="B524" s="24"/>
      <c r="C524" s="24"/>
      <c r="D524" s="24"/>
      <c r="E524" s="24"/>
      <c r="F524" s="24"/>
    </row>
    <row r="525" customFormat="false" ht="15" hidden="false" customHeight="false" outlineLevel="0" collapsed="false">
      <c r="A525" s="27"/>
      <c r="B525" s="24"/>
      <c r="C525" s="24"/>
      <c r="D525" s="24"/>
      <c r="E525" s="24"/>
      <c r="F525" s="24"/>
    </row>
    <row r="526" customFormat="false" ht="15" hidden="false" customHeight="false" outlineLevel="0" collapsed="false">
      <c r="A526" s="27"/>
      <c r="B526" s="24"/>
      <c r="C526" s="24"/>
      <c r="D526" s="24"/>
      <c r="E526" s="24"/>
      <c r="F526" s="24"/>
    </row>
    <row r="527" customFormat="false" ht="15" hidden="false" customHeight="false" outlineLevel="0" collapsed="false">
      <c r="A527" s="27"/>
      <c r="B527" s="24"/>
      <c r="C527" s="24"/>
      <c r="D527" s="24"/>
      <c r="E527" s="24"/>
      <c r="F527" s="24"/>
    </row>
    <row r="528" customFormat="false" ht="15" hidden="false" customHeight="false" outlineLevel="0" collapsed="false">
      <c r="A528" s="27"/>
      <c r="B528" s="24"/>
      <c r="C528" s="24"/>
      <c r="D528" s="24"/>
      <c r="E528" s="24"/>
      <c r="F528" s="24"/>
    </row>
    <row r="529" customFormat="false" ht="15" hidden="false" customHeight="false" outlineLevel="0" collapsed="false">
      <c r="A529" s="27"/>
      <c r="B529" s="24"/>
      <c r="C529" s="24"/>
      <c r="D529" s="24"/>
      <c r="E529" s="24"/>
      <c r="F529" s="24"/>
    </row>
    <row r="530" customFormat="false" ht="15" hidden="false" customHeight="false" outlineLevel="0" collapsed="false">
      <c r="A530" s="27"/>
      <c r="B530" s="24"/>
      <c r="C530" s="24"/>
      <c r="D530" s="24"/>
      <c r="E530" s="24"/>
      <c r="F530" s="24"/>
    </row>
    <row r="531" customFormat="false" ht="15" hidden="false" customHeight="false" outlineLevel="0" collapsed="false">
      <c r="A531" s="27"/>
      <c r="B531" s="24"/>
      <c r="C531" s="24"/>
      <c r="D531" s="24"/>
      <c r="E531" s="24"/>
      <c r="F531" s="24"/>
    </row>
    <row r="532" customFormat="false" ht="15" hidden="false" customHeight="false" outlineLevel="0" collapsed="false">
      <c r="A532" s="27"/>
      <c r="B532" s="24"/>
      <c r="C532" s="24"/>
      <c r="D532" s="24"/>
      <c r="E532" s="24"/>
      <c r="F532" s="24"/>
    </row>
    <row r="533" customFormat="false" ht="15" hidden="false" customHeight="false" outlineLevel="0" collapsed="false">
      <c r="A533" s="27"/>
      <c r="B533" s="24"/>
      <c r="C533" s="24"/>
      <c r="D533" s="24"/>
      <c r="E533" s="24"/>
      <c r="F533" s="24"/>
    </row>
    <row r="534" customFormat="false" ht="15" hidden="false" customHeight="false" outlineLevel="0" collapsed="false">
      <c r="A534" s="27"/>
      <c r="B534" s="24"/>
      <c r="C534" s="24"/>
      <c r="D534" s="24"/>
      <c r="E534" s="24"/>
      <c r="F534" s="24"/>
    </row>
    <row r="535" customFormat="false" ht="15" hidden="false" customHeight="false" outlineLevel="0" collapsed="false">
      <c r="A535" s="27"/>
      <c r="B535" s="24"/>
      <c r="C535" s="24"/>
      <c r="D535" s="24"/>
      <c r="E535" s="24"/>
      <c r="F535" s="24"/>
    </row>
    <row r="536" customFormat="false" ht="15" hidden="false" customHeight="false" outlineLevel="0" collapsed="false">
      <c r="A536" s="27"/>
      <c r="B536" s="24"/>
      <c r="C536" s="24"/>
      <c r="D536" s="24"/>
      <c r="E536" s="24"/>
      <c r="F536" s="24"/>
    </row>
    <row r="537" customFormat="false" ht="15" hidden="false" customHeight="false" outlineLevel="0" collapsed="false">
      <c r="A537" s="27"/>
      <c r="B537" s="24"/>
      <c r="C537" s="24"/>
      <c r="D537" s="24"/>
      <c r="E537" s="24"/>
      <c r="F537" s="24"/>
    </row>
    <row r="538" customFormat="false" ht="15" hidden="false" customHeight="false" outlineLevel="0" collapsed="false">
      <c r="A538" s="27"/>
      <c r="B538" s="24"/>
      <c r="C538" s="24"/>
      <c r="D538" s="24"/>
      <c r="E538" s="24"/>
      <c r="F538" s="24"/>
    </row>
    <row r="539" customFormat="false" ht="15" hidden="false" customHeight="false" outlineLevel="0" collapsed="false">
      <c r="A539" s="27"/>
      <c r="B539" s="24"/>
      <c r="C539" s="24"/>
      <c r="D539" s="24"/>
      <c r="E539" s="24"/>
      <c r="F539" s="24"/>
    </row>
    <row r="540" customFormat="false" ht="15" hidden="false" customHeight="false" outlineLevel="0" collapsed="false">
      <c r="A540" s="27"/>
      <c r="B540" s="24"/>
      <c r="C540" s="24"/>
      <c r="D540" s="24"/>
      <c r="E540" s="24"/>
      <c r="F540" s="24"/>
    </row>
    <row r="541" customFormat="false" ht="15" hidden="false" customHeight="false" outlineLevel="0" collapsed="false">
      <c r="A541" s="27"/>
      <c r="B541" s="24"/>
      <c r="C541" s="24"/>
      <c r="D541" s="24"/>
      <c r="E541" s="24"/>
      <c r="F541" s="24"/>
    </row>
    <row r="542" customFormat="false" ht="15" hidden="false" customHeight="false" outlineLevel="0" collapsed="false">
      <c r="A542" s="27"/>
      <c r="B542" s="24"/>
      <c r="C542" s="24"/>
      <c r="D542" s="24"/>
      <c r="E542" s="24"/>
      <c r="F542" s="24"/>
    </row>
    <row r="543" customFormat="false" ht="15" hidden="false" customHeight="false" outlineLevel="0" collapsed="false">
      <c r="A543" s="27"/>
      <c r="B543" s="24"/>
      <c r="C543" s="24"/>
      <c r="D543" s="24"/>
      <c r="E543" s="24"/>
      <c r="F543" s="24"/>
    </row>
    <row r="544" customFormat="false" ht="15" hidden="false" customHeight="false" outlineLevel="0" collapsed="false">
      <c r="A544" s="27"/>
      <c r="B544" s="24"/>
      <c r="C544" s="24"/>
      <c r="D544" s="24"/>
      <c r="E544" s="24"/>
      <c r="F544" s="24"/>
    </row>
    <row r="545" customFormat="false" ht="15" hidden="false" customHeight="false" outlineLevel="0" collapsed="false">
      <c r="A545" s="27"/>
      <c r="B545" s="24"/>
      <c r="C545" s="24"/>
      <c r="D545" s="24"/>
      <c r="E545" s="24"/>
      <c r="F545" s="24"/>
    </row>
    <row r="546" customFormat="false" ht="15" hidden="false" customHeight="false" outlineLevel="0" collapsed="false">
      <c r="A546" s="27"/>
      <c r="B546" s="24"/>
      <c r="C546" s="24"/>
      <c r="D546" s="24"/>
      <c r="E546" s="24"/>
      <c r="F546" s="24"/>
    </row>
    <row r="547" customFormat="false" ht="15" hidden="false" customHeight="false" outlineLevel="0" collapsed="false">
      <c r="A547" s="27"/>
      <c r="B547" s="24"/>
      <c r="C547" s="24"/>
      <c r="D547" s="24"/>
      <c r="E547" s="24"/>
      <c r="F547" s="24"/>
    </row>
    <row r="548" customFormat="false" ht="15" hidden="false" customHeight="false" outlineLevel="0" collapsed="false">
      <c r="A548" s="27"/>
      <c r="B548" s="24"/>
      <c r="C548" s="24"/>
      <c r="D548" s="24"/>
      <c r="E548" s="24"/>
      <c r="F548" s="24"/>
    </row>
    <row r="549" customFormat="false" ht="15" hidden="false" customHeight="false" outlineLevel="0" collapsed="false">
      <c r="A549" s="27"/>
      <c r="B549" s="24"/>
      <c r="C549" s="24"/>
      <c r="D549" s="24"/>
      <c r="E549" s="24"/>
      <c r="F549" s="24"/>
    </row>
    <row r="550" customFormat="false" ht="15" hidden="false" customHeight="false" outlineLevel="0" collapsed="false">
      <c r="A550" s="27"/>
      <c r="B550" s="24"/>
      <c r="C550" s="24"/>
      <c r="D550" s="24"/>
      <c r="E550" s="24"/>
      <c r="F550" s="24"/>
    </row>
    <row r="551" customFormat="false" ht="15" hidden="false" customHeight="false" outlineLevel="0" collapsed="false">
      <c r="A551" s="27"/>
      <c r="B551" s="24"/>
      <c r="C551" s="24"/>
      <c r="D551" s="24"/>
      <c r="E551" s="24"/>
      <c r="F551" s="24"/>
    </row>
    <row r="552" customFormat="false" ht="15" hidden="false" customHeight="false" outlineLevel="0" collapsed="false">
      <c r="A552" s="27"/>
      <c r="B552" s="24"/>
      <c r="C552" s="24"/>
      <c r="D552" s="24"/>
      <c r="E552" s="24"/>
      <c r="F552" s="24"/>
    </row>
    <row r="553" customFormat="false" ht="15" hidden="false" customHeight="false" outlineLevel="0" collapsed="false">
      <c r="A553" s="27"/>
      <c r="B553" s="24"/>
      <c r="C553" s="24"/>
      <c r="D553" s="24"/>
      <c r="E553" s="24"/>
      <c r="F553" s="24"/>
    </row>
    <row r="554" customFormat="false" ht="15" hidden="false" customHeight="false" outlineLevel="0" collapsed="false">
      <c r="A554" s="27"/>
      <c r="B554" s="24"/>
      <c r="C554" s="24"/>
      <c r="D554" s="24"/>
      <c r="E554" s="24"/>
      <c r="F554" s="24"/>
    </row>
    <row r="555" customFormat="false" ht="15" hidden="false" customHeight="false" outlineLevel="0" collapsed="false">
      <c r="A555" s="27"/>
      <c r="B555" s="24"/>
      <c r="C555" s="24"/>
      <c r="D555" s="24"/>
      <c r="E555" s="24"/>
      <c r="F555" s="24"/>
    </row>
    <row r="556" customFormat="false" ht="15" hidden="false" customHeight="false" outlineLevel="0" collapsed="false">
      <c r="A556" s="27"/>
      <c r="B556" s="24"/>
      <c r="C556" s="24"/>
      <c r="D556" s="24"/>
      <c r="E556" s="24"/>
      <c r="F556" s="24"/>
    </row>
    <row r="557" customFormat="false" ht="15" hidden="false" customHeight="false" outlineLevel="0" collapsed="false">
      <c r="A557" s="27"/>
      <c r="B557" s="24"/>
      <c r="C557" s="24"/>
      <c r="D557" s="24"/>
      <c r="E557" s="24"/>
      <c r="F557" s="24"/>
    </row>
    <row r="558" customFormat="false" ht="15" hidden="false" customHeight="false" outlineLevel="0" collapsed="false">
      <c r="A558" s="27"/>
      <c r="B558" s="24"/>
      <c r="C558" s="24"/>
      <c r="D558" s="24"/>
      <c r="E558" s="24"/>
      <c r="F558" s="24"/>
    </row>
    <row r="559" customFormat="false" ht="15" hidden="false" customHeight="false" outlineLevel="0" collapsed="false">
      <c r="A559" s="27"/>
      <c r="B559" s="24"/>
      <c r="C559" s="24"/>
      <c r="D559" s="24"/>
      <c r="E559" s="24"/>
      <c r="F559" s="24"/>
    </row>
    <row r="560" customFormat="false" ht="15" hidden="false" customHeight="false" outlineLevel="0" collapsed="false">
      <c r="A560" s="27"/>
      <c r="B560" s="24"/>
      <c r="C560" s="24"/>
      <c r="D560" s="24"/>
      <c r="E560" s="24"/>
      <c r="F560" s="24"/>
    </row>
    <row r="561" customFormat="false" ht="15" hidden="false" customHeight="false" outlineLevel="0" collapsed="false">
      <c r="A561" s="27"/>
      <c r="B561" s="24"/>
      <c r="C561" s="24"/>
      <c r="D561" s="24"/>
      <c r="E561" s="24"/>
      <c r="F561" s="24"/>
    </row>
    <row r="562" customFormat="false" ht="15" hidden="false" customHeight="false" outlineLevel="0" collapsed="false">
      <c r="A562" s="27"/>
      <c r="B562" s="24"/>
      <c r="C562" s="24"/>
      <c r="D562" s="24"/>
      <c r="E562" s="24"/>
      <c r="F562" s="24"/>
    </row>
    <row r="563" customFormat="false" ht="15" hidden="false" customHeight="false" outlineLevel="0" collapsed="false">
      <c r="A563" s="27"/>
      <c r="B563" s="24"/>
      <c r="C563" s="24"/>
      <c r="D563" s="24"/>
      <c r="E563" s="24"/>
      <c r="F563" s="24"/>
    </row>
    <row r="564" customFormat="false" ht="15" hidden="false" customHeight="false" outlineLevel="0" collapsed="false">
      <c r="A564" s="27"/>
      <c r="B564" s="24"/>
      <c r="C564" s="24"/>
      <c r="D564" s="24"/>
      <c r="E564" s="24"/>
      <c r="F564" s="24"/>
    </row>
    <row r="565" customFormat="false" ht="15" hidden="false" customHeight="false" outlineLevel="0" collapsed="false">
      <c r="A565" s="27"/>
      <c r="B565" s="24"/>
      <c r="C565" s="24"/>
      <c r="D565" s="24"/>
      <c r="E565" s="24"/>
      <c r="F565" s="24"/>
    </row>
    <row r="566" customFormat="false" ht="15" hidden="false" customHeight="false" outlineLevel="0" collapsed="false">
      <c r="A566" s="27"/>
      <c r="B566" s="24"/>
      <c r="C566" s="24"/>
      <c r="D566" s="24"/>
      <c r="E566" s="24"/>
      <c r="F566" s="24"/>
    </row>
    <row r="567" customFormat="false" ht="15" hidden="false" customHeight="false" outlineLevel="0" collapsed="false">
      <c r="A567" s="27"/>
      <c r="B567" s="24"/>
      <c r="C567" s="24"/>
      <c r="D567" s="24"/>
      <c r="E567" s="24"/>
      <c r="F567" s="24"/>
    </row>
    <row r="568" customFormat="false" ht="15" hidden="false" customHeight="false" outlineLevel="0" collapsed="false">
      <c r="A568" s="27"/>
      <c r="B568" s="24"/>
      <c r="C568" s="24"/>
      <c r="D568" s="24"/>
      <c r="E568" s="24"/>
      <c r="F568" s="24"/>
    </row>
    <row r="569" customFormat="false" ht="15" hidden="false" customHeight="false" outlineLevel="0" collapsed="false">
      <c r="A569" s="27"/>
      <c r="B569" s="24"/>
      <c r="C569" s="24"/>
      <c r="D569" s="24"/>
      <c r="E569" s="24"/>
      <c r="F569" s="24"/>
    </row>
    <row r="570" customFormat="false" ht="15" hidden="false" customHeight="false" outlineLevel="0" collapsed="false">
      <c r="A570" s="27"/>
      <c r="B570" s="24"/>
      <c r="C570" s="24"/>
      <c r="D570" s="24"/>
      <c r="E570" s="24"/>
      <c r="F570" s="24"/>
    </row>
    <row r="571" customFormat="false" ht="15" hidden="false" customHeight="false" outlineLevel="0" collapsed="false">
      <c r="A571" s="27"/>
      <c r="B571" s="24"/>
      <c r="C571" s="24"/>
      <c r="D571" s="24"/>
      <c r="E571" s="24"/>
      <c r="F571" s="24"/>
    </row>
    <row r="572" customFormat="false" ht="15" hidden="false" customHeight="false" outlineLevel="0" collapsed="false">
      <c r="A572" s="27"/>
      <c r="B572" s="24"/>
      <c r="C572" s="24"/>
      <c r="D572" s="24"/>
      <c r="E572" s="24"/>
      <c r="F572" s="24"/>
    </row>
    <row r="573" customFormat="false" ht="15" hidden="false" customHeight="false" outlineLevel="0" collapsed="false">
      <c r="A573" s="27"/>
      <c r="B573" s="24"/>
      <c r="C573" s="24"/>
      <c r="D573" s="24"/>
      <c r="E573" s="24"/>
      <c r="F573" s="24"/>
    </row>
    <row r="574" customFormat="false" ht="15" hidden="false" customHeight="false" outlineLevel="0" collapsed="false">
      <c r="A574" s="27"/>
      <c r="B574" s="24"/>
      <c r="C574" s="24"/>
      <c r="D574" s="24"/>
      <c r="E574" s="24"/>
      <c r="F574" s="24"/>
    </row>
    <row r="575" customFormat="false" ht="15" hidden="false" customHeight="false" outlineLevel="0" collapsed="false">
      <c r="A575" s="27"/>
      <c r="B575" s="24"/>
      <c r="C575" s="24"/>
      <c r="D575" s="24"/>
      <c r="E575" s="24"/>
      <c r="F575" s="24"/>
    </row>
    <row r="576" customFormat="false" ht="15" hidden="false" customHeight="false" outlineLevel="0" collapsed="false">
      <c r="A576" s="27"/>
      <c r="B576" s="24"/>
      <c r="C576" s="24"/>
      <c r="D576" s="24"/>
      <c r="E576" s="24"/>
      <c r="F576" s="24"/>
    </row>
    <row r="577" customFormat="false" ht="15" hidden="false" customHeight="false" outlineLevel="0" collapsed="false">
      <c r="A577" s="27"/>
      <c r="B577" s="24"/>
      <c r="C577" s="24"/>
      <c r="D577" s="24"/>
      <c r="E577" s="24"/>
      <c r="F577" s="24"/>
    </row>
    <row r="578" customFormat="false" ht="15" hidden="false" customHeight="false" outlineLevel="0" collapsed="false">
      <c r="A578" s="27"/>
      <c r="B578" s="24"/>
      <c r="C578" s="24"/>
      <c r="D578" s="24"/>
      <c r="E578" s="24"/>
      <c r="F578" s="24"/>
    </row>
    <row r="579" customFormat="false" ht="15" hidden="false" customHeight="false" outlineLevel="0" collapsed="false">
      <c r="A579" s="27"/>
      <c r="B579" s="24"/>
      <c r="C579" s="24"/>
      <c r="D579" s="24"/>
      <c r="E579" s="24"/>
      <c r="F579" s="24"/>
    </row>
    <row r="580" customFormat="false" ht="15" hidden="false" customHeight="false" outlineLevel="0" collapsed="false">
      <c r="A580" s="27"/>
      <c r="B580" s="24"/>
      <c r="C580" s="24"/>
      <c r="D580" s="24"/>
      <c r="E580" s="24"/>
      <c r="F580" s="24"/>
    </row>
    <row r="581" customFormat="false" ht="15" hidden="false" customHeight="false" outlineLevel="0" collapsed="false">
      <c r="A581" s="27"/>
      <c r="B581" s="24"/>
      <c r="C581" s="24"/>
      <c r="D581" s="24"/>
      <c r="E581" s="24"/>
      <c r="F581" s="24"/>
    </row>
    <row r="582" customFormat="false" ht="15" hidden="false" customHeight="false" outlineLevel="0" collapsed="false">
      <c r="A582" s="27"/>
      <c r="B582" s="24"/>
      <c r="C582" s="24"/>
      <c r="D582" s="24"/>
      <c r="E582" s="24"/>
      <c r="F582" s="24"/>
    </row>
    <row r="583" customFormat="false" ht="15" hidden="false" customHeight="false" outlineLevel="0" collapsed="false">
      <c r="A583" s="27"/>
      <c r="B583" s="24"/>
      <c r="C583" s="24"/>
      <c r="D583" s="24"/>
      <c r="E583" s="24"/>
      <c r="F583" s="24"/>
    </row>
    <row r="584" customFormat="false" ht="15" hidden="false" customHeight="false" outlineLevel="0" collapsed="false">
      <c r="A584" s="27"/>
      <c r="B584" s="24"/>
      <c r="C584" s="24"/>
      <c r="D584" s="24"/>
      <c r="E584" s="24"/>
      <c r="F584" s="24"/>
    </row>
    <row r="585" customFormat="false" ht="15" hidden="false" customHeight="false" outlineLevel="0" collapsed="false">
      <c r="A585" s="27"/>
      <c r="B585" s="24"/>
      <c r="C585" s="24"/>
      <c r="D585" s="24"/>
      <c r="E585" s="24"/>
      <c r="F585" s="24"/>
    </row>
    <row r="586" customFormat="false" ht="15" hidden="false" customHeight="false" outlineLevel="0" collapsed="false">
      <c r="A586" s="27"/>
      <c r="B586" s="24"/>
      <c r="C586" s="24"/>
      <c r="D586" s="24"/>
      <c r="E586" s="24"/>
      <c r="F586" s="24"/>
    </row>
    <row r="587" customFormat="false" ht="15" hidden="false" customHeight="false" outlineLevel="0" collapsed="false">
      <c r="A587" s="27"/>
      <c r="B587" s="24"/>
      <c r="C587" s="24"/>
      <c r="D587" s="24"/>
      <c r="E587" s="24"/>
      <c r="F587" s="24"/>
    </row>
    <row r="588" customFormat="false" ht="15" hidden="false" customHeight="false" outlineLevel="0" collapsed="false">
      <c r="A588" s="27"/>
      <c r="B588" s="24"/>
      <c r="C588" s="24"/>
      <c r="D588" s="24"/>
      <c r="E588" s="24"/>
      <c r="F588" s="24"/>
    </row>
    <row r="589" customFormat="false" ht="15" hidden="false" customHeight="false" outlineLevel="0" collapsed="false">
      <c r="A589" s="27"/>
      <c r="B589" s="24"/>
      <c r="C589" s="24"/>
      <c r="D589" s="24"/>
      <c r="E589" s="24"/>
      <c r="F589" s="24"/>
    </row>
    <row r="590" customFormat="false" ht="15" hidden="false" customHeight="false" outlineLevel="0" collapsed="false">
      <c r="A590" s="27"/>
      <c r="B590" s="24"/>
      <c r="C590" s="24"/>
      <c r="D590" s="24"/>
      <c r="E590" s="24"/>
      <c r="F590" s="24"/>
    </row>
    <row r="591" customFormat="false" ht="15" hidden="false" customHeight="false" outlineLevel="0" collapsed="false">
      <c r="A591" s="27"/>
      <c r="B591" s="24"/>
      <c r="C591" s="24"/>
      <c r="D591" s="24"/>
      <c r="E591" s="24"/>
      <c r="F591" s="24"/>
    </row>
    <row r="592" customFormat="false" ht="15" hidden="false" customHeight="false" outlineLevel="0" collapsed="false">
      <c r="A592" s="27"/>
      <c r="B592" s="24"/>
      <c r="C592" s="24"/>
      <c r="D592" s="24"/>
      <c r="E592" s="24"/>
      <c r="F592" s="24"/>
    </row>
    <row r="593" customFormat="false" ht="15" hidden="false" customHeight="false" outlineLevel="0" collapsed="false">
      <c r="A593" s="27"/>
      <c r="B593" s="24"/>
      <c r="C593" s="24"/>
      <c r="D593" s="24"/>
      <c r="E593" s="24"/>
      <c r="F593" s="24"/>
    </row>
    <row r="594" customFormat="false" ht="15" hidden="false" customHeight="false" outlineLevel="0" collapsed="false">
      <c r="A594" s="27"/>
      <c r="B594" s="24"/>
      <c r="C594" s="24"/>
      <c r="D594" s="24"/>
      <c r="E594" s="24"/>
      <c r="F594" s="24"/>
    </row>
    <row r="595" customFormat="false" ht="15" hidden="false" customHeight="false" outlineLevel="0" collapsed="false">
      <c r="A595" s="27"/>
      <c r="B595" s="24"/>
      <c r="C595" s="24"/>
      <c r="D595" s="24"/>
      <c r="E595" s="24"/>
      <c r="F595" s="24"/>
    </row>
    <row r="596" customFormat="false" ht="15" hidden="false" customHeight="false" outlineLevel="0" collapsed="false">
      <c r="A596" s="27"/>
      <c r="B596" s="24"/>
      <c r="C596" s="24"/>
      <c r="D596" s="24"/>
      <c r="E596" s="24"/>
      <c r="F596" s="24"/>
    </row>
    <row r="597" customFormat="false" ht="15" hidden="false" customHeight="false" outlineLevel="0" collapsed="false">
      <c r="A597" s="27"/>
      <c r="B597" s="24"/>
      <c r="C597" s="24"/>
      <c r="D597" s="24"/>
      <c r="E597" s="24"/>
      <c r="F597" s="24"/>
    </row>
    <row r="598" customFormat="false" ht="15" hidden="false" customHeight="false" outlineLevel="0" collapsed="false">
      <c r="A598" s="27"/>
      <c r="B598" s="24"/>
      <c r="C598" s="24"/>
      <c r="D598" s="24"/>
      <c r="E598" s="24"/>
      <c r="F598" s="24"/>
    </row>
    <row r="599" customFormat="false" ht="15" hidden="false" customHeight="false" outlineLevel="0" collapsed="false">
      <c r="A599" s="27"/>
      <c r="B599" s="24"/>
      <c r="C599" s="24"/>
      <c r="D599" s="24"/>
      <c r="E599" s="24"/>
      <c r="F599" s="24"/>
    </row>
    <row r="600" customFormat="false" ht="15" hidden="false" customHeight="false" outlineLevel="0" collapsed="false">
      <c r="A600" s="27"/>
      <c r="B600" s="24"/>
      <c r="C600" s="24"/>
      <c r="D600" s="24"/>
      <c r="E600" s="24"/>
      <c r="F600" s="24"/>
    </row>
    <row r="601" customFormat="false" ht="15" hidden="false" customHeight="false" outlineLevel="0" collapsed="false">
      <c r="A601" s="27"/>
      <c r="B601" s="24"/>
      <c r="C601" s="24"/>
      <c r="D601" s="24"/>
      <c r="E601" s="24"/>
      <c r="F601" s="24"/>
    </row>
    <row r="602" customFormat="false" ht="15" hidden="false" customHeight="false" outlineLevel="0" collapsed="false">
      <c r="A602" s="27"/>
      <c r="B602" s="24"/>
      <c r="C602" s="24"/>
      <c r="D602" s="24"/>
      <c r="E602" s="24"/>
      <c r="F602" s="24"/>
    </row>
    <row r="603" customFormat="false" ht="15" hidden="false" customHeight="false" outlineLevel="0" collapsed="false">
      <c r="A603" s="27"/>
      <c r="B603" s="24"/>
      <c r="C603" s="24"/>
      <c r="D603" s="24"/>
      <c r="E603" s="24"/>
      <c r="F603" s="24"/>
    </row>
    <row r="604" customFormat="false" ht="15" hidden="false" customHeight="false" outlineLevel="0" collapsed="false">
      <c r="A604" s="27"/>
      <c r="B604" s="24"/>
      <c r="C604" s="24"/>
      <c r="D604" s="24"/>
      <c r="E604" s="24"/>
      <c r="F604" s="24"/>
    </row>
    <row r="605" customFormat="false" ht="15" hidden="false" customHeight="false" outlineLevel="0" collapsed="false">
      <c r="A605" s="27"/>
      <c r="B605" s="24"/>
      <c r="C605" s="24"/>
      <c r="D605" s="24"/>
      <c r="E605" s="24"/>
      <c r="F605" s="24"/>
    </row>
    <row r="606" customFormat="false" ht="15" hidden="false" customHeight="false" outlineLevel="0" collapsed="false">
      <c r="A606" s="27"/>
      <c r="B606" s="24"/>
      <c r="C606" s="24"/>
      <c r="D606" s="24"/>
      <c r="E606" s="24"/>
      <c r="F606" s="24"/>
    </row>
    <row r="607" customFormat="false" ht="15" hidden="false" customHeight="false" outlineLevel="0" collapsed="false">
      <c r="A607" s="27"/>
      <c r="B607" s="24"/>
      <c r="C607" s="24"/>
      <c r="D607" s="24"/>
      <c r="E607" s="24"/>
      <c r="F607" s="24"/>
    </row>
    <row r="608" customFormat="false" ht="15" hidden="false" customHeight="false" outlineLevel="0" collapsed="false">
      <c r="A608" s="27"/>
      <c r="B608" s="24"/>
      <c r="C608" s="24"/>
      <c r="D608" s="24"/>
      <c r="E608" s="24"/>
      <c r="F608" s="24"/>
    </row>
    <row r="609" customFormat="false" ht="15" hidden="false" customHeight="false" outlineLevel="0" collapsed="false">
      <c r="A609" s="27"/>
      <c r="B609" s="24"/>
      <c r="C609" s="24"/>
      <c r="D609" s="24"/>
      <c r="E609" s="24"/>
      <c r="F609" s="24"/>
    </row>
    <row r="610" customFormat="false" ht="15" hidden="false" customHeight="false" outlineLevel="0" collapsed="false">
      <c r="A610" s="27"/>
      <c r="B610" s="24"/>
      <c r="C610" s="24"/>
      <c r="D610" s="24"/>
      <c r="E610" s="24"/>
      <c r="F610" s="24"/>
    </row>
    <row r="611" customFormat="false" ht="15" hidden="false" customHeight="false" outlineLevel="0" collapsed="false">
      <c r="A611" s="27"/>
      <c r="B611" s="24"/>
      <c r="C611" s="24"/>
      <c r="D611" s="24"/>
      <c r="E611" s="24"/>
      <c r="F611" s="24"/>
    </row>
    <row r="612" customFormat="false" ht="15" hidden="false" customHeight="false" outlineLevel="0" collapsed="false">
      <c r="A612" s="27"/>
      <c r="B612" s="24"/>
      <c r="C612" s="24"/>
      <c r="D612" s="24"/>
      <c r="E612" s="24"/>
      <c r="F612" s="24"/>
    </row>
    <row r="613" customFormat="false" ht="15" hidden="false" customHeight="false" outlineLevel="0" collapsed="false">
      <c r="A613" s="27"/>
      <c r="B613" s="24"/>
      <c r="C613" s="24"/>
      <c r="D613" s="24"/>
      <c r="E613" s="24"/>
      <c r="F613" s="24"/>
    </row>
    <row r="614" customFormat="false" ht="15" hidden="false" customHeight="false" outlineLevel="0" collapsed="false">
      <c r="A614" s="27"/>
      <c r="B614" s="24"/>
      <c r="C614" s="24"/>
      <c r="D614" s="24"/>
      <c r="E614" s="24"/>
      <c r="F614" s="24"/>
    </row>
    <row r="615" customFormat="false" ht="15" hidden="false" customHeight="false" outlineLevel="0" collapsed="false">
      <c r="A615" s="27"/>
      <c r="B615" s="24"/>
      <c r="C615" s="24"/>
      <c r="D615" s="24"/>
      <c r="E615" s="24"/>
      <c r="F615" s="24"/>
    </row>
    <row r="616" customFormat="false" ht="15" hidden="false" customHeight="false" outlineLevel="0" collapsed="false">
      <c r="A616" s="27"/>
      <c r="B616" s="24"/>
      <c r="C616" s="24"/>
      <c r="D616" s="24"/>
      <c r="E616" s="24"/>
      <c r="F616" s="24"/>
    </row>
    <row r="617" customFormat="false" ht="15" hidden="false" customHeight="false" outlineLevel="0" collapsed="false">
      <c r="A617" s="27"/>
      <c r="B617" s="24"/>
      <c r="C617" s="24"/>
      <c r="D617" s="24"/>
      <c r="E617" s="24"/>
      <c r="F617" s="24"/>
    </row>
    <row r="618" customFormat="false" ht="15" hidden="false" customHeight="false" outlineLevel="0" collapsed="false">
      <c r="A618" s="27"/>
      <c r="B618" s="24"/>
      <c r="C618" s="24"/>
      <c r="D618" s="24"/>
      <c r="E618" s="24"/>
      <c r="F618" s="24"/>
    </row>
    <row r="619" customFormat="false" ht="15" hidden="false" customHeight="false" outlineLevel="0" collapsed="false">
      <c r="A619" s="27"/>
      <c r="B619" s="24"/>
      <c r="C619" s="24"/>
      <c r="D619" s="24"/>
      <c r="E619" s="24"/>
      <c r="F619" s="24"/>
    </row>
    <row r="620" customFormat="false" ht="15" hidden="false" customHeight="false" outlineLevel="0" collapsed="false">
      <c r="A620" s="27"/>
      <c r="B620" s="24"/>
      <c r="C620" s="24"/>
      <c r="D620" s="24"/>
      <c r="E620" s="24"/>
      <c r="F620" s="24"/>
    </row>
    <row r="621" customFormat="false" ht="15" hidden="false" customHeight="false" outlineLevel="0" collapsed="false">
      <c r="A621" s="27"/>
      <c r="B621" s="24"/>
      <c r="C621" s="24"/>
      <c r="D621" s="24"/>
      <c r="E621" s="24"/>
      <c r="F621" s="24"/>
    </row>
    <row r="622" customFormat="false" ht="15" hidden="false" customHeight="false" outlineLevel="0" collapsed="false">
      <c r="A622" s="27"/>
      <c r="B622" s="24"/>
      <c r="C622" s="24"/>
      <c r="D622" s="24"/>
      <c r="E622" s="24"/>
      <c r="F622" s="24"/>
    </row>
    <row r="623" customFormat="false" ht="15" hidden="false" customHeight="false" outlineLevel="0" collapsed="false">
      <c r="A623" s="27"/>
      <c r="B623" s="24"/>
      <c r="C623" s="24"/>
      <c r="D623" s="24"/>
      <c r="E623" s="24"/>
      <c r="F623" s="24"/>
    </row>
    <row r="624" customFormat="false" ht="15" hidden="false" customHeight="false" outlineLevel="0" collapsed="false">
      <c r="A624" s="27"/>
      <c r="B624" s="24"/>
      <c r="C624" s="24"/>
      <c r="D624" s="24"/>
      <c r="E624" s="24"/>
      <c r="F624" s="24"/>
    </row>
    <row r="625" customFormat="false" ht="15" hidden="false" customHeight="false" outlineLevel="0" collapsed="false">
      <c r="A625" s="27"/>
      <c r="B625" s="24"/>
      <c r="C625" s="24"/>
      <c r="D625" s="24"/>
      <c r="E625" s="24"/>
      <c r="F625" s="24"/>
    </row>
    <row r="626" customFormat="false" ht="15" hidden="false" customHeight="false" outlineLevel="0" collapsed="false">
      <c r="A626" s="27"/>
      <c r="B626" s="24"/>
      <c r="C626" s="24"/>
      <c r="D626" s="24"/>
      <c r="E626" s="24"/>
      <c r="F626" s="24"/>
    </row>
    <row r="627" customFormat="false" ht="15" hidden="false" customHeight="false" outlineLevel="0" collapsed="false">
      <c r="A627" s="27"/>
      <c r="B627" s="24"/>
      <c r="C627" s="24"/>
      <c r="D627" s="24"/>
      <c r="E627" s="24"/>
      <c r="F627" s="24"/>
    </row>
    <row r="628" customFormat="false" ht="15" hidden="false" customHeight="false" outlineLevel="0" collapsed="false">
      <c r="A628" s="27"/>
      <c r="B628" s="24"/>
      <c r="C628" s="24"/>
      <c r="D628" s="24"/>
      <c r="E628" s="24"/>
      <c r="F628" s="24"/>
    </row>
    <row r="629" customFormat="false" ht="15" hidden="false" customHeight="false" outlineLevel="0" collapsed="false">
      <c r="A629" s="27"/>
      <c r="B629" s="24"/>
      <c r="C629" s="24"/>
      <c r="D629" s="24"/>
      <c r="E629" s="24"/>
      <c r="F629" s="24"/>
    </row>
    <row r="630" customFormat="false" ht="15" hidden="false" customHeight="false" outlineLevel="0" collapsed="false">
      <c r="A630" s="27"/>
      <c r="B630" s="24"/>
      <c r="C630" s="24"/>
      <c r="D630" s="24"/>
      <c r="E630" s="24"/>
      <c r="F630" s="24"/>
    </row>
    <row r="631" customFormat="false" ht="15" hidden="false" customHeight="false" outlineLevel="0" collapsed="false">
      <c r="A631" s="27"/>
      <c r="B631" s="24"/>
      <c r="C631" s="24"/>
      <c r="D631" s="24"/>
      <c r="E631" s="24"/>
      <c r="F631" s="24"/>
    </row>
    <row r="632" customFormat="false" ht="15" hidden="false" customHeight="false" outlineLevel="0" collapsed="false">
      <c r="A632" s="27"/>
      <c r="B632" s="24"/>
      <c r="C632" s="24"/>
      <c r="D632" s="24"/>
      <c r="E632" s="24"/>
      <c r="F632" s="24"/>
    </row>
    <row r="633" customFormat="false" ht="15" hidden="false" customHeight="false" outlineLevel="0" collapsed="false">
      <c r="A633" s="27"/>
      <c r="B633" s="24"/>
      <c r="C633" s="24"/>
      <c r="D633" s="24"/>
      <c r="E633" s="24"/>
      <c r="F633" s="24"/>
    </row>
    <row r="634" customFormat="false" ht="15" hidden="false" customHeight="false" outlineLevel="0" collapsed="false">
      <c r="A634" s="27"/>
      <c r="B634" s="24"/>
      <c r="C634" s="24"/>
      <c r="D634" s="24"/>
      <c r="E634" s="24"/>
      <c r="F634" s="24"/>
    </row>
    <row r="635" customFormat="false" ht="15" hidden="false" customHeight="false" outlineLevel="0" collapsed="false">
      <c r="A635" s="27"/>
      <c r="B635" s="24"/>
      <c r="C635" s="24"/>
      <c r="D635" s="24"/>
      <c r="E635" s="24"/>
      <c r="F635" s="24"/>
    </row>
    <row r="636" customFormat="false" ht="15" hidden="false" customHeight="false" outlineLevel="0" collapsed="false">
      <c r="A636" s="27"/>
      <c r="B636" s="24"/>
      <c r="C636" s="24"/>
      <c r="D636" s="24"/>
      <c r="E636" s="24"/>
      <c r="F636" s="24"/>
    </row>
    <row r="637" customFormat="false" ht="15" hidden="false" customHeight="false" outlineLevel="0" collapsed="false">
      <c r="A637" s="27"/>
      <c r="B637" s="24"/>
      <c r="C637" s="24"/>
      <c r="D637" s="24"/>
      <c r="E637" s="24"/>
      <c r="F637" s="24"/>
    </row>
    <row r="638" customFormat="false" ht="15" hidden="false" customHeight="false" outlineLevel="0" collapsed="false">
      <c r="A638" s="27"/>
      <c r="B638" s="24"/>
      <c r="C638" s="24"/>
      <c r="D638" s="24"/>
      <c r="E638" s="24"/>
      <c r="F638" s="24"/>
    </row>
    <row r="639" customFormat="false" ht="15" hidden="false" customHeight="false" outlineLevel="0" collapsed="false">
      <c r="A639" s="27"/>
      <c r="B639" s="24"/>
      <c r="C639" s="24"/>
      <c r="D639" s="24"/>
      <c r="E639" s="24"/>
      <c r="F639" s="24"/>
    </row>
    <row r="640" customFormat="false" ht="15" hidden="false" customHeight="false" outlineLevel="0" collapsed="false">
      <c r="A640" s="27"/>
      <c r="B640" s="24"/>
      <c r="C640" s="24"/>
      <c r="D640" s="24"/>
      <c r="E640" s="24"/>
      <c r="F640" s="24"/>
    </row>
    <row r="641" customFormat="false" ht="15" hidden="false" customHeight="false" outlineLevel="0" collapsed="false">
      <c r="A641" s="27"/>
      <c r="B641" s="24"/>
      <c r="C641" s="24"/>
      <c r="D641" s="24"/>
      <c r="E641" s="24"/>
      <c r="F641" s="24"/>
    </row>
    <row r="642" customFormat="false" ht="15" hidden="false" customHeight="false" outlineLevel="0" collapsed="false">
      <c r="A642" s="27"/>
      <c r="B642" s="24"/>
      <c r="C642" s="24"/>
      <c r="D642" s="24"/>
      <c r="E642" s="24"/>
      <c r="F642" s="24"/>
    </row>
    <row r="643" customFormat="false" ht="15" hidden="false" customHeight="false" outlineLevel="0" collapsed="false">
      <c r="A643" s="27"/>
      <c r="B643" s="24"/>
      <c r="C643" s="24"/>
      <c r="D643" s="24"/>
      <c r="E643" s="24"/>
      <c r="F643" s="24"/>
    </row>
    <row r="644" customFormat="false" ht="15" hidden="false" customHeight="false" outlineLevel="0" collapsed="false">
      <c r="A644" s="27"/>
      <c r="B644" s="24"/>
      <c r="C644" s="24"/>
      <c r="D644" s="24"/>
      <c r="E644" s="24"/>
      <c r="F644" s="24"/>
    </row>
    <row r="645" customFormat="false" ht="15" hidden="false" customHeight="false" outlineLevel="0" collapsed="false">
      <c r="A645" s="27"/>
      <c r="B645" s="24"/>
      <c r="C645" s="24"/>
      <c r="D645" s="24"/>
      <c r="E645" s="24"/>
      <c r="F645" s="24"/>
    </row>
    <row r="646" customFormat="false" ht="15" hidden="false" customHeight="false" outlineLevel="0" collapsed="false">
      <c r="A646" s="27"/>
      <c r="B646" s="24"/>
      <c r="C646" s="24"/>
      <c r="D646" s="24"/>
      <c r="E646" s="24"/>
      <c r="F646" s="24"/>
    </row>
    <row r="647" customFormat="false" ht="15" hidden="false" customHeight="false" outlineLevel="0" collapsed="false">
      <c r="A647" s="27"/>
      <c r="B647" s="24"/>
      <c r="C647" s="24"/>
      <c r="D647" s="24"/>
      <c r="E647" s="24"/>
      <c r="F647" s="24"/>
    </row>
    <row r="648" customFormat="false" ht="15" hidden="false" customHeight="false" outlineLevel="0" collapsed="false">
      <c r="A648" s="27"/>
      <c r="B648" s="24"/>
      <c r="C648" s="24"/>
      <c r="D648" s="24"/>
      <c r="E648" s="24"/>
      <c r="F648" s="24"/>
    </row>
    <row r="649" customFormat="false" ht="15" hidden="false" customHeight="false" outlineLevel="0" collapsed="false">
      <c r="A649" s="27"/>
      <c r="B649" s="24"/>
      <c r="C649" s="24"/>
      <c r="D649" s="24"/>
      <c r="E649" s="24"/>
      <c r="F649" s="24"/>
    </row>
    <row r="650" customFormat="false" ht="15" hidden="false" customHeight="false" outlineLevel="0" collapsed="false">
      <c r="A650" s="27"/>
      <c r="B650" s="24"/>
      <c r="C650" s="24"/>
      <c r="D650" s="24"/>
      <c r="E650" s="24"/>
      <c r="F650" s="24"/>
    </row>
    <row r="651" customFormat="false" ht="15" hidden="false" customHeight="false" outlineLevel="0" collapsed="false">
      <c r="A651" s="27"/>
      <c r="B651" s="24"/>
      <c r="C651" s="24"/>
      <c r="D651" s="24"/>
      <c r="E651" s="24"/>
      <c r="F651" s="24"/>
    </row>
    <row r="652" customFormat="false" ht="15" hidden="false" customHeight="false" outlineLevel="0" collapsed="false">
      <c r="A652" s="27"/>
      <c r="B652" s="24"/>
      <c r="C652" s="24"/>
      <c r="D652" s="24"/>
      <c r="E652" s="24"/>
      <c r="F652" s="24"/>
    </row>
    <row r="653" customFormat="false" ht="15" hidden="false" customHeight="false" outlineLevel="0" collapsed="false">
      <c r="A653" s="27"/>
      <c r="B653" s="24"/>
      <c r="C653" s="24"/>
      <c r="D653" s="24"/>
      <c r="E653" s="24"/>
      <c r="F653" s="24"/>
    </row>
    <row r="654" customFormat="false" ht="15" hidden="false" customHeight="false" outlineLevel="0" collapsed="false">
      <c r="A654" s="27"/>
      <c r="B654" s="24"/>
      <c r="C654" s="24"/>
      <c r="D654" s="24"/>
      <c r="E654" s="24"/>
      <c r="F654" s="24"/>
    </row>
    <row r="655" customFormat="false" ht="15" hidden="false" customHeight="false" outlineLevel="0" collapsed="false">
      <c r="A655" s="27"/>
      <c r="B655" s="24"/>
      <c r="C655" s="24"/>
      <c r="D655" s="24"/>
      <c r="E655" s="24"/>
      <c r="F655" s="24"/>
    </row>
    <row r="656" customFormat="false" ht="15" hidden="false" customHeight="false" outlineLevel="0" collapsed="false">
      <c r="A656" s="27"/>
      <c r="B656" s="24"/>
      <c r="C656" s="24"/>
      <c r="D656" s="24"/>
      <c r="E656" s="24"/>
      <c r="F656" s="24"/>
    </row>
    <row r="657" customFormat="false" ht="15" hidden="false" customHeight="false" outlineLevel="0" collapsed="false">
      <c r="A657" s="27"/>
      <c r="B657" s="24"/>
      <c r="C657" s="24"/>
      <c r="D657" s="24"/>
      <c r="E657" s="24"/>
      <c r="F657" s="24"/>
    </row>
    <row r="658" customFormat="false" ht="15" hidden="false" customHeight="false" outlineLevel="0" collapsed="false">
      <c r="A658" s="27"/>
      <c r="B658" s="24"/>
      <c r="C658" s="24"/>
      <c r="D658" s="24"/>
      <c r="E658" s="24"/>
      <c r="F658" s="24"/>
    </row>
    <row r="659" customFormat="false" ht="15" hidden="false" customHeight="false" outlineLevel="0" collapsed="false">
      <c r="A659" s="27"/>
      <c r="B659" s="24"/>
      <c r="C659" s="24"/>
      <c r="D659" s="24"/>
      <c r="E659" s="24"/>
      <c r="F659" s="24"/>
    </row>
    <row r="660" customFormat="false" ht="15" hidden="false" customHeight="false" outlineLevel="0" collapsed="false">
      <c r="A660" s="27"/>
      <c r="B660" s="24"/>
      <c r="C660" s="24"/>
      <c r="D660" s="24"/>
      <c r="E660" s="24"/>
      <c r="F660" s="24"/>
    </row>
    <row r="661" customFormat="false" ht="15" hidden="false" customHeight="false" outlineLevel="0" collapsed="false">
      <c r="A661" s="27"/>
      <c r="B661" s="24"/>
      <c r="C661" s="24"/>
      <c r="D661" s="24"/>
      <c r="E661" s="24"/>
      <c r="F661" s="24"/>
    </row>
    <row r="662" customFormat="false" ht="15" hidden="false" customHeight="false" outlineLevel="0" collapsed="false">
      <c r="A662" s="27"/>
      <c r="B662" s="24"/>
      <c r="C662" s="24"/>
      <c r="D662" s="24"/>
      <c r="E662" s="24"/>
      <c r="F662" s="24"/>
    </row>
    <row r="663" customFormat="false" ht="15" hidden="false" customHeight="false" outlineLevel="0" collapsed="false">
      <c r="A663" s="27"/>
      <c r="B663" s="24"/>
      <c r="C663" s="24"/>
      <c r="D663" s="24"/>
      <c r="E663" s="24"/>
      <c r="F663" s="24"/>
    </row>
    <row r="664" customFormat="false" ht="15" hidden="false" customHeight="false" outlineLevel="0" collapsed="false">
      <c r="A664" s="27"/>
      <c r="B664" s="24"/>
      <c r="C664" s="24"/>
      <c r="D664" s="24"/>
      <c r="E664" s="24"/>
      <c r="F664" s="24"/>
    </row>
    <row r="665" customFormat="false" ht="15" hidden="false" customHeight="false" outlineLevel="0" collapsed="false">
      <c r="A665" s="27"/>
      <c r="B665" s="24"/>
      <c r="C665" s="24"/>
      <c r="D665" s="24"/>
      <c r="E665" s="24"/>
      <c r="F665" s="24"/>
    </row>
    <row r="666" customFormat="false" ht="15" hidden="false" customHeight="false" outlineLevel="0" collapsed="false">
      <c r="A666" s="27"/>
      <c r="B666" s="24"/>
      <c r="C666" s="24"/>
      <c r="D666" s="24"/>
      <c r="E666" s="24"/>
      <c r="F666" s="24"/>
    </row>
    <row r="667" customFormat="false" ht="15" hidden="false" customHeight="false" outlineLevel="0" collapsed="false">
      <c r="A667" s="27"/>
      <c r="B667" s="24"/>
      <c r="C667" s="24"/>
      <c r="D667" s="24"/>
      <c r="E667" s="24"/>
      <c r="F667" s="24"/>
    </row>
    <row r="668" customFormat="false" ht="15" hidden="false" customHeight="false" outlineLevel="0" collapsed="false">
      <c r="A668" s="27"/>
      <c r="B668" s="24"/>
      <c r="C668" s="24"/>
      <c r="D668" s="24"/>
      <c r="E668" s="24"/>
      <c r="F668" s="24"/>
    </row>
    <row r="669" customFormat="false" ht="15" hidden="false" customHeight="false" outlineLevel="0" collapsed="false">
      <c r="A669" s="27"/>
      <c r="B669" s="24"/>
      <c r="C669" s="24"/>
      <c r="D669" s="24"/>
      <c r="E669" s="24"/>
      <c r="F669" s="24"/>
    </row>
    <row r="670" customFormat="false" ht="15" hidden="false" customHeight="false" outlineLevel="0" collapsed="false">
      <c r="A670" s="27"/>
      <c r="B670" s="24"/>
      <c r="C670" s="24"/>
      <c r="D670" s="24"/>
      <c r="E670" s="24"/>
      <c r="F670" s="24"/>
    </row>
    <row r="671" customFormat="false" ht="15" hidden="false" customHeight="false" outlineLevel="0" collapsed="false">
      <c r="A671" s="27"/>
      <c r="B671" s="24"/>
      <c r="C671" s="24"/>
      <c r="D671" s="24"/>
      <c r="E671" s="24"/>
      <c r="F671" s="24"/>
    </row>
    <row r="672" customFormat="false" ht="15" hidden="false" customHeight="false" outlineLevel="0" collapsed="false">
      <c r="A672" s="27"/>
      <c r="B672" s="24"/>
      <c r="C672" s="24"/>
      <c r="D672" s="24"/>
      <c r="E672" s="24"/>
      <c r="F672" s="24"/>
    </row>
    <row r="673" customFormat="false" ht="15" hidden="false" customHeight="false" outlineLevel="0" collapsed="false">
      <c r="A673" s="27"/>
      <c r="B673" s="24"/>
      <c r="C673" s="24"/>
      <c r="D673" s="24"/>
      <c r="E673" s="24"/>
      <c r="F673" s="24"/>
    </row>
    <row r="674" customFormat="false" ht="15" hidden="false" customHeight="false" outlineLevel="0" collapsed="false">
      <c r="A674" s="27"/>
      <c r="B674" s="24"/>
      <c r="C674" s="24"/>
      <c r="D674" s="24"/>
      <c r="E674" s="24"/>
      <c r="F674" s="24"/>
    </row>
    <row r="675" customFormat="false" ht="15" hidden="false" customHeight="false" outlineLevel="0" collapsed="false">
      <c r="A675" s="27"/>
      <c r="B675" s="24"/>
      <c r="C675" s="24"/>
      <c r="D675" s="24"/>
      <c r="E675" s="24"/>
      <c r="F675" s="24"/>
    </row>
    <row r="676" customFormat="false" ht="15" hidden="false" customHeight="false" outlineLevel="0" collapsed="false">
      <c r="A676" s="27"/>
      <c r="B676" s="24"/>
      <c r="C676" s="24"/>
      <c r="D676" s="24"/>
      <c r="E676" s="24"/>
      <c r="F676" s="24"/>
    </row>
    <row r="677" customFormat="false" ht="15" hidden="false" customHeight="false" outlineLevel="0" collapsed="false">
      <c r="A677" s="27"/>
      <c r="B677" s="24"/>
      <c r="C677" s="24"/>
      <c r="D677" s="24"/>
      <c r="E677" s="24"/>
      <c r="F677" s="24"/>
    </row>
    <row r="678" customFormat="false" ht="15" hidden="false" customHeight="false" outlineLevel="0" collapsed="false">
      <c r="A678" s="27"/>
      <c r="B678" s="24"/>
      <c r="C678" s="24"/>
      <c r="D678" s="24"/>
      <c r="E678" s="24"/>
      <c r="F678" s="24"/>
    </row>
    <row r="679" customFormat="false" ht="15" hidden="false" customHeight="false" outlineLevel="0" collapsed="false">
      <c r="A679" s="27"/>
      <c r="B679" s="24"/>
      <c r="C679" s="24"/>
      <c r="D679" s="24"/>
      <c r="E679" s="24"/>
      <c r="F679" s="24"/>
    </row>
    <row r="680" customFormat="false" ht="15" hidden="false" customHeight="false" outlineLevel="0" collapsed="false">
      <c r="A680" s="27"/>
      <c r="B680" s="24"/>
      <c r="C680" s="24"/>
      <c r="D680" s="24"/>
      <c r="E680" s="24"/>
      <c r="F680" s="24"/>
    </row>
    <row r="681" customFormat="false" ht="15" hidden="false" customHeight="false" outlineLevel="0" collapsed="false">
      <c r="A681" s="27"/>
      <c r="B681" s="24"/>
      <c r="C681" s="24"/>
      <c r="D681" s="24"/>
      <c r="E681" s="24"/>
      <c r="F681" s="24"/>
    </row>
    <row r="682" customFormat="false" ht="15" hidden="false" customHeight="false" outlineLevel="0" collapsed="false">
      <c r="A682" s="27"/>
      <c r="B682" s="24"/>
      <c r="C682" s="24"/>
      <c r="D682" s="24"/>
      <c r="E682" s="24"/>
      <c r="F682" s="24"/>
    </row>
    <row r="683" customFormat="false" ht="15" hidden="false" customHeight="false" outlineLevel="0" collapsed="false">
      <c r="A683" s="27"/>
      <c r="B683" s="24"/>
      <c r="C683" s="24"/>
      <c r="D683" s="24"/>
      <c r="E683" s="24"/>
      <c r="F683" s="24"/>
    </row>
    <row r="684" customFormat="false" ht="15" hidden="false" customHeight="false" outlineLevel="0" collapsed="false">
      <c r="A684" s="27"/>
      <c r="B684" s="24"/>
      <c r="C684" s="24"/>
      <c r="D684" s="24"/>
      <c r="E684" s="24"/>
      <c r="F684" s="24"/>
    </row>
    <row r="685" customFormat="false" ht="15" hidden="false" customHeight="false" outlineLevel="0" collapsed="false">
      <c r="A685" s="27"/>
      <c r="B685" s="24"/>
      <c r="C685" s="24"/>
      <c r="D685" s="24"/>
      <c r="E685" s="24"/>
      <c r="F685" s="24"/>
    </row>
    <row r="686" customFormat="false" ht="15" hidden="false" customHeight="false" outlineLevel="0" collapsed="false">
      <c r="A686" s="27"/>
      <c r="B686" s="24"/>
      <c r="C686" s="24"/>
      <c r="D686" s="24"/>
      <c r="E686" s="24"/>
      <c r="F686" s="24"/>
    </row>
    <row r="687" customFormat="false" ht="15" hidden="false" customHeight="false" outlineLevel="0" collapsed="false">
      <c r="A687" s="27"/>
      <c r="B687" s="24"/>
      <c r="C687" s="24"/>
      <c r="D687" s="24"/>
      <c r="E687" s="24"/>
      <c r="F687" s="24"/>
    </row>
    <row r="688" customFormat="false" ht="15" hidden="false" customHeight="false" outlineLevel="0" collapsed="false">
      <c r="A688" s="27"/>
      <c r="B688" s="24"/>
      <c r="C688" s="24"/>
      <c r="D688" s="24"/>
      <c r="E688" s="24"/>
      <c r="F688" s="24"/>
    </row>
    <row r="689" customFormat="false" ht="15" hidden="false" customHeight="false" outlineLevel="0" collapsed="false">
      <c r="A689" s="27"/>
      <c r="B689" s="24"/>
      <c r="C689" s="24"/>
      <c r="D689" s="24"/>
      <c r="E689" s="24"/>
      <c r="F689" s="24"/>
    </row>
    <row r="690" customFormat="false" ht="15" hidden="false" customHeight="false" outlineLevel="0" collapsed="false">
      <c r="A690" s="27"/>
      <c r="B690" s="24"/>
      <c r="C690" s="24"/>
      <c r="D690" s="24"/>
      <c r="E690" s="24"/>
      <c r="F690" s="24"/>
    </row>
    <row r="691" customFormat="false" ht="15" hidden="false" customHeight="false" outlineLevel="0" collapsed="false">
      <c r="A691" s="27"/>
      <c r="B691" s="24"/>
      <c r="C691" s="24"/>
      <c r="D691" s="24"/>
      <c r="E691" s="24"/>
      <c r="F691" s="24"/>
    </row>
    <row r="692" customFormat="false" ht="15" hidden="false" customHeight="false" outlineLevel="0" collapsed="false">
      <c r="A692" s="27"/>
      <c r="B692" s="24"/>
      <c r="C692" s="24"/>
      <c r="D692" s="24"/>
      <c r="E692" s="24"/>
      <c r="F692" s="24"/>
    </row>
    <row r="693" customFormat="false" ht="15" hidden="false" customHeight="false" outlineLevel="0" collapsed="false">
      <c r="A693" s="27"/>
      <c r="B693" s="24"/>
      <c r="C693" s="24"/>
      <c r="D693" s="24"/>
      <c r="E693" s="24"/>
      <c r="F693" s="24"/>
    </row>
    <row r="694" customFormat="false" ht="15" hidden="false" customHeight="false" outlineLevel="0" collapsed="false">
      <c r="A694" s="27"/>
      <c r="B694" s="24"/>
      <c r="C694" s="24"/>
      <c r="D694" s="24"/>
      <c r="E694" s="24"/>
      <c r="F694" s="24"/>
    </row>
    <row r="695" customFormat="false" ht="15" hidden="false" customHeight="false" outlineLevel="0" collapsed="false">
      <c r="A695" s="27"/>
      <c r="B695" s="24"/>
      <c r="C695" s="24"/>
      <c r="D695" s="24"/>
      <c r="E695" s="24"/>
      <c r="F695" s="24"/>
    </row>
    <row r="696" customFormat="false" ht="15" hidden="false" customHeight="false" outlineLevel="0" collapsed="false">
      <c r="A696" s="27"/>
      <c r="B696" s="24"/>
      <c r="C696" s="24"/>
      <c r="D696" s="24"/>
      <c r="E696" s="24"/>
      <c r="F696" s="24"/>
    </row>
    <row r="697" customFormat="false" ht="15" hidden="false" customHeight="false" outlineLevel="0" collapsed="false">
      <c r="A697" s="27"/>
      <c r="B697" s="24"/>
      <c r="C697" s="24"/>
      <c r="D697" s="24"/>
      <c r="E697" s="24"/>
      <c r="F697" s="24"/>
    </row>
    <row r="698" customFormat="false" ht="15" hidden="false" customHeight="false" outlineLevel="0" collapsed="false">
      <c r="A698" s="27"/>
      <c r="B698" s="24"/>
      <c r="C698" s="24"/>
      <c r="D698" s="24"/>
      <c r="E698" s="24"/>
      <c r="F698" s="24"/>
    </row>
    <row r="699" customFormat="false" ht="15" hidden="false" customHeight="false" outlineLevel="0" collapsed="false">
      <c r="A699" s="27"/>
      <c r="B699" s="24"/>
      <c r="C699" s="24"/>
      <c r="D699" s="24"/>
      <c r="E699" s="24"/>
      <c r="F699" s="24"/>
    </row>
    <row r="700" customFormat="false" ht="15" hidden="false" customHeight="false" outlineLevel="0" collapsed="false">
      <c r="A700" s="27"/>
      <c r="B700" s="24"/>
      <c r="C700" s="24"/>
      <c r="D700" s="24"/>
      <c r="E700" s="24"/>
      <c r="F700" s="24"/>
    </row>
    <row r="701" customFormat="false" ht="15" hidden="false" customHeight="false" outlineLevel="0" collapsed="false">
      <c r="A701" s="27"/>
      <c r="B701" s="24"/>
      <c r="C701" s="24"/>
      <c r="D701" s="24"/>
      <c r="E701" s="24"/>
      <c r="F701" s="24"/>
    </row>
    <row r="702" customFormat="false" ht="15" hidden="false" customHeight="false" outlineLevel="0" collapsed="false">
      <c r="A702" s="27"/>
      <c r="B702" s="24"/>
      <c r="C702" s="24"/>
      <c r="D702" s="24"/>
      <c r="E702" s="24"/>
      <c r="F702" s="24"/>
    </row>
    <row r="703" customFormat="false" ht="15" hidden="false" customHeight="false" outlineLevel="0" collapsed="false">
      <c r="A703" s="27"/>
      <c r="B703" s="24"/>
      <c r="C703" s="24"/>
      <c r="D703" s="24"/>
      <c r="E703" s="24"/>
      <c r="F703" s="24"/>
    </row>
    <row r="704" customFormat="false" ht="15" hidden="false" customHeight="false" outlineLevel="0" collapsed="false">
      <c r="A704" s="27"/>
      <c r="B704" s="24"/>
      <c r="C704" s="24"/>
      <c r="D704" s="24"/>
      <c r="E704" s="24"/>
      <c r="F704" s="24"/>
    </row>
    <row r="705" customFormat="false" ht="15" hidden="false" customHeight="false" outlineLevel="0" collapsed="false">
      <c r="A705" s="27"/>
      <c r="B705" s="24"/>
      <c r="C705" s="24"/>
      <c r="D705" s="24"/>
      <c r="E705" s="24"/>
      <c r="F705" s="24"/>
    </row>
    <row r="706" customFormat="false" ht="15" hidden="false" customHeight="false" outlineLevel="0" collapsed="false">
      <c r="A706" s="27"/>
      <c r="B706" s="24"/>
      <c r="C706" s="24"/>
      <c r="D706" s="24"/>
      <c r="E706" s="24"/>
      <c r="F706" s="24"/>
    </row>
    <row r="707" customFormat="false" ht="15" hidden="false" customHeight="false" outlineLevel="0" collapsed="false">
      <c r="A707" s="27"/>
      <c r="B707" s="24"/>
      <c r="C707" s="24"/>
      <c r="D707" s="24"/>
      <c r="E707" s="24"/>
      <c r="F707" s="24"/>
    </row>
    <row r="708" customFormat="false" ht="15" hidden="false" customHeight="false" outlineLevel="0" collapsed="false">
      <c r="A708" s="27"/>
      <c r="B708" s="24"/>
      <c r="C708" s="24"/>
      <c r="D708" s="24"/>
      <c r="E708" s="24"/>
      <c r="F708" s="24"/>
    </row>
    <row r="709" customFormat="false" ht="15" hidden="false" customHeight="false" outlineLevel="0" collapsed="false">
      <c r="A709" s="27"/>
      <c r="B709" s="24"/>
      <c r="C709" s="24"/>
      <c r="D709" s="24"/>
      <c r="E709" s="24"/>
      <c r="F709" s="24"/>
    </row>
    <row r="710" customFormat="false" ht="15" hidden="false" customHeight="false" outlineLevel="0" collapsed="false">
      <c r="A710" s="27"/>
      <c r="B710" s="24"/>
      <c r="C710" s="24"/>
      <c r="D710" s="24"/>
      <c r="E710" s="24"/>
      <c r="F710" s="24"/>
    </row>
    <row r="711" customFormat="false" ht="15" hidden="false" customHeight="false" outlineLevel="0" collapsed="false">
      <c r="A711" s="27"/>
      <c r="B711" s="24"/>
      <c r="C711" s="24"/>
      <c r="D711" s="24"/>
      <c r="E711" s="24"/>
      <c r="F711" s="24"/>
    </row>
    <row r="712" customFormat="false" ht="15" hidden="false" customHeight="false" outlineLevel="0" collapsed="false">
      <c r="A712" s="27"/>
      <c r="B712" s="24"/>
      <c r="C712" s="24"/>
      <c r="D712" s="24"/>
      <c r="E712" s="24"/>
      <c r="F712" s="24"/>
    </row>
    <row r="713" customFormat="false" ht="15" hidden="false" customHeight="false" outlineLevel="0" collapsed="false">
      <c r="A713" s="27"/>
      <c r="B713" s="24"/>
      <c r="C713" s="24"/>
      <c r="D713" s="24"/>
      <c r="E713" s="24"/>
      <c r="F713" s="24"/>
    </row>
    <row r="714" customFormat="false" ht="15" hidden="false" customHeight="false" outlineLevel="0" collapsed="false">
      <c r="A714" s="27"/>
      <c r="B714" s="24"/>
      <c r="C714" s="24"/>
      <c r="D714" s="24"/>
      <c r="E714" s="24"/>
      <c r="F714" s="24"/>
    </row>
    <row r="715" customFormat="false" ht="15" hidden="false" customHeight="false" outlineLevel="0" collapsed="false">
      <c r="A715" s="27"/>
      <c r="B715" s="24"/>
      <c r="C715" s="24"/>
      <c r="D715" s="24"/>
      <c r="E715" s="24"/>
      <c r="F715" s="24"/>
    </row>
    <row r="716" customFormat="false" ht="15" hidden="false" customHeight="false" outlineLevel="0" collapsed="false">
      <c r="A716" s="27"/>
      <c r="B716" s="24"/>
      <c r="C716" s="24"/>
      <c r="D716" s="24"/>
      <c r="E716" s="24"/>
      <c r="F716" s="24"/>
    </row>
    <row r="717" customFormat="false" ht="15" hidden="false" customHeight="false" outlineLevel="0" collapsed="false">
      <c r="A717" s="27"/>
      <c r="B717" s="24"/>
      <c r="C717" s="24"/>
      <c r="D717" s="24"/>
      <c r="E717" s="24"/>
      <c r="F717" s="24"/>
    </row>
    <row r="718" customFormat="false" ht="15" hidden="false" customHeight="false" outlineLevel="0" collapsed="false">
      <c r="A718" s="27"/>
      <c r="B718" s="24"/>
      <c r="C718" s="24"/>
      <c r="D718" s="24"/>
      <c r="E718" s="24"/>
      <c r="F718" s="24"/>
    </row>
    <row r="719" customFormat="false" ht="15" hidden="false" customHeight="false" outlineLevel="0" collapsed="false">
      <c r="A719" s="27"/>
      <c r="B719" s="24"/>
      <c r="C719" s="24"/>
      <c r="D719" s="24"/>
      <c r="E719" s="24"/>
      <c r="F719" s="24"/>
    </row>
    <row r="720" customFormat="false" ht="15" hidden="false" customHeight="false" outlineLevel="0" collapsed="false">
      <c r="A720" s="27"/>
      <c r="B720" s="24"/>
      <c r="C720" s="24"/>
      <c r="D720" s="24"/>
      <c r="E720" s="24"/>
      <c r="F720" s="24"/>
    </row>
    <row r="721" customFormat="false" ht="15" hidden="false" customHeight="false" outlineLevel="0" collapsed="false">
      <c r="A721" s="27"/>
      <c r="B721" s="24"/>
      <c r="C721" s="24"/>
      <c r="D721" s="24"/>
      <c r="E721" s="24"/>
      <c r="F721" s="24"/>
    </row>
    <row r="722" customFormat="false" ht="15" hidden="false" customHeight="false" outlineLevel="0" collapsed="false">
      <c r="A722" s="27"/>
      <c r="B722" s="24"/>
      <c r="C722" s="24"/>
      <c r="D722" s="24"/>
      <c r="E722" s="24"/>
      <c r="F722" s="24"/>
    </row>
    <row r="723" customFormat="false" ht="15" hidden="false" customHeight="false" outlineLevel="0" collapsed="false">
      <c r="A723" s="27"/>
      <c r="B723" s="24"/>
      <c r="C723" s="24"/>
      <c r="D723" s="24"/>
      <c r="E723" s="24"/>
      <c r="F723" s="24"/>
    </row>
    <row r="724" customFormat="false" ht="15" hidden="false" customHeight="false" outlineLevel="0" collapsed="false">
      <c r="A724" s="27"/>
      <c r="B724" s="24"/>
      <c r="C724" s="24"/>
      <c r="D724" s="24"/>
      <c r="E724" s="24"/>
      <c r="F724" s="24"/>
    </row>
    <row r="725" customFormat="false" ht="15" hidden="false" customHeight="false" outlineLevel="0" collapsed="false">
      <c r="A725" s="27"/>
      <c r="B725" s="24"/>
      <c r="C725" s="24"/>
      <c r="D725" s="24"/>
      <c r="E725" s="24"/>
      <c r="F725" s="24"/>
    </row>
    <row r="726" customFormat="false" ht="15" hidden="false" customHeight="false" outlineLevel="0" collapsed="false">
      <c r="A726" s="27"/>
      <c r="B726" s="24"/>
      <c r="C726" s="24"/>
      <c r="D726" s="24"/>
      <c r="E726" s="24"/>
      <c r="F726" s="24"/>
    </row>
    <row r="727" customFormat="false" ht="15" hidden="false" customHeight="false" outlineLevel="0" collapsed="false">
      <c r="A727" s="27"/>
      <c r="B727" s="24"/>
      <c r="C727" s="24"/>
      <c r="D727" s="24"/>
      <c r="E727" s="24"/>
      <c r="F727" s="24"/>
    </row>
    <row r="728" customFormat="false" ht="15" hidden="false" customHeight="false" outlineLevel="0" collapsed="false">
      <c r="A728" s="27"/>
      <c r="B728" s="24"/>
      <c r="C728" s="24"/>
      <c r="D728" s="24"/>
      <c r="E728" s="24"/>
      <c r="F728" s="24"/>
    </row>
    <row r="729" customFormat="false" ht="15" hidden="false" customHeight="false" outlineLevel="0" collapsed="false">
      <c r="A729" s="27"/>
      <c r="B729" s="24"/>
      <c r="C729" s="24"/>
      <c r="D729" s="24"/>
      <c r="E729" s="24"/>
      <c r="F729" s="24"/>
    </row>
    <row r="730" customFormat="false" ht="15" hidden="false" customHeight="false" outlineLevel="0" collapsed="false">
      <c r="A730" s="27"/>
      <c r="B730" s="24"/>
      <c r="C730" s="24"/>
      <c r="D730" s="24"/>
      <c r="E730" s="24"/>
      <c r="F730" s="24"/>
    </row>
    <row r="731" customFormat="false" ht="15" hidden="false" customHeight="false" outlineLevel="0" collapsed="false">
      <c r="A731" s="27"/>
      <c r="B731" s="24"/>
      <c r="C731" s="24"/>
      <c r="D731" s="24"/>
      <c r="E731" s="24"/>
      <c r="F731" s="24"/>
    </row>
    <row r="732" customFormat="false" ht="15" hidden="false" customHeight="false" outlineLevel="0" collapsed="false">
      <c r="A732" s="27"/>
      <c r="B732" s="24"/>
      <c r="C732" s="24"/>
      <c r="D732" s="24"/>
      <c r="E732" s="24"/>
      <c r="F732" s="24"/>
    </row>
    <row r="733" customFormat="false" ht="15" hidden="false" customHeight="false" outlineLevel="0" collapsed="false">
      <c r="A733" s="27"/>
      <c r="B733" s="24"/>
      <c r="C733" s="24"/>
      <c r="D733" s="24"/>
      <c r="E733" s="24"/>
      <c r="F733" s="24"/>
    </row>
    <row r="734" customFormat="false" ht="15" hidden="false" customHeight="false" outlineLevel="0" collapsed="false">
      <c r="A734" s="27"/>
      <c r="B734" s="24"/>
      <c r="C734" s="24"/>
      <c r="D734" s="24"/>
      <c r="E734" s="24"/>
      <c r="F734" s="24"/>
    </row>
    <row r="735" customFormat="false" ht="15" hidden="false" customHeight="false" outlineLevel="0" collapsed="false">
      <c r="A735" s="27"/>
      <c r="B735" s="24"/>
      <c r="C735" s="24"/>
      <c r="D735" s="24"/>
      <c r="E735" s="24"/>
      <c r="F735" s="24"/>
    </row>
    <row r="736" customFormat="false" ht="15" hidden="false" customHeight="false" outlineLevel="0" collapsed="false">
      <c r="A736" s="27"/>
      <c r="B736" s="24"/>
      <c r="C736" s="24"/>
      <c r="D736" s="24"/>
      <c r="E736" s="24"/>
      <c r="F736" s="24"/>
    </row>
    <row r="737" customFormat="false" ht="15" hidden="false" customHeight="false" outlineLevel="0" collapsed="false">
      <c r="A737" s="27"/>
      <c r="B737" s="24"/>
      <c r="C737" s="24"/>
      <c r="D737" s="24"/>
      <c r="E737" s="24"/>
      <c r="F737" s="24"/>
    </row>
    <row r="738" customFormat="false" ht="15" hidden="false" customHeight="false" outlineLevel="0" collapsed="false">
      <c r="A738" s="27"/>
      <c r="B738" s="24"/>
      <c r="C738" s="24"/>
      <c r="D738" s="24"/>
      <c r="E738" s="24"/>
      <c r="F738" s="24"/>
    </row>
    <row r="739" customFormat="false" ht="15" hidden="false" customHeight="false" outlineLevel="0" collapsed="false">
      <c r="A739" s="27"/>
      <c r="B739" s="24"/>
      <c r="C739" s="24"/>
      <c r="D739" s="24"/>
      <c r="E739" s="24"/>
      <c r="F739" s="24"/>
    </row>
    <row r="740" customFormat="false" ht="15" hidden="false" customHeight="false" outlineLevel="0" collapsed="false">
      <c r="A740" s="27"/>
      <c r="B740" s="24"/>
      <c r="C740" s="24"/>
      <c r="D740" s="24"/>
      <c r="E740" s="24"/>
      <c r="F740" s="24"/>
    </row>
    <row r="741" customFormat="false" ht="15" hidden="false" customHeight="false" outlineLevel="0" collapsed="false">
      <c r="A741" s="27"/>
      <c r="B741" s="24"/>
      <c r="C741" s="24"/>
      <c r="D741" s="24"/>
      <c r="E741" s="24"/>
      <c r="F741" s="24"/>
    </row>
    <row r="742" customFormat="false" ht="15" hidden="false" customHeight="false" outlineLevel="0" collapsed="false">
      <c r="A742" s="27"/>
      <c r="B742" s="24"/>
      <c r="C742" s="24"/>
      <c r="D742" s="24"/>
      <c r="E742" s="24"/>
      <c r="F742" s="24"/>
    </row>
    <row r="743" customFormat="false" ht="15" hidden="false" customHeight="false" outlineLevel="0" collapsed="false">
      <c r="A743" s="27"/>
      <c r="B743" s="24"/>
      <c r="C743" s="24"/>
      <c r="D743" s="24"/>
      <c r="E743" s="24"/>
      <c r="F743" s="24"/>
    </row>
    <row r="744" customFormat="false" ht="15" hidden="false" customHeight="false" outlineLevel="0" collapsed="false">
      <c r="A744" s="27"/>
      <c r="B744" s="24"/>
      <c r="C744" s="24"/>
      <c r="D744" s="24"/>
      <c r="E744" s="24"/>
      <c r="F744" s="24"/>
    </row>
    <row r="745" customFormat="false" ht="15" hidden="false" customHeight="false" outlineLevel="0" collapsed="false">
      <c r="A745" s="27"/>
      <c r="B745" s="24"/>
      <c r="C745" s="24"/>
      <c r="D745" s="24"/>
      <c r="E745" s="24"/>
      <c r="F745" s="24"/>
    </row>
    <row r="746" customFormat="false" ht="15" hidden="false" customHeight="false" outlineLevel="0" collapsed="false">
      <c r="A746" s="27"/>
      <c r="B746" s="24"/>
      <c r="C746" s="24"/>
      <c r="D746" s="24"/>
      <c r="E746" s="24"/>
      <c r="F746" s="24"/>
    </row>
    <row r="747" customFormat="false" ht="15" hidden="false" customHeight="false" outlineLevel="0" collapsed="false">
      <c r="A747" s="27"/>
      <c r="B747" s="24"/>
      <c r="C747" s="24"/>
      <c r="D747" s="24"/>
      <c r="E747" s="24"/>
      <c r="F747" s="24"/>
    </row>
    <row r="748" customFormat="false" ht="15" hidden="false" customHeight="false" outlineLevel="0" collapsed="false">
      <c r="A748" s="27"/>
      <c r="B748" s="24"/>
      <c r="C748" s="24"/>
      <c r="D748" s="24"/>
      <c r="E748" s="24"/>
      <c r="F748" s="24"/>
    </row>
    <row r="749" customFormat="false" ht="15" hidden="false" customHeight="false" outlineLevel="0" collapsed="false">
      <c r="A749" s="27"/>
      <c r="B749" s="24"/>
      <c r="C749" s="24"/>
      <c r="D749" s="24"/>
      <c r="E749" s="24"/>
      <c r="F749" s="24"/>
    </row>
    <row r="750" customFormat="false" ht="15" hidden="false" customHeight="false" outlineLevel="0" collapsed="false">
      <c r="A750" s="27"/>
      <c r="B750" s="24"/>
      <c r="C750" s="24"/>
      <c r="D750" s="24"/>
      <c r="E750" s="24"/>
      <c r="F750" s="24"/>
    </row>
    <row r="751" customFormat="false" ht="15" hidden="false" customHeight="false" outlineLevel="0" collapsed="false">
      <c r="A751" s="27"/>
      <c r="B751" s="24"/>
      <c r="C751" s="24"/>
      <c r="D751" s="24"/>
      <c r="E751" s="24"/>
      <c r="F751" s="24"/>
    </row>
    <row r="752" customFormat="false" ht="15" hidden="false" customHeight="false" outlineLevel="0" collapsed="false">
      <c r="A752" s="27"/>
      <c r="B752" s="24"/>
      <c r="C752" s="24"/>
      <c r="D752" s="24"/>
      <c r="E752" s="24"/>
      <c r="F752" s="24"/>
    </row>
    <row r="753" customFormat="false" ht="15" hidden="false" customHeight="false" outlineLevel="0" collapsed="false">
      <c r="A753" s="27"/>
      <c r="B753" s="24"/>
      <c r="C753" s="24"/>
      <c r="D753" s="24"/>
      <c r="E753" s="24"/>
      <c r="F753" s="24"/>
    </row>
    <row r="754" customFormat="false" ht="15" hidden="false" customHeight="false" outlineLevel="0" collapsed="false">
      <c r="A754" s="27"/>
      <c r="B754" s="24"/>
      <c r="C754" s="24"/>
      <c r="D754" s="24"/>
      <c r="E754" s="24"/>
      <c r="F754" s="24"/>
    </row>
    <row r="755" customFormat="false" ht="15" hidden="false" customHeight="false" outlineLevel="0" collapsed="false">
      <c r="A755" s="27"/>
      <c r="B755" s="24"/>
      <c r="C755" s="24"/>
      <c r="D755" s="24"/>
      <c r="E755" s="24"/>
      <c r="F755" s="24"/>
    </row>
    <row r="756" customFormat="false" ht="15" hidden="false" customHeight="false" outlineLevel="0" collapsed="false">
      <c r="A756" s="27"/>
      <c r="B756" s="24"/>
      <c r="C756" s="24"/>
      <c r="D756" s="24"/>
      <c r="E756" s="24"/>
      <c r="F756" s="24"/>
    </row>
    <row r="757" customFormat="false" ht="15" hidden="false" customHeight="false" outlineLevel="0" collapsed="false">
      <c r="A757" s="27"/>
      <c r="B757" s="24"/>
      <c r="C757" s="24"/>
      <c r="D757" s="24"/>
      <c r="E757" s="24"/>
      <c r="F757" s="24"/>
    </row>
    <row r="758" customFormat="false" ht="15" hidden="false" customHeight="false" outlineLevel="0" collapsed="false">
      <c r="A758" s="27"/>
      <c r="B758" s="24"/>
      <c r="C758" s="24"/>
      <c r="D758" s="24"/>
      <c r="E758" s="24"/>
      <c r="F758" s="24"/>
    </row>
    <row r="759" customFormat="false" ht="15" hidden="false" customHeight="false" outlineLevel="0" collapsed="false">
      <c r="A759" s="27"/>
      <c r="B759" s="24"/>
      <c r="C759" s="24"/>
      <c r="D759" s="24"/>
      <c r="E759" s="24"/>
      <c r="F759" s="24"/>
    </row>
    <row r="760" customFormat="false" ht="15" hidden="false" customHeight="false" outlineLevel="0" collapsed="false">
      <c r="A760" s="27"/>
      <c r="B760" s="24"/>
      <c r="C760" s="24"/>
      <c r="D760" s="24"/>
      <c r="E760" s="24"/>
      <c r="F760" s="24"/>
    </row>
    <row r="761" customFormat="false" ht="15" hidden="false" customHeight="false" outlineLevel="0" collapsed="false">
      <c r="A761" s="27"/>
      <c r="B761" s="24"/>
      <c r="C761" s="24"/>
      <c r="D761" s="24"/>
      <c r="E761" s="24"/>
      <c r="F761" s="24"/>
    </row>
    <row r="762" customFormat="false" ht="15" hidden="false" customHeight="false" outlineLevel="0" collapsed="false">
      <c r="A762" s="27"/>
      <c r="B762" s="24"/>
      <c r="C762" s="24"/>
      <c r="D762" s="24"/>
      <c r="E762" s="24"/>
      <c r="F762" s="24"/>
    </row>
    <row r="763" customFormat="false" ht="15" hidden="false" customHeight="false" outlineLevel="0" collapsed="false">
      <c r="A763" s="27"/>
      <c r="B763" s="24"/>
      <c r="C763" s="24"/>
      <c r="D763" s="24"/>
      <c r="E763" s="24"/>
      <c r="F763" s="24"/>
    </row>
    <row r="764" customFormat="false" ht="15" hidden="false" customHeight="false" outlineLevel="0" collapsed="false">
      <c r="A764" s="27"/>
      <c r="B764" s="24"/>
      <c r="C764" s="24"/>
      <c r="D764" s="24"/>
      <c r="E764" s="24"/>
      <c r="F764" s="24"/>
    </row>
    <row r="765" customFormat="false" ht="15" hidden="false" customHeight="false" outlineLevel="0" collapsed="false">
      <c r="A765" s="27"/>
      <c r="B765" s="24"/>
      <c r="C765" s="24"/>
      <c r="D765" s="24"/>
      <c r="E765" s="24"/>
      <c r="F765" s="24"/>
    </row>
    <row r="766" customFormat="false" ht="15" hidden="false" customHeight="false" outlineLevel="0" collapsed="false">
      <c r="A766" s="27"/>
      <c r="B766" s="24"/>
      <c r="C766" s="24"/>
      <c r="D766" s="24"/>
      <c r="E766" s="24"/>
      <c r="F766" s="24"/>
    </row>
    <row r="767" customFormat="false" ht="15" hidden="false" customHeight="false" outlineLevel="0" collapsed="false">
      <c r="A767" s="27"/>
      <c r="B767" s="24"/>
      <c r="C767" s="24"/>
      <c r="D767" s="24"/>
      <c r="E767" s="24"/>
      <c r="F767" s="24"/>
    </row>
    <row r="768" customFormat="false" ht="15" hidden="false" customHeight="false" outlineLevel="0" collapsed="false">
      <c r="A768" s="27"/>
      <c r="B768" s="24"/>
      <c r="C768" s="24"/>
      <c r="D768" s="24"/>
      <c r="E768" s="24"/>
      <c r="F768" s="24"/>
    </row>
    <row r="769" customFormat="false" ht="15" hidden="false" customHeight="false" outlineLevel="0" collapsed="false">
      <c r="A769" s="27"/>
      <c r="B769" s="24"/>
      <c r="C769" s="24"/>
      <c r="D769" s="24"/>
      <c r="E769" s="24"/>
      <c r="F769" s="24"/>
    </row>
    <row r="770" customFormat="false" ht="15" hidden="false" customHeight="false" outlineLevel="0" collapsed="false">
      <c r="A770" s="27"/>
      <c r="B770" s="24"/>
      <c r="C770" s="24"/>
      <c r="D770" s="24"/>
      <c r="E770" s="24"/>
      <c r="F770" s="24"/>
    </row>
    <row r="771" customFormat="false" ht="15" hidden="false" customHeight="false" outlineLevel="0" collapsed="false">
      <c r="A771" s="27"/>
      <c r="B771" s="24"/>
      <c r="C771" s="24"/>
      <c r="D771" s="24"/>
      <c r="E771" s="24"/>
      <c r="F771" s="24"/>
    </row>
    <row r="772" customFormat="false" ht="15" hidden="false" customHeight="false" outlineLevel="0" collapsed="false">
      <c r="A772" s="27"/>
      <c r="B772" s="24"/>
      <c r="C772" s="24"/>
      <c r="D772" s="24"/>
      <c r="E772" s="24"/>
      <c r="F772" s="24"/>
    </row>
    <row r="773" customFormat="false" ht="15" hidden="false" customHeight="false" outlineLevel="0" collapsed="false">
      <c r="A773" s="27"/>
      <c r="B773" s="24"/>
      <c r="C773" s="24"/>
      <c r="D773" s="24"/>
      <c r="E773" s="24"/>
      <c r="F773" s="24"/>
    </row>
    <row r="774" customFormat="false" ht="15" hidden="false" customHeight="false" outlineLevel="0" collapsed="false">
      <c r="A774" s="27"/>
      <c r="B774" s="24"/>
      <c r="C774" s="24"/>
      <c r="D774" s="24"/>
      <c r="E774" s="24"/>
      <c r="F774" s="24"/>
    </row>
    <row r="775" customFormat="false" ht="15" hidden="false" customHeight="false" outlineLevel="0" collapsed="false">
      <c r="A775" s="27"/>
      <c r="B775" s="24"/>
      <c r="C775" s="24"/>
      <c r="D775" s="24"/>
      <c r="E775" s="24"/>
      <c r="F775" s="24"/>
    </row>
    <row r="776" customFormat="false" ht="15" hidden="false" customHeight="false" outlineLevel="0" collapsed="false">
      <c r="A776" s="27"/>
      <c r="B776" s="24"/>
      <c r="C776" s="24"/>
      <c r="D776" s="24"/>
      <c r="E776" s="24"/>
      <c r="F776" s="24"/>
    </row>
    <row r="777" customFormat="false" ht="15" hidden="false" customHeight="false" outlineLevel="0" collapsed="false">
      <c r="A777" s="27"/>
      <c r="B777" s="24"/>
      <c r="C777" s="24"/>
      <c r="D777" s="24"/>
      <c r="E777" s="24"/>
      <c r="F777" s="24"/>
    </row>
    <row r="778" customFormat="false" ht="15" hidden="false" customHeight="false" outlineLevel="0" collapsed="false">
      <c r="A778" s="27"/>
      <c r="B778" s="24"/>
      <c r="C778" s="24"/>
      <c r="D778" s="24"/>
      <c r="E778" s="24"/>
      <c r="F778" s="24"/>
    </row>
    <row r="779" customFormat="false" ht="15" hidden="false" customHeight="false" outlineLevel="0" collapsed="false">
      <c r="A779" s="27"/>
      <c r="B779" s="24"/>
      <c r="C779" s="24"/>
      <c r="D779" s="24"/>
      <c r="E779" s="24"/>
      <c r="F779" s="24"/>
    </row>
    <row r="780" customFormat="false" ht="15" hidden="false" customHeight="false" outlineLevel="0" collapsed="false">
      <c r="A780" s="27"/>
      <c r="B780" s="24"/>
      <c r="C780" s="24"/>
      <c r="D780" s="24"/>
      <c r="E780" s="24"/>
      <c r="F780" s="24"/>
    </row>
    <row r="781" customFormat="false" ht="15" hidden="false" customHeight="false" outlineLevel="0" collapsed="false">
      <c r="A781" s="27"/>
      <c r="B781" s="24"/>
      <c r="C781" s="24"/>
      <c r="D781" s="24"/>
      <c r="E781" s="24"/>
      <c r="F781" s="24"/>
    </row>
    <row r="782" customFormat="false" ht="15" hidden="false" customHeight="false" outlineLevel="0" collapsed="false">
      <c r="A782" s="27"/>
      <c r="B782" s="24"/>
      <c r="C782" s="24"/>
      <c r="D782" s="24"/>
      <c r="E782" s="24"/>
      <c r="F782" s="24"/>
    </row>
    <row r="783" customFormat="false" ht="15" hidden="false" customHeight="false" outlineLevel="0" collapsed="false">
      <c r="A783" s="27"/>
      <c r="B783" s="24"/>
      <c r="C783" s="24"/>
      <c r="D783" s="24"/>
      <c r="E783" s="24"/>
      <c r="F783" s="24"/>
    </row>
    <row r="784" customFormat="false" ht="15" hidden="false" customHeight="false" outlineLevel="0" collapsed="false">
      <c r="A784" s="27"/>
      <c r="B784" s="24"/>
      <c r="C784" s="24"/>
      <c r="D784" s="24"/>
      <c r="E784" s="24"/>
      <c r="F784" s="24"/>
    </row>
    <row r="785" customFormat="false" ht="15" hidden="false" customHeight="false" outlineLevel="0" collapsed="false">
      <c r="A785" s="27"/>
      <c r="B785" s="24"/>
      <c r="C785" s="24"/>
      <c r="D785" s="24"/>
      <c r="E785" s="24"/>
      <c r="F785" s="24"/>
    </row>
    <row r="786" customFormat="false" ht="15" hidden="false" customHeight="false" outlineLevel="0" collapsed="false">
      <c r="A786" s="27"/>
      <c r="B786" s="24"/>
      <c r="C786" s="24"/>
      <c r="D786" s="24"/>
      <c r="E786" s="24"/>
      <c r="F786" s="24"/>
    </row>
    <row r="787" customFormat="false" ht="15" hidden="false" customHeight="false" outlineLevel="0" collapsed="false">
      <c r="A787" s="27"/>
      <c r="B787" s="24"/>
      <c r="C787" s="24"/>
      <c r="D787" s="24"/>
      <c r="E787" s="24"/>
      <c r="F787" s="24"/>
    </row>
    <row r="788" customFormat="false" ht="15" hidden="false" customHeight="false" outlineLevel="0" collapsed="false">
      <c r="A788" s="27"/>
      <c r="B788" s="24"/>
      <c r="C788" s="24"/>
      <c r="D788" s="24"/>
      <c r="E788" s="24"/>
      <c r="F788" s="24"/>
    </row>
    <row r="789" customFormat="false" ht="15" hidden="false" customHeight="false" outlineLevel="0" collapsed="false">
      <c r="A789" s="27"/>
      <c r="B789" s="24"/>
      <c r="C789" s="24"/>
      <c r="D789" s="24"/>
      <c r="E789" s="24"/>
      <c r="F789" s="24"/>
    </row>
    <row r="790" customFormat="false" ht="15" hidden="false" customHeight="false" outlineLevel="0" collapsed="false">
      <c r="A790" s="27"/>
      <c r="B790" s="24"/>
      <c r="C790" s="24"/>
      <c r="D790" s="24"/>
      <c r="E790" s="24"/>
      <c r="F790" s="24"/>
    </row>
    <row r="791" customFormat="false" ht="15" hidden="false" customHeight="false" outlineLevel="0" collapsed="false">
      <c r="A791" s="27"/>
      <c r="B791" s="24"/>
      <c r="C791" s="24"/>
      <c r="D791" s="24"/>
      <c r="E791" s="24"/>
      <c r="F791" s="24"/>
    </row>
    <row r="792" customFormat="false" ht="15" hidden="false" customHeight="false" outlineLevel="0" collapsed="false">
      <c r="A792" s="27"/>
      <c r="B792" s="24"/>
      <c r="C792" s="24"/>
      <c r="D792" s="24"/>
      <c r="E792" s="24"/>
      <c r="F792" s="24"/>
    </row>
    <row r="793" customFormat="false" ht="15" hidden="false" customHeight="false" outlineLevel="0" collapsed="false">
      <c r="A793" s="27"/>
      <c r="B793" s="24"/>
      <c r="C793" s="24"/>
      <c r="D793" s="24"/>
      <c r="E793" s="24"/>
      <c r="F793" s="24"/>
    </row>
    <row r="794" customFormat="false" ht="15" hidden="false" customHeight="false" outlineLevel="0" collapsed="false">
      <c r="A794" s="27"/>
      <c r="B794" s="24"/>
      <c r="C794" s="24"/>
      <c r="D794" s="24"/>
      <c r="E794" s="24"/>
      <c r="F794" s="24"/>
    </row>
    <row r="795" customFormat="false" ht="15" hidden="false" customHeight="false" outlineLevel="0" collapsed="false">
      <c r="A795" s="27"/>
      <c r="B795" s="24"/>
      <c r="C795" s="24"/>
      <c r="D795" s="24"/>
      <c r="E795" s="24"/>
      <c r="F795" s="24"/>
    </row>
    <row r="796" customFormat="false" ht="15" hidden="false" customHeight="false" outlineLevel="0" collapsed="false">
      <c r="A796" s="27"/>
      <c r="B796" s="24"/>
      <c r="C796" s="24"/>
      <c r="D796" s="24"/>
      <c r="E796" s="24"/>
      <c r="F796" s="24"/>
    </row>
    <row r="797" customFormat="false" ht="15" hidden="false" customHeight="false" outlineLevel="0" collapsed="false">
      <c r="A797" s="27"/>
      <c r="B797" s="24"/>
      <c r="C797" s="24"/>
      <c r="D797" s="24"/>
      <c r="E797" s="24"/>
      <c r="F797" s="24"/>
    </row>
    <row r="798" customFormat="false" ht="15" hidden="false" customHeight="false" outlineLevel="0" collapsed="false">
      <c r="A798" s="27"/>
      <c r="B798" s="24"/>
      <c r="C798" s="24"/>
      <c r="D798" s="24"/>
      <c r="E798" s="24"/>
      <c r="F798" s="24"/>
    </row>
    <row r="799" customFormat="false" ht="15" hidden="false" customHeight="false" outlineLevel="0" collapsed="false">
      <c r="A799" s="27"/>
      <c r="B799" s="24"/>
      <c r="C799" s="24"/>
      <c r="D799" s="24"/>
      <c r="E799" s="24"/>
      <c r="F799" s="24"/>
    </row>
    <row r="800" customFormat="false" ht="15" hidden="false" customHeight="false" outlineLevel="0" collapsed="false">
      <c r="A800" s="27"/>
      <c r="B800" s="24"/>
      <c r="C800" s="24"/>
      <c r="D800" s="24"/>
      <c r="E800" s="24"/>
      <c r="F800" s="24"/>
    </row>
    <row r="801" customFormat="false" ht="15" hidden="false" customHeight="false" outlineLevel="0" collapsed="false">
      <c r="A801" s="27"/>
      <c r="B801" s="24"/>
      <c r="C801" s="24"/>
      <c r="D801" s="24"/>
      <c r="E801" s="24"/>
      <c r="F801" s="24"/>
    </row>
    <row r="802" customFormat="false" ht="15" hidden="false" customHeight="false" outlineLevel="0" collapsed="false">
      <c r="A802" s="27"/>
      <c r="B802" s="24"/>
      <c r="C802" s="24"/>
      <c r="D802" s="24"/>
      <c r="E802" s="24"/>
      <c r="F802" s="24"/>
    </row>
    <row r="803" customFormat="false" ht="15" hidden="false" customHeight="false" outlineLevel="0" collapsed="false">
      <c r="A803" s="27"/>
      <c r="B803" s="24"/>
      <c r="C803" s="24"/>
      <c r="D803" s="24"/>
      <c r="E803" s="24"/>
      <c r="F803" s="24"/>
    </row>
    <row r="804" customFormat="false" ht="15" hidden="false" customHeight="false" outlineLevel="0" collapsed="false">
      <c r="A804" s="27"/>
      <c r="B804" s="24"/>
      <c r="C804" s="24"/>
      <c r="D804" s="24"/>
      <c r="E804" s="24"/>
      <c r="F804" s="24"/>
    </row>
    <row r="805" customFormat="false" ht="15" hidden="false" customHeight="false" outlineLevel="0" collapsed="false">
      <c r="A805" s="27"/>
      <c r="B805" s="24"/>
      <c r="C805" s="24"/>
      <c r="D805" s="24"/>
      <c r="E805" s="24"/>
      <c r="F805" s="24"/>
    </row>
    <row r="806" customFormat="false" ht="15" hidden="false" customHeight="false" outlineLevel="0" collapsed="false">
      <c r="A806" s="27"/>
      <c r="B806" s="24"/>
      <c r="C806" s="24"/>
      <c r="D806" s="24"/>
      <c r="E806" s="24"/>
      <c r="F806" s="24"/>
    </row>
    <row r="807" customFormat="false" ht="15" hidden="false" customHeight="false" outlineLevel="0" collapsed="false">
      <c r="A807" s="27"/>
      <c r="B807" s="24"/>
      <c r="C807" s="24"/>
      <c r="D807" s="24"/>
      <c r="E807" s="24"/>
      <c r="F807" s="24"/>
    </row>
    <row r="808" customFormat="false" ht="15" hidden="false" customHeight="false" outlineLevel="0" collapsed="false">
      <c r="A808" s="27"/>
      <c r="B808" s="24"/>
      <c r="C808" s="24"/>
      <c r="D808" s="24"/>
      <c r="E808" s="24"/>
      <c r="F808" s="24"/>
    </row>
    <row r="809" customFormat="false" ht="15" hidden="false" customHeight="false" outlineLevel="0" collapsed="false">
      <c r="A809" s="27"/>
      <c r="B809" s="24"/>
      <c r="C809" s="24"/>
      <c r="D809" s="24"/>
      <c r="E809" s="24"/>
      <c r="F809" s="24"/>
    </row>
    <row r="810" customFormat="false" ht="15" hidden="false" customHeight="false" outlineLevel="0" collapsed="false">
      <c r="A810" s="27"/>
      <c r="B810" s="24"/>
      <c r="C810" s="24"/>
      <c r="D810" s="24"/>
      <c r="E810" s="24"/>
      <c r="F810" s="24"/>
    </row>
    <row r="811" customFormat="false" ht="15" hidden="false" customHeight="false" outlineLevel="0" collapsed="false">
      <c r="A811" s="27"/>
      <c r="B811" s="24"/>
      <c r="C811" s="24"/>
      <c r="D811" s="24"/>
      <c r="E811" s="24"/>
      <c r="F811" s="24"/>
    </row>
    <row r="812" customFormat="false" ht="15" hidden="false" customHeight="false" outlineLevel="0" collapsed="false">
      <c r="A812" s="27"/>
      <c r="B812" s="24"/>
      <c r="C812" s="24"/>
      <c r="D812" s="24"/>
      <c r="E812" s="24"/>
      <c r="F812" s="24"/>
    </row>
    <row r="813" customFormat="false" ht="15" hidden="false" customHeight="false" outlineLevel="0" collapsed="false">
      <c r="A813" s="27"/>
      <c r="B813" s="24"/>
      <c r="C813" s="24"/>
      <c r="D813" s="24"/>
      <c r="E813" s="24"/>
      <c r="F813" s="24"/>
    </row>
    <row r="814" customFormat="false" ht="15" hidden="false" customHeight="false" outlineLevel="0" collapsed="false">
      <c r="A814" s="27"/>
      <c r="B814" s="24"/>
      <c r="C814" s="24"/>
      <c r="D814" s="24"/>
      <c r="E814" s="24"/>
      <c r="F814" s="24"/>
    </row>
    <row r="815" customFormat="false" ht="15" hidden="false" customHeight="false" outlineLevel="0" collapsed="false">
      <c r="A815" s="27"/>
      <c r="B815" s="24"/>
      <c r="C815" s="24"/>
      <c r="D815" s="24"/>
      <c r="E815" s="24"/>
      <c r="F815" s="24"/>
    </row>
    <row r="816" customFormat="false" ht="15" hidden="false" customHeight="false" outlineLevel="0" collapsed="false">
      <c r="A816" s="27"/>
      <c r="B816" s="24"/>
      <c r="C816" s="24"/>
      <c r="D816" s="24"/>
      <c r="E816" s="24"/>
      <c r="F816" s="24"/>
    </row>
    <row r="817" customFormat="false" ht="15" hidden="false" customHeight="false" outlineLevel="0" collapsed="false">
      <c r="A817" s="27"/>
      <c r="B817" s="24"/>
      <c r="C817" s="24"/>
      <c r="D817" s="24"/>
      <c r="E817" s="24"/>
      <c r="F817" s="24"/>
    </row>
    <row r="818" customFormat="false" ht="15" hidden="false" customHeight="false" outlineLevel="0" collapsed="false">
      <c r="A818" s="27"/>
      <c r="B818" s="24"/>
      <c r="C818" s="24"/>
      <c r="D818" s="24"/>
      <c r="E818" s="24"/>
      <c r="F818" s="24"/>
    </row>
    <row r="819" customFormat="false" ht="15" hidden="false" customHeight="false" outlineLevel="0" collapsed="false">
      <c r="A819" s="27"/>
      <c r="B819" s="24"/>
      <c r="C819" s="24"/>
      <c r="D819" s="24"/>
      <c r="E819" s="24"/>
      <c r="F819" s="24"/>
    </row>
    <row r="820" customFormat="false" ht="15" hidden="false" customHeight="false" outlineLevel="0" collapsed="false">
      <c r="A820" s="27"/>
      <c r="B820" s="24"/>
      <c r="C820" s="24"/>
      <c r="D820" s="24"/>
      <c r="E820" s="24"/>
      <c r="F820" s="24"/>
    </row>
    <row r="821" customFormat="false" ht="15" hidden="false" customHeight="false" outlineLevel="0" collapsed="false">
      <c r="A821" s="27"/>
      <c r="B821" s="24"/>
      <c r="C821" s="24"/>
      <c r="D821" s="24"/>
      <c r="E821" s="24"/>
      <c r="F821" s="24"/>
    </row>
    <row r="822" customFormat="false" ht="15" hidden="false" customHeight="false" outlineLevel="0" collapsed="false">
      <c r="A822" s="27"/>
      <c r="B822" s="24"/>
      <c r="C822" s="24"/>
      <c r="D822" s="24"/>
      <c r="E822" s="24"/>
      <c r="F822" s="24"/>
    </row>
    <row r="823" customFormat="false" ht="15" hidden="false" customHeight="false" outlineLevel="0" collapsed="false">
      <c r="A823" s="27"/>
      <c r="B823" s="24"/>
      <c r="C823" s="24"/>
      <c r="D823" s="24"/>
      <c r="E823" s="24"/>
      <c r="F823" s="24"/>
    </row>
    <row r="824" customFormat="false" ht="15" hidden="false" customHeight="false" outlineLevel="0" collapsed="false">
      <c r="A824" s="27"/>
      <c r="B824" s="24"/>
      <c r="C824" s="24"/>
      <c r="D824" s="24"/>
      <c r="E824" s="24"/>
      <c r="F824" s="24"/>
    </row>
    <row r="825" customFormat="false" ht="15" hidden="false" customHeight="false" outlineLevel="0" collapsed="false">
      <c r="A825" s="27"/>
      <c r="B825" s="24"/>
      <c r="C825" s="24"/>
      <c r="D825" s="24"/>
      <c r="E825" s="24"/>
      <c r="F825" s="24"/>
    </row>
    <row r="826" customFormat="false" ht="15" hidden="false" customHeight="false" outlineLevel="0" collapsed="false">
      <c r="A826" s="27"/>
      <c r="B826" s="24"/>
      <c r="C826" s="24"/>
      <c r="D826" s="24"/>
      <c r="E826" s="24"/>
      <c r="F826" s="24"/>
    </row>
    <row r="827" customFormat="false" ht="15" hidden="false" customHeight="false" outlineLevel="0" collapsed="false">
      <c r="A827" s="27"/>
      <c r="B827" s="24"/>
      <c r="C827" s="24"/>
      <c r="D827" s="24"/>
      <c r="E827" s="24"/>
      <c r="F827" s="24"/>
    </row>
    <row r="828" customFormat="false" ht="15" hidden="false" customHeight="false" outlineLevel="0" collapsed="false">
      <c r="A828" s="27"/>
      <c r="B828" s="24"/>
      <c r="C828" s="24"/>
      <c r="D828" s="24"/>
      <c r="E828" s="24"/>
      <c r="F828" s="24"/>
    </row>
    <row r="829" customFormat="false" ht="15" hidden="false" customHeight="false" outlineLevel="0" collapsed="false">
      <c r="A829" s="27"/>
      <c r="B829" s="24"/>
      <c r="C829" s="24"/>
      <c r="D829" s="24"/>
      <c r="E829" s="24"/>
      <c r="F829" s="24"/>
    </row>
    <row r="830" customFormat="false" ht="15" hidden="false" customHeight="false" outlineLevel="0" collapsed="false">
      <c r="A830" s="27"/>
      <c r="B830" s="24"/>
      <c r="C830" s="24"/>
      <c r="D830" s="24"/>
      <c r="E830" s="24"/>
      <c r="F830" s="24"/>
    </row>
    <row r="831" customFormat="false" ht="15" hidden="false" customHeight="false" outlineLevel="0" collapsed="false">
      <c r="A831" s="27"/>
      <c r="B831" s="24"/>
      <c r="C831" s="24"/>
      <c r="D831" s="24"/>
      <c r="E831" s="24"/>
      <c r="F831" s="24"/>
    </row>
    <row r="832" customFormat="false" ht="15" hidden="false" customHeight="false" outlineLevel="0" collapsed="false">
      <c r="A832" s="27"/>
      <c r="B832" s="24"/>
      <c r="C832" s="24"/>
      <c r="D832" s="24"/>
      <c r="E832" s="24"/>
      <c r="F832" s="24"/>
    </row>
    <row r="833" customFormat="false" ht="15" hidden="false" customHeight="false" outlineLevel="0" collapsed="false">
      <c r="A833" s="27"/>
      <c r="B833" s="24"/>
      <c r="C833" s="24"/>
      <c r="D833" s="24"/>
      <c r="E833" s="24"/>
      <c r="F833" s="24"/>
    </row>
    <row r="834" customFormat="false" ht="15" hidden="false" customHeight="false" outlineLevel="0" collapsed="false">
      <c r="A834" s="27"/>
      <c r="B834" s="24"/>
      <c r="C834" s="24"/>
      <c r="D834" s="24"/>
      <c r="E834" s="24"/>
      <c r="F834" s="24"/>
    </row>
    <row r="835" customFormat="false" ht="15" hidden="false" customHeight="false" outlineLevel="0" collapsed="false">
      <c r="A835" s="27"/>
      <c r="B835" s="24"/>
      <c r="C835" s="24"/>
      <c r="D835" s="24"/>
      <c r="E835" s="24"/>
      <c r="F835" s="24"/>
    </row>
    <row r="836" customFormat="false" ht="15" hidden="false" customHeight="false" outlineLevel="0" collapsed="false">
      <c r="A836" s="27"/>
      <c r="B836" s="24"/>
      <c r="C836" s="24"/>
      <c r="D836" s="24"/>
      <c r="E836" s="24"/>
      <c r="F836" s="24"/>
    </row>
    <row r="837" customFormat="false" ht="15" hidden="false" customHeight="false" outlineLevel="0" collapsed="false">
      <c r="A837" s="27"/>
      <c r="B837" s="24"/>
      <c r="C837" s="24"/>
      <c r="D837" s="24"/>
      <c r="E837" s="24"/>
      <c r="F837" s="24"/>
    </row>
    <row r="838" customFormat="false" ht="15" hidden="false" customHeight="false" outlineLevel="0" collapsed="false">
      <c r="A838" s="27"/>
      <c r="B838" s="24"/>
      <c r="C838" s="24"/>
      <c r="D838" s="24"/>
      <c r="E838" s="24"/>
      <c r="F838" s="24"/>
    </row>
    <row r="839" customFormat="false" ht="15" hidden="false" customHeight="false" outlineLevel="0" collapsed="false">
      <c r="A839" s="27"/>
      <c r="B839" s="24"/>
      <c r="C839" s="24"/>
      <c r="D839" s="24"/>
      <c r="E839" s="24"/>
      <c r="F839" s="24"/>
    </row>
    <row r="840" customFormat="false" ht="15" hidden="false" customHeight="false" outlineLevel="0" collapsed="false">
      <c r="A840" s="27"/>
      <c r="B840" s="24"/>
      <c r="C840" s="24"/>
      <c r="D840" s="24"/>
      <c r="E840" s="24"/>
      <c r="F840" s="24"/>
    </row>
    <row r="841" customFormat="false" ht="15" hidden="false" customHeight="false" outlineLevel="0" collapsed="false">
      <c r="A841" s="27"/>
      <c r="B841" s="24"/>
      <c r="C841" s="24"/>
      <c r="D841" s="24"/>
      <c r="E841" s="24"/>
      <c r="F841" s="24"/>
    </row>
    <row r="842" customFormat="false" ht="15" hidden="false" customHeight="false" outlineLevel="0" collapsed="false">
      <c r="A842" s="27"/>
      <c r="B842" s="24"/>
      <c r="C842" s="24"/>
      <c r="D842" s="24"/>
      <c r="E842" s="24"/>
      <c r="F842" s="24"/>
    </row>
    <row r="843" customFormat="false" ht="15" hidden="false" customHeight="false" outlineLevel="0" collapsed="false">
      <c r="A843" s="27"/>
      <c r="B843" s="24"/>
      <c r="C843" s="24"/>
      <c r="D843" s="24"/>
      <c r="E843" s="24"/>
      <c r="F843" s="24"/>
    </row>
    <row r="844" customFormat="false" ht="15" hidden="false" customHeight="false" outlineLevel="0" collapsed="false">
      <c r="A844" s="27"/>
      <c r="B844" s="24"/>
      <c r="C844" s="24"/>
      <c r="D844" s="24"/>
      <c r="E844" s="24"/>
      <c r="F844" s="24"/>
    </row>
    <row r="845" customFormat="false" ht="15" hidden="false" customHeight="false" outlineLevel="0" collapsed="false">
      <c r="A845" s="27"/>
      <c r="B845" s="24"/>
      <c r="C845" s="24"/>
      <c r="D845" s="24"/>
      <c r="E845" s="24"/>
      <c r="F845" s="24"/>
    </row>
    <row r="846" customFormat="false" ht="15" hidden="false" customHeight="false" outlineLevel="0" collapsed="false">
      <c r="A846" s="27"/>
      <c r="B846" s="24"/>
      <c r="C846" s="24"/>
      <c r="D846" s="24"/>
      <c r="E846" s="24"/>
      <c r="F846" s="24"/>
    </row>
    <row r="847" customFormat="false" ht="15" hidden="false" customHeight="false" outlineLevel="0" collapsed="false">
      <c r="A847" s="27"/>
      <c r="B847" s="24"/>
      <c r="C847" s="24"/>
      <c r="D847" s="24"/>
      <c r="E847" s="24"/>
      <c r="F847" s="24"/>
    </row>
    <row r="848" customFormat="false" ht="15" hidden="false" customHeight="false" outlineLevel="0" collapsed="false">
      <c r="A848" s="27"/>
      <c r="B848" s="24"/>
      <c r="C848" s="24"/>
      <c r="D848" s="24"/>
      <c r="E848" s="24"/>
      <c r="F848" s="24"/>
    </row>
    <row r="849" customFormat="false" ht="15" hidden="false" customHeight="false" outlineLevel="0" collapsed="false">
      <c r="A849" s="27"/>
      <c r="B849" s="24"/>
      <c r="C849" s="24"/>
      <c r="D849" s="24"/>
      <c r="E849" s="24"/>
      <c r="F849" s="24"/>
    </row>
    <row r="850" customFormat="false" ht="15" hidden="false" customHeight="false" outlineLevel="0" collapsed="false">
      <c r="A850" s="27"/>
      <c r="B850" s="24"/>
      <c r="C850" s="24"/>
      <c r="D850" s="24"/>
      <c r="E850" s="24"/>
      <c r="F850" s="24"/>
    </row>
    <row r="851" customFormat="false" ht="15" hidden="false" customHeight="false" outlineLevel="0" collapsed="false">
      <c r="A851" s="27"/>
      <c r="B851" s="24"/>
      <c r="C851" s="24"/>
      <c r="D851" s="24"/>
      <c r="E851" s="24"/>
      <c r="F851" s="24"/>
    </row>
    <row r="852" customFormat="false" ht="15" hidden="false" customHeight="false" outlineLevel="0" collapsed="false">
      <c r="A852" s="27"/>
      <c r="B852" s="24"/>
      <c r="C852" s="24"/>
      <c r="D852" s="24"/>
      <c r="E852" s="24"/>
      <c r="F852" s="24"/>
    </row>
    <row r="853" customFormat="false" ht="15" hidden="false" customHeight="false" outlineLevel="0" collapsed="false">
      <c r="A853" s="27"/>
      <c r="B853" s="24"/>
      <c r="C853" s="24"/>
      <c r="D853" s="24"/>
      <c r="E853" s="24"/>
      <c r="F853" s="24"/>
    </row>
    <row r="854" customFormat="false" ht="15" hidden="false" customHeight="false" outlineLevel="0" collapsed="false">
      <c r="A854" s="27"/>
      <c r="B854" s="24"/>
      <c r="C854" s="24"/>
      <c r="D854" s="24"/>
      <c r="E854" s="24"/>
      <c r="F854" s="24"/>
    </row>
    <row r="855" customFormat="false" ht="15" hidden="false" customHeight="false" outlineLevel="0" collapsed="false">
      <c r="A855" s="27"/>
      <c r="B855" s="24"/>
      <c r="C855" s="24"/>
      <c r="D855" s="24"/>
      <c r="E855" s="24"/>
      <c r="F855" s="24"/>
    </row>
    <row r="856" customFormat="false" ht="15" hidden="false" customHeight="false" outlineLevel="0" collapsed="false">
      <c r="A856" s="27"/>
      <c r="B856" s="24"/>
      <c r="C856" s="24"/>
      <c r="D856" s="24"/>
      <c r="E856" s="24"/>
      <c r="F856" s="24"/>
    </row>
    <row r="857" customFormat="false" ht="15" hidden="false" customHeight="false" outlineLevel="0" collapsed="false">
      <c r="A857" s="27"/>
      <c r="B857" s="24"/>
      <c r="C857" s="24"/>
      <c r="D857" s="24"/>
      <c r="E857" s="24"/>
      <c r="F857" s="24"/>
    </row>
    <row r="858" customFormat="false" ht="15" hidden="false" customHeight="false" outlineLevel="0" collapsed="false">
      <c r="A858" s="27"/>
      <c r="B858" s="24"/>
      <c r="C858" s="24"/>
      <c r="D858" s="24"/>
      <c r="E858" s="24"/>
      <c r="F858" s="24"/>
    </row>
    <row r="859" customFormat="false" ht="15" hidden="false" customHeight="false" outlineLevel="0" collapsed="false">
      <c r="A859" s="27"/>
      <c r="B859" s="24"/>
      <c r="C859" s="24"/>
      <c r="D859" s="24"/>
      <c r="E859" s="24"/>
      <c r="F859" s="24"/>
    </row>
    <row r="860" customFormat="false" ht="15" hidden="false" customHeight="false" outlineLevel="0" collapsed="false">
      <c r="A860" s="27"/>
      <c r="B860" s="24"/>
      <c r="C860" s="24"/>
      <c r="D860" s="24"/>
      <c r="E860" s="24"/>
      <c r="F860" s="24"/>
    </row>
    <row r="861" customFormat="false" ht="15" hidden="false" customHeight="false" outlineLevel="0" collapsed="false">
      <c r="A861" s="27"/>
      <c r="B861" s="24"/>
      <c r="C861" s="24"/>
      <c r="D861" s="24"/>
      <c r="E861" s="24"/>
      <c r="F861" s="24"/>
    </row>
    <row r="862" customFormat="false" ht="15" hidden="false" customHeight="false" outlineLevel="0" collapsed="false">
      <c r="A862" s="27"/>
      <c r="B862" s="24"/>
      <c r="C862" s="24"/>
      <c r="D862" s="24"/>
      <c r="E862" s="24"/>
      <c r="F862" s="24"/>
    </row>
    <row r="863" customFormat="false" ht="15" hidden="false" customHeight="false" outlineLevel="0" collapsed="false">
      <c r="A863" s="27"/>
      <c r="B863" s="24"/>
      <c r="C863" s="24"/>
      <c r="D863" s="24"/>
      <c r="E863" s="24"/>
      <c r="F863" s="24"/>
    </row>
    <row r="864" customFormat="false" ht="15" hidden="false" customHeight="false" outlineLevel="0" collapsed="false">
      <c r="A864" s="27"/>
      <c r="B864" s="24"/>
      <c r="C864" s="24"/>
      <c r="D864" s="24"/>
      <c r="E864" s="24"/>
      <c r="F864" s="24"/>
    </row>
    <row r="865" customFormat="false" ht="15" hidden="false" customHeight="false" outlineLevel="0" collapsed="false">
      <c r="A865" s="27"/>
      <c r="B865" s="24"/>
      <c r="C865" s="24"/>
      <c r="D865" s="24"/>
      <c r="E865" s="24"/>
      <c r="F865" s="24"/>
    </row>
    <row r="866" customFormat="false" ht="15" hidden="false" customHeight="false" outlineLevel="0" collapsed="false">
      <c r="A866" s="27"/>
      <c r="B866" s="24"/>
      <c r="C866" s="24"/>
      <c r="D866" s="24"/>
      <c r="E866" s="24"/>
      <c r="F866" s="24"/>
    </row>
    <row r="867" customFormat="false" ht="15" hidden="false" customHeight="false" outlineLevel="0" collapsed="false">
      <c r="A867" s="27"/>
      <c r="B867" s="24"/>
      <c r="C867" s="24"/>
      <c r="D867" s="24"/>
      <c r="E867" s="24"/>
      <c r="F867" s="24"/>
    </row>
    <row r="868" customFormat="false" ht="15" hidden="false" customHeight="false" outlineLevel="0" collapsed="false">
      <c r="A868" s="27"/>
      <c r="B868" s="24"/>
      <c r="C868" s="24"/>
      <c r="D868" s="24"/>
      <c r="E868" s="24"/>
      <c r="F868" s="24"/>
    </row>
    <row r="869" customFormat="false" ht="15" hidden="false" customHeight="false" outlineLevel="0" collapsed="false">
      <c r="A869" s="27"/>
      <c r="B869" s="24"/>
      <c r="C869" s="24"/>
      <c r="D869" s="24"/>
      <c r="E869" s="24"/>
      <c r="F869" s="24"/>
    </row>
    <row r="870" customFormat="false" ht="15" hidden="false" customHeight="false" outlineLevel="0" collapsed="false">
      <c r="A870" s="27"/>
      <c r="B870" s="24"/>
      <c r="C870" s="24"/>
      <c r="D870" s="24"/>
      <c r="E870" s="24"/>
      <c r="F870" s="24"/>
    </row>
    <row r="871" customFormat="false" ht="15" hidden="false" customHeight="false" outlineLevel="0" collapsed="false">
      <c r="A871" s="27"/>
      <c r="B871" s="24"/>
      <c r="C871" s="24"/>
      <c r="D871" s="24"/>
      <c r="E871" s="24"/>
      <c r="F871" s="24"/>
    </row>
    <row r="872" customFormat="false" ht="15" hidden="false" customHeight="false" outlineLevel="0" collapsed="false">
      <c r="A872" s="27"/>
      <c r="B872" s="24"/>
      <c r="C872" s="24"/>
      <c r="D872" s="24"/>
      <c r="E872" s="24"/>
      <c r="F872" s="24"/>
    </row>
    <row r="873" customFormat="false" ht="15" hidden="false" customHeight="false" outlineLevel="0" collapsed="false">
      <c r="A873" s="27"/>
      <c r="B873" s="24"/>
      <c r="C873" s="24"/>
      <c r="D873" s="24"/>
      <c r="E873" s="24"/>
      <c r="F873" s="24"/>
    </row>
    <row r="874" customFormat="false" ht="15" hidden="false" customHeight="false" outlineLevel="0" collapsed="false">
      <c r="A874" s="27"/>
      <c r="B874" s="24"/>
      <c r="C874" s="24"/>
      <c r="D874" s="24"/>
      <c r="E874" s="24"/>
      <c r="F874" s="24"/>
    </row>
    <row r="875" customFormat="false" ht="15" hidden="false" customHeight="false" outlineLevel="0" collapsed="false">
      <c r="A875" s="27"/>
      <c r="B875" s="24"/>
      <c r="C875" s="24"/>
      <c r="D875" s="24"/>
      <c r="E875" s="24"/>
      <c r="F875" s="24"/>
    </row>
    <row r="876" customFormat="false" ht="15" hidden="false" customHeight="false" outlineLevel="0" collapsed="false">
      <c r="A876" s="27"/>
      <c r="B876" s="24"/>
      <c r="C876" s="24"/>
      <c r="D876" s="24"/>
      <c r="E876" s="24"/>
      <c r="F876" s="24"/>
    </row>
    <row r="877" customFormat="false" ht="15" hidden="false" customHeight="false" outlineLevel="0" collapsed="false">
      <c r="A877" s="27"/>
      <c r="B877" s="24"/>
      <c r="C877" s="24"/>
      <c r="D877" s="24"/>
      <c r="E877" s="24"/>
      <c r="F877" s="24"/>
    </row>
    <row r="878" customFormat="false" ht="15" hidden="false" customHeight="false" outlineLevel="0" collapsed="false">
      <c r="A878" s="27"/>
      <c r="B878" s="24"/>
      <c r="C878" s="24"/>
      <c r="D878" s="24"/>
      <c r="E878" s="24"/>
      <c r="F878" s="24"/>
    </row>
    <row r="879" customFormat="false" ht="15" hidden="false" customHeight="false" outlineLevel="0" collapsed="false">
      <c r="A879" s="27"/>
      <c r="B879" s="24"/>
      <c r="C879" s="24"/>
      <c r="D879" s="24"/>
      <c r="E879" s="24"/>
      <c r="F879" s="24"/>
    </row>
    <row r="880" customFormat="false" ht="15" hidden="false" customHeight="false" outlineLevel="0" collapsed="false">
      <c r="A880" s="27"/>
      <c r="B880" s="24"/>
      <c r="C880" s="24"/>
      <c r="D880" s="24"/>
      <c r="E880" s="24"/>
      <c r="F880" s="24"/>
    </row>
    <row r="881" customFormat="false" ht="15" hidden="false" customHeight="false" outlineLevel="0" collapsed="false">
      <c r="A881" s="27"/>
      <c r="B881" s="24"/>
      <c r="C881" s="24"/>
      <c r="D881" s="24"/>
      <c r="E881" s="24"/>
      <c r="F881" s="24"/>
    </row>
    <row r="882" customFormat="false" ht="15" hidden="false" customHeight="false" outlineLevel="0" collapsed="false">
      <c r="A882" s="27"/>
      <c r="B882" s="24"/>
      <c r="C882" s="24"/>
      <c r="D882" s="24"/>
      <c r="E882" s="24"/>
      <c r="F882" s="24"/>
    </row>
    <row r="883" customFormat="false" ht="15" hidden="false" customHeight="false" outlineLevel="0" collapsed="false">
      <c r="A883" s="27"/>
      <c r="B883" s="24"/>
      <c r="C883" s="24"/>
      <c r="D883" s="24"/>
      <c r="E883" s="24"/>
      <c r="F883" s="24"/>
    </row>
    <row r="884" customFormat="false" ht="15" hidden="false" customHeight="false" outlineLevel="0" collapsed="false">
      <c r="A884" s="27"/>
      <c r="B884" s="24"/>
      <c r="C884" s="24"/>
      <c r="D884" s="24"/>
      <c r="E884" s="24"/>
      <c r="F884" s="24"/>
    </row>
    <row r="885" customFormat="false" ht="15" hidden="false" customHeight="false" outlineLevel="0" collapsed="false">
      <c r="A885" s="27"/>
      <c r="B885" s="24"/>
      <c r="C885" s="24"/>
      <c r="D885" s="24"/>
      <c r="E885" s="24"/>
      <c r="F885" s="24"/>
    </row>
    <row r="886" customFormat="false" ht="15" hidden="false" customHeight="false" outlineLevel="0" collapsed="false">
      <c r="A886" s="27"/>
      <c r="B886" s="24"/>
      <c r="C886" s="24"/>
      <c r="D886" s="24"/>
      <c r="E886" s="24"/>
      <c r="F886" s="24"/>
    </row>
    <row r="887" customFormat="false" ht="15" hidden="false" customHeight="false" outlineLevel="0" collapsed="false">
      <c r="A887" s="27"/>
      <c r="B887" s="24"/>
      <c r="C887" s="24"/>
      <c r="D887" s="24"/>
      <c r="E887" s="24"/>
      <c r="F887" s="24"/>
    </row>
    <row r="888" customFormat="false" ht="15" hidden="false" customHeight="false" outlineLevel="0" collapsed="false">
      <c r="A888" s="27"/>
      <c r="B888" s="24"/>
      <c r="C888" s="24"/>
      <c r="D888" s="24"/>
      <c r="E888" s="24"/>
      <c r="F888" s="24"/>
    </row>
    <row r="889" customFormat="false" ht="15" hidden="false" customHeight="false" outlineLevel="0" collapsed="false">
      <c r="A889" s="27"/>
      <c r="B889" s="24"/>
      <c r="C889" s="24"/>
      <c r="D889" s="24"/>
      <c r="E889" s="24"/>
      <c r="F889" s="24"/>
    </row>
    <row r="890" customFormat="false" ht="15" hidden="false" customHeight="false" outlineLevel="0" collapsed="false">
      <c r="A890" s="27"/>
      <c r="B890" s="24"/>
      <c r="C890" s="24"/>
      <c r="D890" s="24"/>
      <c r="E890" s="24"/>
      <c r="F890" s="24"/>
    </row>
    <row r="891" customFormat="false" ht="15" hidden="false" customHeight="false" outlineLevel="0" collapsed="false">
      <c r="A891" s="27"/>
      <c r="B891" s="24"/>
      <c r="C891" s="24"/>
      <c r="D891" s="24"/>
      <c r="E891" s="24"/>
      <c r="F891" s="24"/>
    </row>
    <row r="892" customFormat="false" ht="15" hidden="false" customHeight="false" outlineLevel="0" collapsed="false">
      <c r="A892" s="27"/>
      <c r="B892" s="24"/>
      <c r="C892" s="24"/>
      <c r="D892" s="24"/>
      <c r="E892" s="24"/>
      <c r="F892" s="24"/>
    </row>
    <row r="893" customFormat="false" ht="15" hidden="false" customHeight="false" outlineLevel="0" collapsed="false">
      <c r="A893" s="27"/>
      <c r="B893" s="24"/>
      <c r="C893" s="24"/>
      <c r="D893" s="24"/>
      <c r="E893" s="24"/>
      <c r="F893" s="24"/>
    </row>
    <row r="894" customFormat="false" ht="15" hidden="false" customHeight="false" outlineLevel="0" collapsed="false">
      <c r="A894" s="27"/>
      <c r="B894" s="24"/>
      <c r="C894" s="24"/>
      <c r="D894" s="24"/>
      <c r="E894" s="24"/>
      <c r="F894" s="24"/>
    </row>
    <row r="895" customFormat="false" ht="15" hidden="false" customHeight="false" outlineLevel="0" collapsed="false">
      <c r="A895" s="27"/>
      <c r="B895" s="24"/>
      <c r="C895" s="24"/>
      <c r="D895" s="24"/>
      <c r="E895" s="24"/>
      <c r="F895" s="24"/>
    </row>
    <row r="896" customFormat="false" ht="15" hidden="false" customHeight="false" outlineLevel="0" collapsed="false">
      <c r="A896" s="27"/>
      <c r="B896" s="24"/>
      <c r="C896" s="24"/>
      <c r="D896" s="24"/>
      <c r="E896" s="24"/>
      <c r="F896" s="24"/>
    </row>
    <row r="897" customFormat="false" ht="15" hidden="false" customHeight="false" outlineLevel="0" collapsed="false">
      <c r="A897" s="27"/>
      <c r="B897" s="24"/>
      <c r="C897" s="24"/>
      <c r="D897" s="24"/>
      <c r="E897" s="24"/>
      <c r="F897" s="24"/>
    </row>
    <row r="898" customFormat="false" ht="15" hidden="false" customHeight="false" outlineLevel="0" collapsed="false">
      <c r="A898" s="27"/>
      <c r="B898" s="24"/>
      <c r="C898" s="24"/>
      <c r="D898" s="24"/>
      <c r="E898" s="24"/>
      <c r="F898" s="24"/>
    </row>
    <row r="899" customFormat="false" ht="15" hidden="false" customHeight="false" outlineLevel="0" collapsed="false">
      <c r="A899" s="27"/>
      <c r="B899" s="24"/>
      <c r="C899" s="24"/>
      <c r="D899" s="24"/>
      <c r="E899" s="24"/>
      <c r="F899" s="24"/>
    </row>
    <row r="900" customFormat="false" ht="15" hidden="false" customHeight="false" outlineLevel="0" collapsed="false">
      <c r="A900" s="27"/>
      <c r="B900" s="24"/>
      <c r="C900" s="24"/>
      <c r="D900" s="24"/>
      <c r="E900" s="24"/>
      <c r="F900" s="24"/>
    </row>
    <row r="901" customFormat="false" ht="15" hidden="false" customHeight="false" outlineLevel="0" collapsed="false">
      <c r="A901" s="27"/>
      <c r="B901" s="24"/>
      <c r="C901" s="24"/>
      <c r="D901" s="24"/>
      <c r="E901" s="24"/>
      <c r="F901" s="24"/>
    </row>
    <row r="902" customFormat="false" ht="15" hidden="false" customHeight="false" outlineLevel="0" collapsed="false">
      <c r="A902" s="27"/>
      <c r="B902" s="24"/>
      <c r="C902" s="24"/>
      <c r="D902" s="24"/>
      <c r="E902" s="24"/>
      <c r="F902" s="24"/>
    </row>
    <row r="903" customFormat="false" ht="15" hidden="false" customHeight="false" outlineLevel="0" collapsed="false">
      <c r="A903" s="27"/>
      <c r="B903" s="24"/>
      <c r="C903" s="24"/>
      <c r="D903" s="24"/>
      <c r="E903" s="24"/>
      <c r="F903" s="24"/>
    </row>
    <row r="904" customFormat="false" ht="15" hidden="false" customHeight="false" outlineLevel="0" collapsed="false">
      <c r="A904" s="27"/>
      <c r="B904" s="24"/>
      <c r="C904" s="24"/>
      <c r="D904" s="24"/>
      <c r="E904" s="24"/>
      <c r="F904" s="24"/>
    </row>
    <row r="905" customFormat="false" ht="15" hidden="false" customHeight="false" outlineLevel="0" collapsed="false">
      <c r="A905" s="27"/>
      <c r="B905" s="24"/>
      <c r="C905" s="24"/>
      <c r="D905" s="24"/>
      <c r="E905" s="24"/>
      <c r="F905" s="24"/>
    </row>
    <row r="906" customFormat="false" ht="15" hidden="false" customHeight="false" outlineLevel="0" collapsed="false">
      <c r="A906" s="27"/>
      <c r="B906" s="24"/>
      <c r="C906" s="24"/>
      <c r="D906" s="24"/>
      <c r="E906" s="24"/>
      <c r="F906" s="24"/>
    </row>
    <row r="907" customFormat="false" ht="15" hidden="false" customHeight="false" outlineLevel="0" collapsed="false">
      <c r="A907" s="27"/>
      <c r="B907" s="24"/>
      <c r="C907" s="24"/>
      <c r="D907" s="24"/>
      <c r="E907" s="24"/>
      <c r="F907" s="24"/>
    </row>
    <row r="908" customFormat="false" ht="15" hidden="false" customHeight="false" outlineLevel="0" collapsed="false">
      <c r="A908" s="27"/>
      <c r="B908" s="24"/>
      <c r="C908" s="24"/>
      <c r="D908" s="24"/>
      <c r="E908" s="24"/>
      <c r="F908" s="24"/>
    </row>
    <row r="909" customFormat="false" ht="15" hidden="false" customHeight="false" outlineLevel="0" collapsed="false">
      <c r="A909" s="27"/>
      <c r="B909" s="24"/>
      <c r="C909" s="24"/>
      <c r="D909" s="24"/>
      <c r="E909" s="24"/>
      <c r="F909" s="24"/>
    </row>
    <row r="910" customFormat="false" ht="15" hidden="false" customHeight="false" outlineLevel="0" collapsed="false">
      <c r="A910" s="27"/>
      <c r="B910" s="24"/>
      <c r="C910" s="24"/>
      <c r="D910" s="24"/>
      <c r="E910" s="24"/>
      <c r="F910" s="24"/>
    </row>
    <row r="911" customFormat="false" ht="15" hidden="false" customHeight="false" outlineLevel="0" collapsed="false">
      <c r="A911" s="27"/>
      <c r="B911" s="24"/>
      <c r="C911" s="24"/>
      <c r="D911" s="24"/>
      <c r="E911" s="24"/>
      <c r="F911" s="24"/>
    </row>
    <row r="912" customFormat="false" ht="15" hidden="false" customHeight="false" outlineLevel="0" collapsed="false">
      <c r="A912" s="27"/>
      <c r="B912" s="24"/>
      <c r="C912" s="24"/>
      <c r="D912" s="24"/>
      <c r="E912" s="24"/>
      <c r="F912" s="24"/>
    </row>
    <row r="913" customFormat="false" ht="15" hidden="false" customHeight="false" outlineLevel="0" collapsed="false">
      <c r="A913" s="27"/>
      <c r="B913" s="24"/>
      <c r="C913" s="24"/>
      <c r="D913" s="24"/>
      <c r="E913" s="24"/>
      <c r="F913" s="24"/>
    </row>
    <row r="914" customFormat="false" ht="15" hidden="false" customHeight="false" outlineLevel="0" collapsed="false">
      <c r="A914" s="27"/>
      <c r="B914" s="24"/>
      <c r="C914" s="24"/>
      <c r="D914" s="24"/>
      <c r="E914" s="24"/>
      <c r="F914" s="24"/>
    </row>
    <row r="915" customFormat="false" ht="15" hidden="false" customHeight="false" outlineLevel="0" collapsed="false">
      <c r="A915" s="27"/>
      <c r="B915" s="24"/>
      <c r="C915" s="24"/>
      <c r="D915" s="24"/>
      <c r="E915" s="24"/>
      <c r="F915" s="24"/>
    </row>
    <row r="916" customFormat="false" ht="15" hidden="false" customHeight="false" outlineLevel="0" collapsed="false">
      <c r="A916" s="27"/>
      <c r="B916" s="24"/>
      <c r="C916" s="24"/>
      <c r="D916" s="24"/>
      <c r="E916" s="24"/>
      <c r="F916" s="24"/>
    </row>
    <row r="917" customFormat="false" ht="15" hidden="false" customHeight="false" outlineLevel="0" collapsed="false">
      <c r="A917" s="27"/>
      <c r="B917" s="24"/>
      <c r="C917" s="24"/>
      <c r="D917" s="24"/>
      <c r="E917" s="24"/>
      <c r="F917" s="24"/>
    </row>
    <row r="918" customFormat="false" ht="15" hidden="false" customHeight="false" outlineLevel="0" collapsed="false">
      <c r="A918" s="27"/>
      <c r="B918" s="24"/>
      <c r="C918" s="24"/>
      <c r="D918" s="24"/>
      <c r="E918" s="24"/>
      <c r="F918" s="24"/>
    </row>
    <row r="919" customFormat="false" ht="15" hidden="false" customHeight="false" outlineLevel="0" collapsed="false">
      <c r="A919" s="27"/>
      <c r="B919" s="24"/>
      <c r="C919" s="24"/>
      <c r="D919" s="24"/>
      <c r="E919" s="24"/>
      <c r="F919" s="24"/>
    </row>
    <row r="920" customFormat="false" ht="15" hidden="false" customHeight="false" outlineLevel="0" collapsed="false">
      <c r="A920" s="27"/>
      <c r="B920" s="24"/>
      <c r="C920" s="24"/>
      <c r="D920" s="24"/>
      <c r="E920" s="24"/>
      <c r="F920" s="24"/>
    </row>
    <row r="921" customFormat="false" ht="15" hidden="false" customHeight="false" outlineLevel="0" collapsed="false">
      <c r="A921" s="27"/>
      <c r="B921" s="24"/>
      <c r="C921" s="24"/>
      <c r="D921" s="24"/>
      <c r="E921" s="24"/>
      <c r="F921" s="24"/>
    </row>
    <row r="922" customFormat="false" ht="15" hidden="false" customHeight="false" outlineLevel="0" collapsed="false">
      <c r="A922" s="27"/>
      <c r="B922" s="24"/>
      <c r="C922" s="24"/>
      <c r="D922" s="24"/>
      <c r="E922" s="24"/>
      <c r="F922" s="24"/>
    </row>
    <row r="923" customFormat="false" ht="15" hidden="false" customHeight="false" outlineLevel="0" collapsed="false">
      <c r="A923" s="27"/>
      <c r="B923" s="24"/>
      <c r="C923" s="24"/>
      <c r="D923" s="24"/>
      <c r="E923" s="24"/>
      <c r="F923" s="24"/>
    </row>
    <row r="924" customFormat="false" ht="15" hidden="false" customHeight="false" outlineLevel="0" collapsed="false">
      <c r="A924" s="27"/>
      <c r="B924" s="24"/>
      <c r="C924" s="24"/>
      <c r="D924" s="24"/>
      <c r="E924" s="24"/>
      <c r="F924" s="24"/>
    </row>
    <row r="925" customFormat="false" ht="15" hidden="false" customHeight="false" outlineLevel="0" collapsed="false">
      <c r="A925" s="27"/>
      <c r="B925" s="24"/>
      <c r="C925" s="24"/>
      <c r="D925" s="24"/>
      <c r="E925" s="24"/>
      <c r="F925" s="24"/>
    </row>
    <row r="926" customFormat="false" ht="15" hidden="false" customHeight="false" outlineLevel="0" collapsed="false">
      <c r="A926" s="27"/>
      <c r="B926" s="24"/>
      <c r="C926" s="24"/>
      <c r="D926" s="24"/>
      <c r="E926" s="24"/>
      <c r="F926" s="24"/>
    </row>
    <row r="927" customFormat="false" ht="15" hidden="false" customHeight="false" outlineLevel="0" collapsed="false">
      <c r="A927" s="27"/>
      <c r="B927" s="24"/>
      <c r="C927" s="24"/>
      <c r="D927" s="24"/>
      <c r="E927" s="24"/>
      <c r="F927" s="24"/>
    </row>
    <row r="928" customFormat="false" ht="15" hidden="false" customHeight="false" outlineLevel="0" collapsed="false">
      <c r="A928" s="27"/>
      <c r="B928" s="24"/>
      <c r="C928" s="24"/>
      <c r="D928" s="24"/>
      <c r="E928" s="24"/>
      <c r="F928" s="24"/>
    </row>
    <row r="929" customFormat="false" ht="15" hidden="false" customHeight="false" outlineLevel="0" collapsed="false">
      <c r="A929" s="27"/>
      <c r="B929" s="24"/>
      <c r="C929" s="24"/>
      <c r="D929" s="24"/>
      <c r="E929" s="24"/>
      <c r="F929" s="24"/>
    </row>
    <row r="930" customFormat="false" ht="15" hidden="false" customHeight="false" outlineLevel="0" collapsed="false">
      <c r="A930" s="27"/>
      <c r="B930" s="24"/>
      <c r="C930" s="24"/>
      <c r="D930" s="24"/>
      <c r="E930" s="24"/>
      <c r="F930" s="24"/>
    </row>
    <row r="931" customFormat="false" ht="15" hidden="false" customHeight="false" outlineLevel="0" collapsed="false">
      <c r="A931" s="27"/>
      <c r="B931" s="24"/>
      <c r="C931" s="24"/>
      <c r="D931" s="24"/>
      <c r="E931" s="24"/>
      <c r="F931" s="24"/>
    </row>
    <row r="932" customFormat="false" ht="15" hidden="false" customHeight="false" outlineLevel="0" collapsed="false">
      <c r="A932" s="27"/>
      <c r="B932" s="24"/>
      <c r="C932" s="24"/>
      <c r="D932" s="24"/>
      <c r="E932" s="24"/>
      <c r="F932" s="24"/>
    </row>
    <row r="933" customFormat="false" ht="15" hidden="false" customHeight="false" outlineLevel="0" collapsed="false">
      <c r="A933" s="27"/>
      <c r="B933" s="24"/>
      <c r="C933" s="24"/>
      <c r="D933" s="24"/>
      <c r="E933" s="24"/>
      <c r="F933" s="24"/>
    </row>
    <row r="934" customFormat="false" ht="15" hidden="false" customHeight="false" outlineLevel="0" collapsed="false">
      <c r="A934" s="27"/>
      <c r="B934" s="24"/>
      <c r="C934" s="24"/>
      <c r="D934" s="24"/>
      <c r="E934" s="24"/>
      <c r="F934" s="24"/>
    </row>
    <row r="935" customFormat="false" ht="15" hidden="false" customHeight="false" outlineLevel="0" collapsed="false">
      <c r="A935" s="27"/>
      <c r="B935" s="24"/>
      <c r="C935" s="24"/>
      <c r="D935" s="24"/>
      <c r="E935" s="24"/>
      <c r="F935" s="24"/>
    </row>
    <row r="936" customFormat="false" ht="15" hidden="false" customHeight="false" outlineLevel="0" collapsed="false">
      <c r="A936" s="27"/>
      <c r="B936" s="24"/>
      <c r="C936" s="24"/>
      <c r="D936" s="24"/>
      <c r="E936" s="24"/>
      <c r="F936" s="24"/>
    </row>
    <row r="937" customFormat="false" ht="15" hidden="false" customHeight="false" outlineLevel="0" collapsed="false">
      <c r="A937" s="27"/>
      <c r="B937" s="24"/>
      <c r="C937" s="24"/>
      <c r="D937" s="24"/>
      <c r="E937" s="24"/>
      <c r="F937" s="24"/>
    </row>
    <row r="938" customFormat="false" ht="15" hidden="false" customHeight="false" outlineLevel="0" collapsed="false">
      <c r="A938" s="27"/>
      <c r="B938" s="24"/>
      <c r="C938" s="24"/>
      <c r="D938" s="24"/>
      <c r="E938" s="24"/>
      <c r="F938" s="24"/>
    </row>
    <row r="939" customFormat="false" ht="15" hidden="false" customHeight="false" outlineLevel="0" collapsed="false">
      <c r="A939" s="27"/>
      <c r="B939" s="24"/>
      <c r="C939" s="24"/>
      <c r="D939" s="24"/>
      <c r="E939" s="24"/>
      <c r="F939" s="24"/>
    </row>
    <row r="940" customFormat="false" ht="15" hidden="false" customHeight="false" outlineLevel="0" collapsed="false">
      <c r="A940" s="27"/>
      <c r="B940" s="24"/>
      <c r="C940" s="24"/>
      <c r="D940" s="24"/>
      <c r="E940" s="24"/>
      <c r="F940" s="24"/>
    </row>
    <row r="941" customFormat="false" ht="15" hidden="false" customHeight="false" outlineLevel="0" collapsed="false">
      <c r="A941" s="27"/>
      <c r="B941" s="24"/>
      <c r="C941" s="24"/>
      <c r="D941" s="24"/>
      <c r="E941" s="24"/>
      <c r="F941" s="24"/>
    </row>
    <row r="942" customFormat="false" ht="15" hidden="false" customHeight="false" outlineLevel="0" collapsed="false">
      <c r="A942" s="27"/>
      <c r="B942" s="24"/>
      <c r="C942" s="24"/>
      <c r="D942" s="24"/>
      <c r="E942" s="24"/>
      <c r="F942" s="24"/>
    </row>
    <row r="943" customFormat="false" ht="15" hidden="false" customHeight="false" outlineLevel="0" collapsed="false">
      <c r="A943" s="27"/>
      <c r="B943" s="24"/>
      <c r="C943" s="24"/>
      <c r="D943" s="24"/>
      <c r="E943" s="24"/>
      <c r="F943" s="24"/>
    </row>
    <row r="944" customFormat="false" ht="15" hidden="false" customHeight="false" outlineLevel="0" collapsed="false">
      <c r="A944" s="27"/>
      <c r="B944" s="24"/>
      <c r="C944" s="24"/>
      <c r="D944" s="24"/>
      <c r="E944" s="24"/>
      <c r="F944" s="24"/>
    </row>
    <row r="945" customFormat="false" ht="15" hidden="false" customHeight="false" outlineLevel="0" collapsed="false">
      <c r="A945" s="27"/>
      <c r="B945" s="24"/>
      <c r="C945" s="24"/>
      <c r="D945" s="24"/>
      <c r="E945" s="24"/>
      <c r="F945" s="24"/>
    </row>
    <row r="946" customFormat="false" ht="15" hidden="false" customHeight="false" outlineLevel="0" collapsed="false">
      <c r="A946" s="27"/>
      <c r="B946" s="24"/>
      <c r="C946" s="24"/>
      <c r="D946" s="24"/>
      <c r="E946" s="24"/>
      <c r="F946" s="24"/>
    </row>
    <row r="947" customFormat="false" ht="15" hidden="false" customHeight="false" outlineLevel="0" collapsed="false">
      <c r="A947" s="27"/>
      <c r="B947" s="24"/>
      <c r="C947" s="24"/>
      <c r="D947" s="24"/>
      <c r="E947" s="24"/>
      <c r="F947" s="24"/>
    </row>
    <row r="948" customFormat="false" ht="15" hidden="false" customHeight="false" outlineLevel="0" collapsed="false">
      <c r="A948" s="27"/>
      <c r="B948" s="24"/>
      <c r="C948" s="24"/>
      <c r="D948" s="24"/>
      <c r="E948" s="24"/>
      <c r="F948" s="24"/>
    </row>
    <row r="949" customFormat="false" ht="15" hidden="false" customHeight="false" outlineLevel="0" collapsed="false">
      <c r="A949" s="27"/>
      <c r="B949" s="24"/>
      <c r="C949" s="24"/>
      <c r="D949" s="24"/>
      <c r="E949" s="24"/>
      <c r="F949" s="24"/>
    </row>
    <row r="950" customFormat="false" ht="15" hidden="false" customHeight="false" outlineLevel="0" collapsed="false">
      <c r="A950" s="27"/>
      <c r="B950" s="24"/>
      <c r="C950" s="24"/>
      <c r="D950" s="24"/>
      <c r="E950" s="24"/>
      <c r="F950" s="24"/>
    </row>
    <row r="951" customFormat="false" ht="15" hidden="false" customHeight="false" outlineLevel="0" collapsed="false">
      <c r="A951" s="27"/>
      <c r="B951" s="24"/>
      <c r="C951" s="24"/>
      <c r="D951" s="24"/>
      <c r="E951" s="24"/>
      <c r="F951" s="24"/>
    </row>
    <row r="952" customFormat="false" ht="15" hidden="false" customHeight="false" outlineLevel="0" collapsed="false">
      <c r="A952" s="27"/>
      <c r="B952" s="24"/>
      <c r="C952" s="24"/>
      <c r="D952" s="24"/>
      <c r="E952" s="24"/>
      <c r="F952" s="24"/>
    </row>
    <row r="953" customFormat="false" ht="15" hidden="false" customHeight="false" outlineLevel="0" collapsed="false">
      <c r="A953" s="27"/>
      <c r="B953" s="24"/>
      <c r="C953" s="24"/>
      <c r="D953" s="24"/>
      <c r="E953" s="24"/>
      <c r="F953" s="24"/>
    </row>
    <row r="954" customFormat="false" ht="15" hidden="false" customHeight="false" outlineLevel="0" collapsed="false">
      <c r="A954" s="27"/>
      <c r="B954" s="24"/>
      <c r="C954" s="24"/>
      <c r="D954" s="24"/>
      <c r="E954" s="24"/>
      <c r="F954" s="24"/>
    </row>
    <row r="955" customFormat="false" ht="15" hidden="false" customHeight="false" outlineLevel="0" collapsed="false">
      <c r="A955" s="27"/>
      <c r="B955" s="24"/>
      <c r="C955" s="24"/>
      <c r="D955" s="24"/>
      <c r="E955" s="24"/>
      <c r="F955" s="24"/>
    </row>
    <row r="956" customFormat="false" ht="15" hidden="false" customHeight="false" outlineLevel="0" collapsed="false">
      <c r="A956" s="27"/>
      <c r="B956" s="24"/>
      <c r="C956" s="24"/>
      <c r="D956" s="24"/>
      <c r="E956" s="24"/>
      <c r="F956" s="24"/>
    </row>
    <row r="957" customFormat="false" ht="15" hidden="false" customHeight="false" outlineLevel="0" collapsed="false">
      <c r="A957" s="27"/>
      <c r="B957" s="24"/>
      <c r="C957" s="24"/>
      <c r="D957" s="24"/>
      <c r="E957" s="24"/>
      <c r="F957" s="24"/>
    </row>
    <row r="958" customFormat="false" ht="15" hidden="false" customHeight="false" outlineLevel="0" collapsed="false">
      <c r="A958" s="27"/>
      <c r="B958" s="24"/>
      <c r="C958" s="24"/>
      <c r="D958" s="24"/>
      <c r="E958" s="24"/>
      <c r="F958" s="24"/>
    </row>
    <row r="959" customFormat="false" ht="15" hidden="false" customHeight="false" outlineLevel="0" collapsed="false">
      <c r="A959" s="27"/>
      <c r="B959" s="24"/>
      <c r="C959" s="24"/>
      <c r="D959" s="24"/>
      <c r="E959" s="24"/>
      <c r="F959" s="24"/>
    </row>
    <row r="960" customFormat="false" ht="15" hidden="false" customHeight="false" outlineLevel="0" collapsed="false">
      <c r="A960" s="27"/>
      <c r="B960" s="24"/>
      <c r="C960" s="24"/>
      <c r="D960" s="24"/>
      <c r="E960" s="24"/>
      <c r="F960" s="24"/>
    </row>
    <row r="961" customFormat="false" ht="15" hidden="false" customHeight="false" outlineLevel="0" collapsed="false">
      <c r="A961" s="27"/>
      <c r="B961" s="24"/>
      <c r="C961" s="24"/>
      <c r="D961" s="24"/>
      <c r="E961" s="24"/>
      <c r="F961" s="24"/>
    </row>
    <row r="962" customFormat="false" ht="15" hidden="false" customHeight="false" outlineLevel="0" collapsed="false">
      <c r="A962" s="27"/>
      <c r="B962" s="24"/>
      <c r="C962" s="24"/>
      <c r="D962" s="24"/>
      <c r="E962" s="24"/>
      <c r="F962" s="24"/>
    </row>
    <row r="963" customFormat="false" ht="15" hidden="false" customHeight="false" outlineLevel="0" collapsed="false">
      <c r="A963" s="27"/>
      <c r="B963" s="24"/>
      <c r="C963" s="24"/>
      <c r="D963" s="24"/>
      <c r="E963" s="24"/>
      <c r="F963" s="24"/>
    </row>
    <row r="964" customFormat="false" ht="15" hidden="false" customHeight="false" outlineLevel="0" collapsed="false">
      <c r="A964" s="27"/>
      <c r="B964" s="24"/>
      <c r="C964" s="24"/>
      <c r="D964" s="24"/>
      <c r="E964" s="24"/>
      <c r="F964" s="24"/>
    </row>
    <row r="965" customFormat="false" ht="15" hidden="false" customHeight="false" outlineLevel="0" collapsed="false">
      <c r="A965" s="27"/>
      <c r="B965" s="24"/>
      <c r="C965" s="24"/>
      <c r="D965" s="24"/>
      <c r="E965" s="24"/>
      <c r="F965" s="24"/>
    </row>
    <row r="966" customFormat="false" ht="15" hidden="false" customHeight="false" outlineLevel="0" collapsed="false">
      <c r="A966" s="27"/>
      <c r="B966" s="24"/>
      <c r="C966" s="24"/>
      <c r="D966" s="24"/>
      <c r="E966" s="24"/>
      <c r="F966" s="24"/>
    </row>
    <row r="967" customFormat="false" ht="15" hidden="false" customHeight="false" outlineLevel="0" collapsed="false">
      <c r="A967" s="27"/>
      <c r="B967" s="24"/>
      <c r="C967" s="24"/>
      <c r="D967" s="24"/>
      <c r="E967" s="24"/>
      <c r="F967" s="24"/>
    </row>
    <row r="968" customFormat="false" ht="15" hidden="false" customHeight="false" outlineLevel="0" collapsed="false">
      <c r="A968" s="27"/>
      <c r="B968" s="24"/>
      <c r="C968" s="24"/>
      <c r="D968" s="24"/>
      <c r="E968" s="24"/>
      <c r="F968" s="24"/>
    </row>
    <row r="969" customFormat="false" ht="15" hidden="false" customHeight="false" outlineLevel="0" collapsed="false">
      <c r="A969" s="27"/>
      <c r="B969" s="24"/>
      <c r="C969" s="24"/>
      <c r="D969" s="24"/>
      <c r="E969" s="24"/>
      <c r="F969" s="24"/>
    </row>
    <row r="970" customFormat="false" ht="15" hidden="false" customHeight="false" outlineLevel="0" collapsed="false">
      <c r="A970" s="27"/>
      <c r="B970" s="24"/>
      <c r="C970" s="24"/>
      <c r="D970" s="24"/>
      <c r="E970" s="24"/>
      <c r="F970" s="24"/>
    </row>
    <row r="971" customFormat="false" ht="15" hidden="false" customHeight="false" outlineLevel="0" collapsed="false">
      <c r="A971" s="27"/>
      <c r="B971" s="24"/>
      <c r="C971" s="24"/>
      <c r="D971" s="24"/>
      <c r="E971" s="24"/>
      <c r="F971" s="24"/>
    </row>
    <row r="972" customFormat="false" ht="15" hidden="false" customHeight="false" outlineLevel="0" collapsed="false">
      <c r="A972" s="27"/>
      <c r="B972" s="24"/>
      <c r="C972" s="24"/>
      <c r="D972" s="24"/>
      <c r="E972" s="24"/>
      <c r="F972" s="24"/>
    </row>
    <row r="973" customFormat="false" ht="15" hidden="false" customHeight="false" outlineLevel="0" collapsed="false">
      <c r="A973" s="27"/>
      <c r="B973" s="24"/>
      <c r="C973" s="24"/>
      <c r="D973" s="24"/>
      <c r="E973" s="24"/>
      <c r="F973" s="24"/>
    </row>
    <row r="974" customFormat="false" ht="15" hidden="false" customHeight="false" outlineLevel="0" collapsed="false">
      <c r="A974" s="27"/>
      <c r="B974" s="24"/>
      <c r="C974" s="24"/>
      <c r="D974" s="24"/>
      <c r="E974" s="24"/>
      <c r="F974" s="24"/>
    </row>
    <row r="975" customFormat="false" ht="15" hidden="false" customHeight="false" outlineLevel="0" collapsed="false">
      <c r="A975" s="27"/>
      <c r="B975" s="24"/>
      <c r="C975" s="24"/>
      <c r="D975" s="24"/>
      <c r="E975" s="24"/>
      <c r="F975" s="24"/>
    </row>
    <row r="976" customFormat="false" ht="15" hidden="false" customHeight="false" outlineLevel="0" collapsed="false">
      <c r="A976" s="27"/>
      <c r="B976" s="24"/>
      <c r="C976" s="24"/>
      <c r="D976" s="24"/>
      <c r="E976" s="24"/>
      <c r="F976" s="24"/>
    </row>
    <row r="977" customFormat="false" ht="15" hidden="false" customHeight="false" outlineLevel="0" collapsed="false">
      <c r="A977" s="27"/>
      <c r="B977" s="24"/>
      <c r="C977" s="24"/>
      <c r="D977" s="24"/>
      <c r="E977" s="24"/>
      <c r="F977" s="24"/>
    </row>
    <row r="978" customFormat="false" ht="15" hidden="false" customHeight="false" outlineLevel="0" collapsed="false">
      <c r="A978" s="27"/>
      <c r="B978" s="24"/>
      <c r="C978" s="24"/>
      <c r="D978" s="24"/>
      <c r="E978" s="24"/>
      <c r="F978" s="24"/>
    </row>
    <row r="979" customFormat="false" ht="15" hidden="false" customHeight="false" outlineLevel="0" collapsed="false">
      <c r="A979" s="27"/>
      <c r="B979" s="24"/>
      <c r="C979" s="24"/>
      <c r="D979" s="24"/>
      <c r="E979" s="24"/>
      <c r="F979" s="24"/>
    </row>
    <row r="980" customFormat="false" ht="15" hidden="false" customHeight="false" outlineLevel="0" collapsed="false">
      <c r="A980" s="27"/>
      <c r="B980" s="24"/>
      <c r="C980" s="24"/>
      <c r="D980" s="24"/>
      <c r="E980" s="24"/>
      <c r="F980" s="24"/>
    </row>
    <row r="981" customFormat="false" ht="15" hidden="false" customHeight="false" outlineLevel="0" collapsed="false">
      <c r="A981" s="27"/>
      <c r="B981" s="24"/>
      <c r="C981" s="24"/>
      <c r="D981" s="24"/>
      <c r="E981" s="24"/>
      <c r="F981" s="24"/>
    </row>
    <row r="982" customFormat="false" ht="15" hidden="false" customHeight="false" outlineLevel="0" collapsed="false">
      <c r="A982" s="27"/>
      <c r="B982" s="24"/>
      <c r="C982" s="24"/>
      <c r="D982" s="24"/>
      <c r="E982" s="24"/>
      <c r="F982" s="24"/>
    </row>
    <row r="983" customFormat="false" ht="15" hidden="false" customHeight="false" outlineLevel="0" collapsed="false">
      <c r="A983" s="27"/>
      <c r="B983" s="24"/>
      <c r="C983" s="24"/>
      <c r="D983" s="24"/>
      <c r="E983" s="24"/>
      <c r="F983" s="24"/>
    </row>
    <row r="984" customFormat="false" ht="15" hidden="false" customHeight="false" outlineLevel="0" collapsed="false">
      <c r="A984" s="27"/>
      <c r="B984" s="24"/>
      <c r="C984" s="24"/>
      <c r="D984" s="24"/>
      <c r="E984" s="24"/>
      <c r="F984" s="24"/>
    </row>
    <row r="985" customFormat="false" ht="15" hidden="false" customHeight="false" outlineLevel="0" collapsed="false">
      <c r="A985" s="27"/>
      <c r="B985" s="24"/>
      <c r="C985" s="24"/>
      <c r="D985" s="24"/>
      <c r="E985" s="24"/>
      <c r="F985" s="24"/>
    </row>
    <row r="986" customFormat="false" ht="15" hidden="false" customHeight="false" outlineLevel="0" collapsed="false">
      <c r="A986" s="27"/>
      <c r="B986" s="24"/>
      <c r="C986" s="24"/>
      <c r="D986" s="24"/>
      <c r="E986" s="24"/>
      <c r="F986" s="24"/>
    </row>
    <row r="987" customFormat="false" ht="15" hidden="false" customHeight="false" outlineLevel="0" collapsed="false">
      <c r="A987" s="27"/>
      <c r="B987" s="24"/>
      <c r="C987" s="24"/>
      <c r="D987" s="24"/>
      <c r="E987" s="24"/>
      <c r="F987" s="24"/>
    </row>
    <row r="988" customFormat="false" ht="15" hidden="false" customHeight="false" outlineLevel="0" collapsed="false">
      <c r="A988" s="27"/>
      <c r="B988" s="24"/>
      <c r="C988" s="24"/>
      <c r="D988" s="24"/>
      <c r="E988" s="24"/>
      <c r="F988" s="24"/>
    </row>
    <row r="989" customFormat="false" ht="15" hidden="false" customHeight="false" outlineLevel="0" collapsed="false">
      <c r="A989" s="27"/>
      <c r="B989" s="24"/>
      <c r="C989" s="24"/>
      <c r="D989" s="24"/>
      <c r="E989" s="24"/>
      <c r="F989" s="24"/>
    </row>
    <row r="990" customFormat="false" ht="15" hidden="false" customHeight="false" outlineLevel="0" collapsed="false">
      <c r="A990" s="27"/>
      <c r="B990" s="24"/>
      <c r="C990" s="24"/>
      <c r="D990" s="24"/>
      <c r="E990" s="24"/>
      <c r="F990" s="24"/>
    </row>
    <row r="991" customFormat="false" ht="15" hidden="false" customHeight="false" outlineLevel="0" collapsed="false">
      <c r="A991" s="27"/>
      <c r="B991" s="24"/>
      <c r="C991" s="24"/>
      <c r="D991" s="24"/>
      <c r="E991" s="24"/>
      <c r="F991" s="24"/>
    </row>
    <row r="992" customFormat="false" ht="15" hidden="false" customHeight="false" outlineLevel="0" collapsed="false">
      <c r="A992" s="27"/>
      <c r="B992" s="24"/>
      <c r="C992" s="24"/>
      <c r="D992" s="24"/>
      <c r="E992" s="24"/>
      <c r="F992" s="24"/>
    </row>
    <row r="993" customFormat="false" ht="15" hidden="false" customHeight="false" outlineLevel="0" collapsed="false">
      <c r="A993" s="27"/>
      <c r="B993" s="24"/>
      <c r="C993" s="24"/>
      <c r="D993" s="24"/>
      <c r="E993" s="24"/>
      <c r="F993" s="24"/>
    </row>
    <row r="994" customFormat="false" ht="15" hidden="false" customHeight="false" outlineLevel="0" collapsed="false">
      <c r="A994" s="27"/>
      <c r="B994" s="24"/>
      <c r="C994" s="24"/>
      <c r="D994" s="24"/>
      <c r="E994" s="24"/>
      <c r="F994" s="24"/>
    </row>
    <row r="995" customFormat="false" ht="15" hidden="false" customHeight="false" outlineLevel="0" collapsed="false">
      <c r="A995" s="27"/>
      <c r="B995" s="24"/>
      <c r="C995" s="24"/>
      <c r="D995" s="24"/>
      <c r="E995" s="24"/>
      <c r="F995" s="24"/>
    </row>
    <row r="996" customFormat="false" ht="15" hidden="false" customHeight="false" outlineLevel="0" collapsed="false">
      <c r="A996" s="27"/>
      <c r="B996" s="24"/>
      <c r="C996" s="24"/>
      <c r="D996" s="24"/>
      <c r="E996" s="24"/>
      <c r="F996" s="24"/>
    </row>
    <row r="997" customFormat="false" ht="15" hidden="false" customHeight="false" outlineLevel="0" collapsed="false">
      <c r="A997" s="27"/>
      <c r="B997" s="24"/>
      <c r="C997" s="24"/>
      <c r="D997" s="24"/>
      <c r="E997" s="24"/>
      <c r="F997" s="24"/>
    </row>
    <row r="998" customFormat="false" ht="15" hidden="false" customHeight="false" outlineLevel="0" collapsed="false">
      <c r="A998" s="27"/>
      <c r="B998" s="24"/>
      <c r="C998" s="24"/>
      <c r="D998" s="24"/>
      <c r="E998" s="24"/>
      <c r="F998" s="24"/>
    </row>
    <row r="999" customFormat="false" ht="15" hidden="false" customHeight="false" outlineLevel="0" collapsed="false">
      <c r="A999" s="27"/>
      <c r="B999" s="24"/>
      <c r="C999" s="24"/>
      <c r="D999" s="24"/>
      <c r="E999" s="24"/>
      <c r="F999" s="24"/>
    </row>
    <row r="1000" customFormat="false" ht="15" hidden="false" customHeight="false" outlineLevel="0" collapsed="false">
      <c r="A1000" s="27"/>
      <c r="B1000" s="24"/>
      <c r="C1000" s="24"/>
      <c r="D1000" s="24"/>
      <c r="E1000" s="24"/>
      <c r="F1000" s="24"/>
    </row>
    <row r="1001" customFormat="false" ht="15" hidden="false" customHeight="false" outlineLevel="0" collapsed="false">
      <c r="A1001" s="27"/>
      <c r="B1001" s="24"/>
      <c r="C1001" s="24"/>
      <c r="D1001" s="24"/>
      <c r="E1001" s="24"/>
      <c r="F1001" s="24"/>
    </row>
  </sheetData>
  <autoFilter ref="A1:F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9" min="8" style="0" width="10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25" t="s">
        <v>11</v>
      </c>
      <c r="B1" s="25" t="s">
        <v>81</v>
      </c>
      <c r="C1" s="25" t="s">
        <v>82</v>
      </c>
      <c r="D1" s="25" t="s">
        <v>83</v>
      </c>
      <c r="E1" s="25" t="s">
        <v>84</v>
      </c>
      <c r="F1" s="25" t="s">
        <v>55</v>
      </c>
      <c r="G1" s="25" t="s">
        <v>85</v>
      </c>
      <c r="H1" s="26" t="s">
        <v>86</v>
      </c>
      <c r="I1" s="26" t="s">
        <v>87</v>
      </c>
      <c r="J1" s="26" t="s">
        <v>88</v>
      </c>
    </row>
    <row r="2" customFormat="false" ht="15" hidden="false" customHeight="false" outlineLevel="0" collapsed="false">
      <c r="A2" s="24"/>
      <c r="B2" s="24"/>
      <c r="C2" s="24"/>
      <c r="D2" s="24"/>
      <c r="E2" s="24"/>
      <c r="F2" s="24"/>
      <c r="G2" s="24"/>
      <c r="H2" s="29" t="str">
        <f aca="false">IF($A2="","",COUNTIFS(Inventory!$D:$D,$A2,Inventory!$K:$K,"Open")+COUNTIFS(Inventory!$D:$D,$A2,Inventory!$K:$K,"Unconfirmed"))</f>
        <v/>
      </c>
      <c r="I2" s="29" t="str">
        <f aca="false">IF($A2="","",COUNTIFS(Jira!$L:$L,$A2)-COUNTIFS(Jira!$L:$L,$A2,Jira!$M:$M,"Closed"))</f>
        <v/>
      </c>
      <c r="J2" s="29" t="str">
        <f aca="false">IF($A2="","",COUNTIFS(Jira!$L:$L,$A2,Jira!$P:$P,"Critical")+COUNTIFS(Jira!$L:$L,$A2,Jira!$P:$P,"Warning"))</f>
        <v/>
      </c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4"/>
      <c r="H3" s="29" t="str">
        <f aca="false">IF($A3="","",COUNTIFS(Inventory!$D:$D,$A3,Inventory!$K:$K,"Open")+COUNTIFS(Inventory!$D:$D,$A3,Inventory!$K:$K,"Unconfirmed"))</f>
        <v/>
      </c>
      <c r="I3" s="29" t="str">
        <f aca="false">IF($A3="","",COUNTIFS(Jira!$L:$L,$A3)-COUNTIFS(Jira!$L:$L,$A3,Jira!$M:$M,"Closed"))</f>
        <v/>
      </c>
      <c r="J3" s="29" t="str">
        <f aca="false">IF($A3="","",COUNTIFS(Jira!$L:$L,$A3,Jira!$P:$P,"Critical")+COUNTIFS(Jira!$L:$L,$A3,Jira!$P:$P,"Warning"))</f>
        <v/>
      </c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  <c r="H4" s="29" t="str">
        <f aca="false">IF($A4="","",COUNTIFS(Inventory!$D:$D,$A4,Inventory!$K:$K,"Open")+COUNTIFS(Inventory!$D:$D,$A4,Inventory!$K:$K,"Unconfirmed"))</f>
        <v/>
      </c>
      <c r="I4" s="29" t="str">
        <f aca="false">IF($A4="","",COUNTIFS(Jira!$L:$L,$A4)-COUNTIFS(Jira!$L:$L,$A4,Jira!$M:$M,"Closed"))</f>
        <v/>
      </c>
      <c r="J4" s="29" t="str">
        <f aca="false">IF($A4="","",COUNTIFS(Jira!$L:$L,$A4,Jira!$P:$P,"Critical")+COUNTIFS(Jira!$L:$L,$A4,Jira!$P:$P,"Warning"))</f>
        <v/>
      </c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4"/>
      <c r="H5" s="29" t="str">
        <f aca="false">IF($A5="","",COUNTIFS(Inventory!$D:$D,$A5,Inventory!$K:$K,"Open")+COUNTIFS(Inventory!$D:$D,$A5,Inventory!$K:$K,"Unconfirmed"))</f>
        <v/>
      </c>
      <c r="I5" s="29" t="str">
        <f aca="false">IF($A5="","",COUNTIFS(Jira!$L:$L,$A5)-COUNTIFS(Jira!$L:$L,$A5,Jira!$M:$M,"Closed"))</f>
        <v/>
      </c>
      <c r="J5" s="29" t="str">
        <f aca="false">IF($A5="","",COUNTIFS(Jira!$L:$L,$A5,Jira!$P:$P,"Critical")+COUNTIFS(Jira!$L:$L,$A5,Jira!$P:$P,"Warning"))</f>
        <v/>
      </c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4"/>
      <c r="H6" s="29" t="str">
        <f aca="false">IF($A6="","",COUNTIFS(Inventory!$D:$D,$A6,Inventory!$K:$K,"Open")+COUNTIFS(Inventory!$D:$D,$A6,Inventory!$K:$K,"Unconfirmed"))</f>
        <v/>
      </c>
      <c r="I6" s="29" t="str">
        <f aca="false">IF($A6="","",COUNTIFS(Jira!$L:$L,$A6)-COUNTIFS(Jira!$L:$L,$A6,Jira!$M:$M,"Closed"))</f>
        <v/>
      </c>
      <c r="J6" s="29" t="str">
        <f aca="false">IF($A6="","",COUNTIFS(Jira!$L:$L,$A6,Jira!$P:$P,"Critical")+COUNTIFS(Jira!$L:$L,$A6,Jira!$P:$P,"Warning"))</f>
        <v/>
      </c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4"/>
      <c r="H7" s="29" t="str">
        <f aca="false">IF($A7="","",COUNTIFS(Inventory!$D:$D,$A7,Inventory!$K:$K,"Open")+COUNTIFS(Inventory!$D:$D,$A7,Inventory!$K:$K,"Unconfirmed"))</f>
        <v/>
      </c>
      <c r="I7" s="29" t="str">
        <f aca="false">IF($A7="","",COUNTIFS(Jira!$L:$L,$A7)-COUNTIFS(Jira!$L:$L,$A7,Jira!$M:$M,"Closed"))</f>
        <v/>
      </c>
      <c r="J7" s="29" t="str">
        <f aca="false">IF($A7="","",COUNTIFS(Jira!$L:$L,$A7,Jira!$P:$P,"Critical")+COUNTIFS(Jira!$L:$L,$A7,Jira!$P:$P,"Warning"))</f>
        <v/>
      </c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4"/>
      <c r="H8" s="29" t="str">
        <f aca="false">IF($A8="","",COUNTIFS(Inventory!$D:$D,$A8,Inventory!$K:$K,"Open")+COUNTIFS(Inventory!$D:$D,$A8,Inventory!$K:$K,"Unconfirmed"))</f>
        <v/>
      </c>
      <c r="I8" s="29" t="str">
        <f aca="false">IF($A8="","",COUNTIFS(Jira!$L:$L,$A8)-COUNTIFS(Jira!$L:$L,$A8,Jira!$M:$M,"Closed"))</f>
        <v/>
      </c>
      <c r="J8" s="29" t="str">
        <f aca="false">IF($A8="","",COUNTIFS(Jira!$L:$L,$A8,Jira!$P:$P,"Critical")+COUNTIFS(Jira!$L:$L,$A8,Jira!$P:$P,"Warning"))</f>
        <v/>
      </c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4"/>
      <c r="H9" s="29" t="str">
        <f aca="false">IF($A9="","",COUNTIFS(Inventory!$D:$D,$A9,Inventory!$K:$K,"Open")+COUNTIFS(Inventory!$D:$D,$A9,Inventory!$K:$K,"Unconfirmed"))</f>
        <v/>
      </c>
      <c r="I9" s="29" t="str">
        <f aca="false">IF($A9="","",COUNTIFS(Jira!$L:$L,$A9)-COUNTIFS(Jira!$L:$L,$A9,Jira!$M:$M,"Closed"))</f>
        <v/>
      </c>
      <c r="J9" s="29" t="str">
        <f aca="false">IF($A9="","",COUNTIFS(Jira!$L:$L,$A9,Jira!$P:$P,"Critical")+COUNTIFS(Jira!$L:$L,$A9,Jira!$P:$P,"Warning"))</f>
        <v/>
      </c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4"/>
      <c r="H10" s="29" t="str">
        <f aca="false">IF($A10="","",COUNTIFS(Inventory!$D:$D,$A10,Inventory!$K:$K,"Open")+COUNTIFS(Inventory!$D:$D,$A10,Inventory!$K:$K,"Unconfirmed"))</f>
        <v/>
      </c>
      <c r="I10" s="29" t="str">
        <f aca="false">IF($A10="","",COUNTIFS(Jira!$L:$L,$A10)-COUNTIFS(Jira!$L:$L,$A10,Jira!$M:$M,"Closed"))</f>
        <v/>
      </c>
      <c r="J10" s="29" t="str">
        <f aca="false">IF($A10="","",COUNTIFS(Jira!$L:$L,$A10,Jira!$P:$P,"Critical")+COUNTIFS(Jira!$L:$L,$A10,Jira!$P:$P,"Warning"))</f>
        <v/>
      </c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4"/>
      <c r="H11" s="29" t="str">
        <f aca="false">IF($A11="","",COUNTIFS(Inventory!$D:$D,$A11,Inventory!$K:$K,"Open")+COUNTIFS(Inventory!$D:$D,$A11,Inventory!$K:$K,"Unconfirmed"))</f>
        <v/>
      </c>
      <c r="I11" s="29" t="str">
        <f aca="false">IF($A11="","",COUNTIFS(Jira!$L:$L,$A11)-COUNTIFS(Jira!$L:$L,$A11,Jira!$M:$M,"Closed"))</f>
        <v/>
      </c>
      <c r="J11" s="29" t="str">
        <f aca="false">IF($A11="","",COUNTIFS(Jira!$L:$L,$A11,Jira!$P:$P,"Critical")+COUNTIFS(Jira!$L:$L,$A11,Jira!$P:$P,"Warning"))</f>
        <v/>
      </c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4"/>
      <c r="H12" s="29" t="str">
        <f aca="false">IF($A12="","",COUNTIFS(Inventory!$D:$D,$A12,Inventory!$K:$K,"Open")+COUNTIFS(Inventory!$D:$D,$A12,Inventory!$K:$K,"Unconfirmed"))</f>
        <v/>
      </c>
      <c r="I12" s="29" t="str">
        <f aca="false">IF($A12="","",COUNTIFS(Jira!$L:$L,$A12)-COUNTIFS(Jira!$L:$L,$A12,Jira!$M:$M,"Closed"))</f>
        <v/>
      </c>
      <c r="J12" s="29" t="str">
        <f aca="false">IF($A12="","",COUNTIFS(Jira!$L:$L,$A12,Jira!$P:$P,"Critical")+COUNTIFS(Jira!$L:$L,$A12,Jira!$P:$P,"Warning"))</f>
        <v/>
      </c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4"/>
      <c r="H13" s="29" t="str">
        <f aca="false">IF($A13="","",COUNTIFS(Inventory!$D:$D,$A13,Inventory!$K:$K,"Open")+COUNTIFS(Inventory!$D:$D,$A13,Inventory!$K:$K,"Unconfirmed"))</f>
        <v/>
      </c>
      <c r="I13" s="29" t="str">
        <f aca="false">IF($A13="","",COUNTIFS(Jira!$L:$L,$A13)-COUNTIFS(Jira!$L:$L,$A13,Jira!$M:$M,"Closed"))</f>
        <v/>
      </c>
      <c r="J13" s="29" t="str">
        <f aca="false">IF($A13="","",COUNTIFS(Jira!$L:$L,$A13,Jira!$P:$P,"Critical")+COUNTIFS(Jira!$L:$L,$A13,Jira!$P:$P,"Warning"))</f>
        <v/>
      </c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4"/>
      <c r="H14" s="29" t="str">
        <f aca="false">IF($A14="","",COUNTIFS(Inventory!$D:$D,$A14,Inventory!$K:$K,"Open")+COUNTIFS(Inventory!$D:$D,$A14,Inventory!$K:$K,"Unconfirmed"))</f>
        <v/>
      </c>
      <c r="I14" s="29" t="str">
        <f aca="false">IF($A14="","",COUNTIFS(Jira!$L:$L,$A14)-COUNTIFS(Jira!$L:$L,$A14,Jira!$M:$M,"Closed"))</f>
        <v/>
      </c>
      <c r="J14" s="29" t="str">
        <f aca="false">IF($A14="","",COUNTIFS(Jira!$L:$L,$A14,Jira!$P:$P,"Critical")+COUNTIFS(Jira!$L:$L,$A14,Jira!$P:$P,"Warning"))</f>
        <v/>
      </c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4"/>
      <c r="H15" s="29" t="str">
        <f aca="false">IF($A15="","",COUNTIFS(Inventory!$D:$D,$A15,Inventory!$K:$K,"Open")+COUNTIFS(Inventory!$D:$D,$A15,Inventory!$K:$K,"Unconfirmed"))</f>
        <v/>
      </c>
      <c r="I15" s="29" t="str">
        <f aca="false">IF($A15="","",COUNTIFS(Jira!$L:$L,$A15)-COUNTIFS(Jira!$L:$L,$A15,Jira!$M:$M,"Closed"))</f>
        <v/>
      </c>
      <c r="J15" s="29" t="str">
        <f aca="false">IF($A15="","",COUNTIFS(Jira!$L:$L,$A15,Jira!$P:$P,"Critical")+COUNTIFS(Jira!$L:$L,$A15,Jira!$P:$P,"Warning"))</f>
        <v/>
      </c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4"/>
      <c r="H16" s="29" t="str">
        <f aca="false">IF($A16="","",COUNTIFS(Inventory!$D:$D,$A16,Inventory!$K:$K,"Open")+COUNTIFS(Inventory!$D:$D,$A16,Inventory!$K:$K,"Unconfirmed"))</f>
        <v/>
      </c>
      <c r="I16" s="29" t="str">
        <f aca="false">IF($A16="","",COUNTIFS(Jira!$L:$L,$A16)-COUNTIFS(Jira!$L:$L,$A16,Jira!$M:$M,"Closed"))</f>
        <v/>
      </c>
      <c r="J16" s="29" t="str">
        <f aca="false">IF($A16="","",COUNTIFS(Jira!$L:$L,$A16,Jira!$P:$P,"Critical")+COUNTIFS(Jira!$L:$L,$A16,Jira!$P:$P,"Warning"))</f>
        <v/>
      </c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4"/>
      <c r="H17" s="29" t="str">
        <f aca="false">IF($A17="","",COUNTIFS(Inventory!$D:$D,$A17,Inventory!$K:$K,"Open")+COUNTIFS(Inventory!$D:$D,$A17,Inventory!$K:$K,"Unconfirmed"))</f>
        <v/>
      </c>
      <c r="I17" s="29" t="str">
        <f aca="false">IF($A17="","",COUNTIFS(Jira!$L:$L,$A17)-COUNTIFS(Jira!$L:$L,$A17,Jira!$M:$M,"Closed"))</f>
        <v/>
      </c>
      <c r="J17" s="29" t="str">
        <f aca="false">IF($A17="","",COUNTIFS(Jira!$L:$L,$A17,Jira!$P:$P,"Critical")+COUNTIFS(Jira!$L:$L,$A17,Jira!$P:$P,"Warning"))</f>
        <v/>
      </c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4"/>
      <c r="H18" s="29" t="str">
        <f aca="false">IF($A18="","",COUNTIFS(Inventory!$D:$D,$A18,Inventory!$K:$K,"Open")+COUNTIFS(Inventory!$D:$D,$A18,Inventory!$K:$K,"Unconfirmed"))</f>
        <v/>
      </c>
      <c r="I18" s="29" t="str">
        <f aca="false">IF($A18="","",COUNTIFS(Jira!$L:$L,$A18)-COUNTIFS(Jira!$L:$L,$A18,Jira!$M:$M,"Closed"))</f>
        <v/>
      </c>
      <c r="J18" s="29" t="str">
        <f aca="false">IF($A18="","",COUNTIFS(Jira!$L:$L,$A18,Jira!$P:$P,"Critical")+COUNTIFS(Jira!$L:$L,$A18,Jira!$P:$P,"Warning"))</f>
        <v/>
      </c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4"/>
      <c r="H19" s="29" t="str">
        <f aca="false">IF($A19="","",COUNTIFS(Inventory!$D:$D,$A19,Inventory!$K:$K,"Open")+COUNTIFS(Inventory!$D:$D,$A19,Inventory!$K:$K,"Unconfirmed"))</f>
        <v/>
      </c>
      <c r="I19" s="29" t="str">
        <f aca="false">IF($A19="","",COUNTIFS(Jira!$L:$L,$A19)-COUNTIFS(Jira!$L:$L,$A19,Jira!$M:$M,"Closed"))</f>
        <v/>
      </c>
      <c r="J19" s="29" t="str">
        <f aca="false">IF($A19="","",COUNTIFS(Jira!$L:$L,$A19,Jira!$P:$P,"Critical")+COUNTIFS(Jira!$L:$L,$A19,Jira!$P:$P,"Warning"))</f>
        <v/>
      </c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4"/>
      <c r="H20" s="29" t="str">
        <f aca="false">IF($A20="","",COUNTIFS(Inventory!$D:$D,$A20,Inventory!$K:$K,"Open")+COUNTIFS(Inventory!$D:$D,$A20,Inventory!$K:$K,"Unconfirmed"))</f>
        <v/>
      </c>
      <c r="I20" s="29" t="str">
        <f aca="false">IF($A20="","",COUNTIFS(Jira!$L:$L,$A20)-COUNTIFS(Jira!$L:$L,$A20,Jira!$M:$M,"Closed"))</f>
        <v/>
      </c>
      <c r="J20" s="29" t="str">
        <f aca="false">IF($A20="","",COUNTIFS(Jira!$L:$L,$A20,Jira!$P:$P,"Critical")+COUNTIFS(Jira!$L:$L,$A20,Jira!$P:$P,"Warning"))</f>
        <v/>
      </c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4"/>
      <c r="H21" s="29" t="str">
        <f aca="false">IF($A21="","",COUNTIFS(Inventory!$D:$D,$A21,Inventory!$K:$K,"Open")+COUNTIFS(Inventory!$D:$D,$A21,Inventory!$K:$K,"Unconfirmed"))</f>
        <v/>
      </c>
      <c r="I21" s="29" t="str">
        <f aca="false">IF($A21="","",COUNTIFS(Jira!$L:$L,$A21)-COUNTIFS(Jira!$L:$L,$A21,Jira!$M:$M,"Closed"))</f>
        <v/>
      </c>
      <c r="J21" s="29" t="str">
        <f aca="false">IF($A21="","",COUNTIFS(Jira!$L:$L,$A21,Jira!$P:$P,"Critical")+COUNTIFS(Jira!$L:$L,$A21,Jira!$P:$P,"Warning"))</f>
        <v/>
      </c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4"/>
      <c r="H22" s="29" t="str">
        <f aca="false">IF($A22="","",COUNTIFS(Inventory!$D:$D,$A22,Inventory!$K:$K,"Open")+COUNTIFS(Inventory!$D:$D,$A22,Inventory!$K:$K,"Unconfirmed"))</f>
        <v/>
      </c>
      <c r="I22" s="29" t="str">
        <f aca="false">IF($A22="","",COUNTIFS(Jira!$L:$L,$A22)-COUNTIFS(Jira!$L:$L,$A22,Jira!$M:$M,"Closed"))</f>
        <v/>
      </c>
      <c r="J22" s="29" t="str">
        <f aca="false">IF($A22="","",COUNTIFS(Jira!$L:$L,$A22,Jira!$P:$P,"Critical")+COUNTIFS(Jira!$L:$L,$A22,Jira!$P:$P,"Warning"))</f>
        <v/>
      </c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4"/>
      <c r="H23" s="29" t="str">
        <f aca="false">IF($A23="","",COUNTIFS(Inventory!$D:$D,$A23,Inventory!$K:$K,"Open")+COUNTIFS(Inventory!$D:$D,$A23,Inventory!$K:$K,"Unconfirmed"))</f>
        <v/>
      </c>
      <c r="I23" s="29" t="str">
        <f aca="false">IF($A23="","",COUNTIFS(Jira!$L:$L,$A23)-COUNTIFS(Jira!$L:$L,$A23,Jira!$M:$M,"Closed"))</f>
        <v/>
      </c>
      <c r="J23" s="29" t="str">
        <f aca="false">IF($A23="","",COUNTIFS(Jira!$L:$L,$A23,Jira!$P:$P,"Critical")+COUNTIFS(Jira!$L:$L,$A23,Jira!$P:$P,"Warning"))</f>
        <v/>
      </c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4"/>
      <c r="H24" s="29" t="str">
        <f aca="false">IF($A24="","",COUNTIFS(Inventory!$D:$D,$A24,Inventory!$K:$K,"Open")+COUNTIFS(Inventory!$D:$D,$A24,Inventory!$K:$K,"Unconfirmed"))</f>
        <v/>
      </c>
      <c r="I24" s="29" t="str">
        <f aca="false">IF($A24="","",COUNTIFS(Jira!$L:$L,$A24)-COUNTIFS(Jira!$L:$L,$A24,Jira!$M:$M,"Closed"))</f>
        <v/>
      </c>
      <c r="J24" s="29" t="str">
        <f aca="false">IF($A24="","",COUNTIFS(Jira!$L:$L,$A24,Jira!$P:$P,"Critical")+COUNTIFS(Jira!$L:$L,$A24,Jira!$P:$P,"Warning"))</f>
        <v/>
      </c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4"/>
      <c r="H25" s="29" t="str">
        <f aca="false">IF($A25="","",COUNTIFS(Inventory!$D:$D,$A25,Inventory!$K:$K,"Open")+COUNTIFS(Inventory!$D:$D,$A25,Inventory!$K:$K,"Unconfirmed"))</f>
        <v/>
      </c>
      <c r="I25" s="29" t="str">
        <f aca="false">IF($A25="","",COUNTIFS(Jira!$L:$L,$A25)-COUNTIFS(Jira!$L:$L,$A25,Jira!$M:$M,"Closed"))</f>
        <v/>
      </c>
      <c r="J25" s="29" t="str">
        <f aca="false">IF($A25="","",COUNTIFS(Jira!$L:$L,$A25,Jira!$P:$P,"Critical")+COUNTIFS(Jira!$L:$L,$A25,Jira!$P:$P,"Warning"))</f>
        <v/>
      </c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9" t="str">
        <f aca="false">IF($A26="","",COUNTIFS(Inventory!$D:$D,$A26,Inventory!$K:$K,"Open")+COUNTIFS(Inventory!$D:$D,$A26,Inventory!$K:$K,"Unconfirmed"))</f>
        <v/>
      </c>
      <c r="I26" s="29" t="str">
        <f aca="false">IF($A26="","",COUNTIFS(Jira!$L:$L,$A26)-COUNTIFS(Jira!$L:$L,$A26,Jira!$M:$M,"Closed"))</f>
        <v/>
      </c>
      <c r="J26" s="29" t="str">
        <f aca="false">IF($A26="","",COUNTIFS(Jira!$L:$L,$A26,Jira!$P:$P,"Critical")+COUNTIFS(Jira!$L:$L,$A26,Jira!$P:$P,"Warning"))</f>
        <v/>
      </c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4"/>
      <c r="H27" s="29" t="str">
        <f aca="false">IF($A27="","",COUNTIFS(Inventory!$D:$D,$A27,Inventory!$K:$K,"Open")+COUNTIFS(Inventory!$D:$D,$A27,Inventory!$K:$K,"Unconfirmed"))</f>
        <v/>
      </c>
      <c r="I27" s="29" t="str">
        <f aca="false">IF($A27="","",COUNTIFS(Jira!$L:$L,$A27)-COUNTIFS(Jira!$L:$L,$A27,Jira!$M:$M,"Closed"))</f>
        <v/>
      </c>
      <c r="J27" s="29" t="str">
        <f aca="false">IF($A27="","",COUNTIFS(Jira!$L:$L,$A27,Jira!$P:$P,"Critical")+COUNTIFS(Jira!$L:$L,$A27,Jira!$P:$P,"Warning"))</f>
        <v/>
      </c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4"/>
      <c r="H28" s="29" t="str">
        <f aca="false">IF($A28="","",COUNTIFS(Inventory!$D:$D,$A28,Inventory!$K:$K,"Open")+COUNTIFS(Inventory!$D:$D,$A28,Inventory!$K:$K,"Unconfirmed"))</f>
        <v/>
      </c>
      <c r="I28" s="29" t="str">
        <f aca="false">IF($A28="","",COUNTIFS(Jira!$L:$L,$A28)-COUNTIFS(Jira!$L:$L,$A28,Jira!$M:$M,"Closed"))</f>
        <v/>
      </c>
      <c r="J28" s="29" t="str">
        <f aca="false">IF($A28="","",COUNTIFS(Jira!$L:$L,$A28,Jira!$P:$P,"Critical")+COUNTIFS(Jira!$L:$L,$A28,Jira!$P:$P,"Warning"))</f>
        <v/>
      </c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4"/>
      <c r="H29" s="29" t="str">
        <f aca="false">IF($A29="","",COUNTIFS(Inventory!$D:$D,$A29,Inventory!$K:$K,"Open")+COUNTIFS(Inventory!$D:$D,$A29,Inventory!$K:$K,"Unconfirmed"))</f>
        <v/>
      </c>
      <c r="I29" s="29" t="str">
        <f aca="false">IF($A29="","",COUNTIFS(Jira!$L:$L,$A29)-COUNTIFS(Jira!$L:$L,$A29,Jira!$M:$M,"Closed"))</f>
        <v/>
      </c>
      <c r="J29" s="29" t="str">
        <f aca="false">IF($A29="","",COUNTIFS(Jira!$L:$L,$A29,Jira!$P:$P,"Critical")+COUNTIFS(Jira!$L:$L,$A29,Jira!$P:$P,"Warning"))</f>
        <v/>
      </c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4"/>
      <c r="H30" s="29" t="str">
        <f aca="false">IF($A30="","",COUNTIFS(Inventory!$D:$D,$A30,Inventory!$K:$K,"Open")+COUNTIFS(Inventory!$D:$D,$A30,Inventory!$K:$K,"Unconfirmed"))</f>
        <v/>
      </c>
      <c r="I30" s="29" t="str">
        <f aca="false">IF($A30="","",COUNTIFS(Jira!$L:$L,$A30)-COUNTIFS(Jira!$L:$L,$A30,Jira!$M:$M,"Closed"))</f>
        <v/>
      </c>
      <c r="J30" s="29" t="str">
        <f aca="false">IF($A30="","",COUNTIFS(Jira!$L:$L,$A30,Jira!$P:$P,"Critical")+COUNTIFS(Jira!$L:$L,$A30,Jira!$P:$P,"Warning"))</f>
        <v/>
      </c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4"/>
      <c r="H31" s="29" t="str">
        <f aca="false">IF($A31="","",COUNTIFS(Inventory!$D:$D,$A31,Inventory!$K:$K,"Open")+COUNTIFS(Inventory!$D:$D,$A31,Inventory!$K:$K,"Unconfirmed"))</f>
        <v/>
      </c>
      <c r="I31" s="29" t="str">
        <f aca="false">IF($A31="","",COUNTIFS(Jira!$L:$L,$A31)-COUNTIFS(Jira!$L:$L,$A31,Jira!$M:$M,"Closed"))</f>
        <v/>
      </c>
      <c r="J31" s="29" t="str">
        <f aca="false">IF($A31="","",COUNTIFS(Jira!$L:$L,$A31,Jira!$P:$P,"Critical")+COUNTIFS(Jira!$L:$L,$A31,Jira!$P:$P,"Warning"))</f>
        <v/>
      </c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4"/>
      <c r="H32" s="29" t="str">
        <f aca="false">IF($A32="","",COUNTIFS(Inventory!$D:$D,$A32,Inventory!$K:$K,"Open")+COUNTIFS(Inventory!$D:$D,$A32,Inventory!$K:$K,"Unconfirmed"))</f>
        <v/>
      </c>
      <c r="I32" s="29" t="str">
        <f aca="false">IF($A32="","",COUNTIFS(Jira!$L:$L,$A32)-COUNTIFS(Jira!$L:$L,$A32,Jira!$M:$M,"Closed"))</f>
        <v/>
      </c>
      <c r="J32" s="29" t="str">
        <f aca="false">IF($A32="","",COUNTIFS(Jira!$L:$L,$A32,Jira!$P:$P,"Critical")+COUNTIFS(Jira!$L:$L,$A32,Jira!$P:$P,"Warning"))</f>
        <v/>
      </c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4"/>
      <c r="H33" s="29" t="str">
        <f aca="false">IF($A33="","",COUNTIFS(Inventory!$D:$D,$A33,Inventory!$K:$K,"Open")+COUNTIFS(Inventory!$D:$D,$A33,Inventory!$K:$K,"Unconfirmed"))</f>
        <v/>
      </c>
      <c r="I33" s="29" t="str">
        <f aca="false">IF($A33="","",COUNTIFS(Jira!$L:$L,$A33)-COUNTIFS(Jira!$L:$L,$A33,Jira!$M:$M,"Closed"))</f>
        <v/>
      </c>
      <c r="J33" s="29" t="str">
        <f aca="false">IF($A33="","",COUNTIFS(Jira!$L:$L,$A33,Jira!$P:$P,"Critical")+COUNTIFS(Jira!$L:$L,$A33,Jira!$P:$P,"Warning"))</f>
        <v/>
      </c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4"/>
      <c r="H34" s="29" t="str">
        <f aca="false">IF($A34="","",COUNTIFS(Inventory!$D:$D,$A34,Inventory!$K:$K,"Open")+COUNTIFS(Inventory!$D:$D,$A34,Inventory!$K:$K,"Unconfirmed"))</f>
        <v/>
      </c>
      <c r="I34" s="29" t="str">
        <f aca="false">IF($A34="","",COUNTIFS(Jira!$L:$L,$A34)-COUNTIFS(Jira!$L:$L,$A34,Jira!$M:$M,"Closed"))</f>
        <v/>
      </c>
      <c r="J34" s="29" t="str">
        <f aca="false">IF($A34="","",COUNTIFS(Jira!$L:$L,$A34,Jira!$P:$P,"Critical")+COUNTIFS(Jira!$L:$L,$A34,Jira!$P:$P,"Warning"))</f>
        <v/>
      </c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4"/>
      <c r="H35" s="29" t="str">
        <f aca="false">IF($A35="","",COUNTIFS(Inventory!$D:$D,$A35,Inventory!$K:$K,"Open")+COUNTIFS(Inventory!$D:$D,$A35,Inventory!$K:$K,"Unconfirmed"))</f>
        <v/>
      </c>
      <c r="I35" s="29" t="str">
        <f aca="false">IF($A35="","",COUNTIFS(Jira!$L:$L,$A35)-COUNTIFS(Jira!$L:$L,$A35,Jira!$M:$M,"Closed"))</f>
        <v/>
      </c>
      <c r="J35" s="29" t="str">
        <f aca="false">IF($A35="","",COUNTIFS(Jira!$L:$L,$A35,Jira!$P:$P,"Critical")+COUNTIFS(Jira!$L:$L,$A35,Jira!$P:$P,"Warning"))</f>
        <v/>
      </c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4"/>
      <c r="H36" s="29" t="str">
        <f aca="false">IF($A36="","",COUNTIFS(Inventory!$D:$D,$A36,Inventory!$K:$K,"Open")+COUNTIFS(Inventory!$D:$D,$A36,Inventory!$K:$K,"Unconfirmed"))</f>
        <v/>
      </c>
      <c r="I36" s="29" t="str">
        <f aca="false">IF($A36="","",COUNTIFS(Jira!$L:$L,$A36)-COUNTIFS(Jira!$L:$L,$A36,Jira!$M:$M,"Closed"))</f>
        <v/>
      </c>
      <c r="J36" s="29" t="str">
        <f aca="false">IF($A36="","",COUNTIFS(Jira!$L:$L,$A36,Jira!$P:$P,"Critical")+COUNTIFS(Jira!$L:$L,$A36,Jira!$P:$P,"Warning"))</f>
        <v/>
      </c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4"/>
      <c r="H37" s="29" t="str">
        <f aca="false">IF($A37="","",COUNTIFS(Inventory!$D:$D,$A37,Inventory!$K:$K,"Open")+COUNTIFS(Inventory!$D:$D,$A37,Inventory!$K:$K,"Unconfirmed"))</f>
        <v/>
      </c>
      <c r="I37" s="29" t="str">
        <f aca="false">IF($A37="","",COUNTIFS(Jira!$L:$L,$A37)-COUNTIFS(Jira!$L:$L,$A37,Jira!$M:$M,"Closed"))</f>
        <v/>
      </c>
      <c r="J37" s="29" t="str">
        <f aca="false">IF($A37="","",COUNTIFS(Jira!$L:$L,$A37,Jira!$P:$P,"Critical")+COUNTIFS(Jira!$L:$L,$A37,Jira!$P:$P,"Warning"))</f>
        <v/>
      </c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4"/>
      <c r="H38" s="29" t="str">
        <f aca="false">IF($A38="","",COUNTIFS(Inventory!$D:$D,$A38,Inventory!$K:$K,"Open")+COUNTIFS(Inventory!$D:$D,$A38,Inventory!$K:$K,"Unconfirmed"))</f>
        <v/>
      </c>
      <c r="I38" s="29" t="str">
        <f aca="false">IF($A38="","",COUNTIFS(Jira!$L:$L,$A38)-COUNTIFS(Jira!$L:$L,$A38,Jira!$M:$M,"Closed"))</f>
        <v/>
      </c>
      <c r="J38" s="29" t="str">
        <f aca="false">IF($A38="","",COUNTIFS(Jira!$L:$L,$A38,Jira!$P:$P,"Critical")+COUNTIFS(Jira!$L:$L,$A38,Jira!$P:$P,"Warning"))</f>
        <v/>
      </c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4"/>
      <c r="H39" s="29" t="str">
        <f aca="false">IF($A39="","",COUNTIFS(Inventory!$D:$D,$A39,Inventory!$K:$K,"Open")+COUNTIFS(Inventory!$D:$D,$A39,Inventory!$K:$K,"Unconfirmed"))</f>
        <v/>
      </c>
      <c r="I39" s="29" t="str">
        <f aca="false">IF($A39="","",COUNTIFS(Jira!$L:$L,$A39)-COUNTIFS(Jira!$L:$L,$A39,Jira!$M:$M,"Closed"))</f>
        <v/>
      </c>
      <c r="J39" s="29" t="str">
        <f aca="false">IF($A39="","",COUNTIFS(Jira!$L:$L,$A39,Jira!$P:$P,"Critical")+COUNTIFS(Jira!$L:$L,$A39,Jira!$P:$P,"Warning"))</f>
        <v/>
      </c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4"/>
      <c r="H40" s="29" t="str">
        <f aca="false">IF($A40="","",COUNTIFS(Inventory!$D:$D,$A40,Inventory!$K:$K,"Open")+COUNTIFS(Inventory!$D:$D,$A40,Inventory!$K:$K,"Unconfirmed"))</f>
        <v/>
      </c>
      <c r="I40" s="29" t="str">
        <f aca="false">IF($A40="","",COUNTIFS(Jira!$L:$L,$A40)-COUNTIFS(Jira!$L:$L,$A40,Jira!$M:$M,"Closed"))</f>
        <v/>
      </c>
      <c r="J40" s="29" t="str">
        <f aca="false">IF($A40="","",COUNTIFS(Jira!$L:$L,$A40,Jira!$P:$P,"Critical")+COUNTIFS(Jira!$L:$L,$A40,Jira!$P:$P,"Warning"))</f>
        <v/>
      </c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4"/>
      <c r="H41" s="29" t="str">
        <f aca="false">IF($A41="","",COUNTIFS(Inventory!$D:$D,$A41,Inventory!$K:$K,"Open")+COUNTIFS(Inventory!$D:$D,$A41,Inventory!$K:$K,"Unconfirmed"))</f>
        <v/>
      </c>
      <c r="I41" s="29" t="str">
        <f aca="false">IF($A41="","",COUNTIFS(Jira!$L:$L,$A41)-COUNTIFS(Jira!$L:$L,$A41,Jira!$M:$M,"Closed"))</f>
        <v/>
      </c>
      <c r="J41" s="29" t="str">
        <f aca="false">IF($A41="","",COUNTIFS(Jira!$L:$L,$A41,Jira!$P:$P,"Critical")+COUNTIFS(Jira!$L:$L,$A41,Jira!$P:$P,"Warning"))</f>
        <v/>
      </c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4"/>
      <c r="H42" s="29" t="str">
        <f aca="false">IF($A42="","",COUNTIFS(Inventory!$D:$D,$A42,Inventory!$K:$K,"Open")+COUNTIFS(Inventory!$D:$D,$A42,Inventory!$K:$K,"Unconfirmed"))</f>
        <v/>
      </c>
      <c r="I42" s="29" t="str">
        <f aca="false">IF($A42="","",COUNTIFS(Jira!$L:$L,$A42)-COUNTIFS(Jira!$L:$L,$A42,Jira!$M:$M,"Closed"))</f>
        <v/>
      </c>
      <c r="J42" s="29" t="str">
        <f aca="false">IF($A42="","",COUNTIFS(Jira!$L:$L,$A42,Jira!$P:$P,"Critical")+COUNTIFS(Jira!$L:$L,$A42,Jira!$P:$P,"Warning"))</f>
        <v/>
      </c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4"/>
      <c r="H43" s="29" t="str">
        <f aca="false">IF($A43="","",COUNTIFS(Inventory!$D:$D,$A43,Inventory!$K:$K,"Open")+COUNTIFS(Inventory!$D:$D,$A43,Inventory!$K:$K,"Unconfirmed"))</f>
        <v/>
      </c>
      <c r="I43" s="29" t="str">
        <f aca="false">IF($A43="","",COUNTIFS(Jira!$L:$L,$A43)-COUNTIFS(Jira!$L:$L,$A43,Jira!$M:$M,"Closed"))</f>
        <v/>
      </c>
      <c r="J43" s="29" t="str">
        <f aca="false">IF($A43="","",COUNTIFS(Jira!$L:$L,$A43,Jira!$P:$P,"Critical")+COUNTIFS(Jira!$L:$L,$A43,Jira!$P:$P,"Warning"))</f>
        <v/>
      </c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4"/>
      <c r="H44" s="29" t="str">
        <f aca="false">IF($A44="","",COUNTIFS(Inventory!$D:$D,$A44,Inventory!$K:$K,"Open")+COUNTIFS(Inventory!$D:$D,$A44,Inventory!$K:$K,"Unconfirmed"))</f>
        <v/>
      </c>
      <c r="I44" s="29" t="str">
        <f aca="false">IF($A44="","",COUNTIFS(Jira!$L:$L,$A44)-COUNTIFS(Jira!$L:$L,$A44,Jira!$M:$M,"Closed"))</f>
        <v/>
      </c>
      <c r="J44" s="29" t="str">
        <f aca="false">IF($A44="","",COUNTIFS(Jira!$L:$L,$A44,Jira!$P:$P,"Critical")+COUNTIFS(Jira!$L:$L,$A44,Jira!$P:$P,"Warning"))</f>
        <v/>
      </c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4"/>
      <c r="H45" s="29" t="str">
        <f aca="false">IF($A45="","",COUNTIFS(Inventory!$D:$D,$A45,Inventory!$K:$K,"Open")+COUNTIFS(Inventory!$D:$D,$A45,Inventory!$K:$K,"Unconfirmed"))</f>
        <v/>
      </c>
      <c r="I45" s="29" t="str">
        <f aca="false">IF($A45="","",COUNTIFS(Jira!$L:$L,$A45)-COUNTIFS(Jira!$L:$L,$A45,Jira!$M:$M,"Closed"))</f>
        <v/>
      </c>
      <c r="J45" s="29" t="str">
        <f aca="false">IF($A45="","",COUNTIFS(Jira!$L:$L,$A45,Jira!$P:$P,"Critical")+COUNTIFS(Jira!$L:$L,$A45,Jira!$P:$P,"Warning"))</f>
        <v/>
      </c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4"/>
      <c r="H46" s="29" t="str">
        <f aca="false">IF($A46="","",COUNTIFS(Inventory!$D:$D,$A46,Inventory!$K:$K,"Open")+COUNTIFS(Inventory!$D:$D,$A46,Inventory!$K:$K,"Unconfirmed"))</f>
        <v/>
      </c>
      <c r="I46" s="29" t="str">
        <f aca="false">IF($A46="","",COUNTIFS(Jira!$L:$L,$A46)-COUNTIFS(Jira!$L:$L,$A46,Jira!$M:$M,"Closed"))</f>
        <v/>
      </c>
      <c r="J46" s="29" t="str">
        <f aca="false">IF($A46="","",COUNTIFS(Jira!$L:$L,$A46,Jira!$P:$P,"Critical")+COUNTIFS(Jira!$L:$L,$A46,Jira!$P:$P,"Warning"))</f>
        <v/>
      </c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4"/>
      <c r="H47" s="29" t="str">
        <f aca="false">IF($A47="","",COUNTIFS(Inventory!$D:$D,$A47,Inventory!$K:$K,"Open")+COUNTIFS(Inventory!$D:$D,$A47,Inventory!$K:$K,"Unconfirmed"))</f>
        <v/>
      </c>
      <c r="I47" s="29" t="str">
        <f aca="false">IF($A47="","",COUNTIFS(Jira!$L:$L,$A47)-COUNTIFS(Jira!$L:$L,$A47,Jira!$M:$M,"Closed"))</f>
        <v/>
      </c>
      <c r="J47" s="29" t="str">
        <f aca="false">IF($A47="","",COUNTIFS(Jira!$L:$L,$A47,Jira!$P:$P,"Critical")+COUNTIFS(Jira!$L:$L,$A47,Jira!$P:$P,"Warning"))</f>
        <v/>
      </c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4"/>
      <c r="H48" s="29" t="str">
        <f aca="false">IF($A48="","",COUNTIFS(Inventory!$D:$D,$A48,Inventory!$K:$K,"Open")+COUNTIFS(Inventory!$D:$D,$A48,Inventory!$K:$K,"Unconfirmed"))</f>
        <v/>
      </c>
      <c r="I48" s="29" t="str">
        <f aca="false">IF($A48="","",COUNTIFS(Jira!$L:$L,$A48)-COUNTIFS(Jira!$L:$L,$A48,Jira!$M:$M,"Closed"))</f>
        <v/>
      </c>
      <c r="J48" s="29" t="str">
        <f aca="false">IF($A48="","",COUNTIFS(Jira!$L:$L,$A48,Jira!$P:$P,"Critical")+COUNTIFS(Jira!$L:$L,$A48,Jira!$P:$P,"Warning"))</f>
        <v/>
      </c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4"/>
      <c r="H49" s="29" t="str">
        <f aca="false">IF($A49="","",COUNTIFS(Inventory!$D:$D,$A49,Inventory!$K:$K,"Open")+COUNTIFS(Inventory!$D:$D,$A49,Inventory!$K:$K,"Unconfirmed"))</f>
        <v/>
      </c>
      <c r="I49" s="29" t="str">
        <f aca="false">IF($A49="","",COUNTIFS(Jira!$L:$L,$A49)-COUNTIFS(Jira!$L:$L,$A49,Jira!$M:$M,"Closed"))</f>
        <v/>
      </c>
      <c r="J49" s="29" t="str">
        <f aca="false">IF($A49="","",COUNTIFS(Jira!$L:$L,$A49,Jira!$P:$P,"Critical")+COUNTIFS(Jira!$L:$L,$A49,Jira!$P:$P,"Warning"))</f>
        <v/>
      </c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4"/>
      <c r="H50" s="29" t="str">
        <f aca="false">IF($A50="","",COUNTIFS(Inventory!$D:$D,$A50,Inventory!$K:$K,"Open")+COUNTIFS(Inventory!$D:$D,$A50,Inventory!$K:$K,"Unconfirmed"))</f>
        <v/>
      </c>
      <c r="I50" s="29" t="str">
        <f aca="false">IF($A50="","",COUNTIFS(Jira!$L:$L,$A50)-COUNTIFS(Jira!$L:$L,$A50,Jira!$M:$M,"Closed"))</f>
        <v/>
      </c>
      <c r="J50" s="29" t="str">
        <f aca="false">IF($A50="","",COUNTIFS(Jira!$L:$L,$A50,Jira!$P:$P,"Critical")+COUNTIFS(Jira!$L:$L,$A50,Jira!$P:$P,"Warning"))</f>
        <v/>
      </c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4"/>
      <c r="H51" s="29" t="str">
        <f aca="false">IF($A51="","",COUNTIFS(Inventory!$D:$D,$A51,Inventory!$K:$K,"Open")+COUNTIFS(Inventory!$D:$D,$A51,Inventory!$K:$K,"Unconfirmed"))</f>
        <v/>
      </c>
      <c r="I51" s="29" t="str">
        <f aca="false">IF($A51="","",COUNTIFS(Jira!$L:$L,$A51)-COUNTIFS(Jira!$L:$L,$A51,Jira!$M:$M,"Closed"))</f>
        <v/>
      </c>
      <c r="J51" s="29" t="str">
        <f aca="false">IF($A51="","",COUNTIFS(Jira!$L:$L,$A51,Jira!$P:$P,"Critical")+COUNTIFS(Jira!$L:$L,$A51,Jira!$P:$P,"Warning"))</f>
        <v/>
      </c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4"/>
      <c r="H52" s="29" t="str">
        <f aca="false">IF($A52="","",COUNTIFS(Inventory!$D:$D,$A52,Inventory!$K:$K,"Open")+COUNTIFS(Inventory!$D:$D,$A52,Inventory!$K:$K,"Unconfirmed"))</f>
        <v/>
      </c>
      <c r="I52" s="29" t="str">
        <f aca="false">IF($A52="","",COUNTIFS(Jira!$L:$L,$A52)-COUNTIFS(Jira!$L:$L,$A52,Jira!$M:$M,"Closed"))</f>
        <v/>
      </c>
      <c r="J52" s="29" t="str">
        <f aca="false">IF($A52="","",COUNTIFS(Jira!$L:$L,$A52,Jira!$P:$P,"Critical")+COUNTIFS(Jira!$L:$L,$A52,Jira!$P:$P,"Warning"))</f>
        <v/>
      </c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4"/>
      <c r="H53" s="29" t="str">
        <f aca="false">IF($A53="","",COUNTIFS(Inventory!$D:$D,$A53,Inventory!$K:$K,"Open")+COUNTIFS(Inventory!$D:$D,$A53,Inventory!$K:$K,"Unconfirmed"))</f>
        <v/>
      </c>
      <c r="I53" s="29" t="str">
        <f aca="false">IF($A53="","",COUNTIFS(Jira!$L:$L,$A53)-COUNTIFS(Jira!$L:$L,$A53,Jira!$M:$M,"Closed"))</f>
        <v/>
      </c>
      <c r="J53" s="29" t="str">
        <f aca="false">IF($A53="","",COUNTIFS(Jira!$L:$L,$A53,Jira!$P:$P,"Critical")+COUNTIFS(Jira!$L:$L,$A53,Jira!$P:$P,"Warning"))</f>
        <v/>
      </c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4"/>
      <c r="H54" s="29" t="str">
        <f aca="false">IF($A54="","",COUNTIFS(Inventory!$D:$D,$A54,Inventory!$K:$K,"Open")+COUNTIFS(Inventory!$D:$D,$A54,Inventory!$K:$K,"Unconfirmed"))</f>
        <v/>
      </c>
      <c r="I54" s="29" t="str">
        <f aca="false">IF($A54="","",COUNTIFS(Jira!$L:$L,$A54)-COUNTIFS(Jira!$L:$L,$A54,Jira!$M:$M,"Closed"))</f>
        <v/>
      </c>
      <c r="J54" s="29" t="str">
        <f aca="false">IF($A54="","",COUNTIFS(Jira!$L:$L,$A54,Jira!$P:$P,"Critical")+COUNTIFS(Jira!$L:$L,$A54,Jira!$P:$P,"Warning"))</f>
        <v/>
      </c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4"/>
      <c r="H55" s="29" t="str">
        <f aca="false">IF($A55="","",COUNTIFS(Inventory!$D:$D,$A55,Inventory!$K:$K,"Open")+COUNTIFS(Inventory!$D:$D,$A55,Inventory!$K:$K,"Unconfirmed"))</f>
        <v/>
      </c>
      <c r="I55" s="29" t="str">
        <f aca="false">IF($A55="","",COUNTIFS(Jira!$L:$L,$A55)-COUNTIFS(Jira!$L:$L,$A55,Jira!$M:$M,"Closed"))</f>
        <v/>
      </c>
      <c r="J55" s="29" t="str">
        <f aca="false">IF($A55="","",COUNTIFS(Jira!$L:$L,$A55,Jira!$P:$P,"Critical")+COUNTIFS(Jira!$L:$L,$A55,Jira!$P:$P,"Warning"))</f>
        <v/>
      </c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4"/>
      <c r="H56" s="29" t="str">
        <f aca="false">IF($A56="","",COUNTIFS(Inventory!$D:$D,$A56,Inventory!$K:$K,"Open")+COUNTIFS(Inventory!$D:$D,$A56,Inventory!$K:$K,"Unconfirmed"))</f>
        <v/>
      </c>
      <c r="I56" s="29" t="str">
        <f aca="false">IF($A56="","",COUNTIFS(Jira!$L:$L,$A56)-COUNTIFS(Jira!$L:$L,$A56,Jira!$M:$M,"Closed"))</f>
        <v/>
      </c>
      <c r="J56" s="29" t="str">
        <f aca="false">IF($A56="","",COUNTIFS(Jira!$L:$L,$A56,Jira!$P:$P,"Critical")+COUNTIFS(Jira!$L:$L,$A56,Jira!$P:$P,"Warning"))</f>
        <v/>
      </c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4"/>
      <c r="H57" s="29" t="str">
        <f aca="false">IF($A57="","",COUNTIFS(Inventory!$D:$D,$A57,Inventory!$K:$K,"Open")+COUNTIFS(Inventory!$D:$D,$A57,Inventory!$K:$K,"Unconfirmed"))</f>
        <v/>
      </c>
      <c r="I57" s="29" t="str">
        <f aca="false">IF($A57="","",COUNTIFS(Jira!$L:$L,$A57)-COUNTIFS(Jira!$L:$L,$A57,Jira!$M:$M,"Closed"))</f>
        <v/>
      </c>
      <c r="J57" s="29" t="str">
        <f aca="false">IF($A57="","",COUNTIFS(Jira!$L:$L,$A57,Jira!$P:$P,"Critical")+COUNTIFS(Jira!$L:$L,$A57,Jira!$P:$P,"Warning"))</f>
        <v/>
      </c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4"/>
      <c r="H58" s="29" t="str">
        <f aca="false">IF($A58="","",COUNTIFS(Inventory!$D:$D,$A58,Inventory!$K:$K,"Open")+COUNTIFS(Inventory!$D:$D,$A58,Inventory!$K:$K,"Unconfirmed"))</f>
        <v/>
      </c>
      <c r="I58" s="29" t="str">
        <f aca="false">IF($A58="","",COUNTIFS(Jira!$L:$L,$A58)-COUNTIFS(Jira!$L:$L,$A58,Jira!$M:$M,"Closed"))</f>
        <v/>
      </c>
      <c r="J58" s="29" t="str">
        <f aca="false">IF($A58="","",COUNTIFS(Jira!$L:$L,$A58,Jira!$P:$P,"Critical")+COUNTIFS(Jira!$L:$L,$A58,Jira!$P:$P,"Warning"))</f>
        <v/>
      </c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4"/>
      <c r="H59" s="29" t="str">
        <f aca="false">IF($A59="","",COUNTIFS(Inventory!$D:$D,$A59,Inventory!$K:$K,"Open")+COUNTIFS(Inventory!$D:$D,$A59,Inventory!$K:$K,"Unconfirmed"))</f>
        <v/>
      </c>
      <c r="I59" s="29" t="str">
        <f aca="false">IF($A59="","",COUNTIFS(Jira!$L:$L,$A59)-COUNTIFS(Jira!$L:$L,$A59,Jira!$M:$M,"Closed"))</f>
        <v/>
      </c>
      <c r="J59" s="29" t="str">
        <f aca="false">IF($A59="","",COUNTIFS(Jira!$L:$L,$A59,Jira!$P:$P,"Critical")+COUNTIFS(Jira!$L:$L,$A59,Jira!$P:$P,"Warning"))</f>
        <v/>
      </c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4"/>
      <c r="H60" s="29" t="str">
        <f aca="false">IF($A60="","",COUNTIFS(Inventory!$D:$D,$A60,Inventory!$K:$K,"Open")+COUNTIFS(Inventory!$D:$D,$A60,Inventory!$K:$K,"Unconfirmed"))</f>
        <v/>
      </c>
      <c r="I60" s="29" t="str">
        <f aca="false">IF($A60="","",COUNTIFS(Jira!$L:$L,$A60)-COUNTIFS(Jira!$L:$L,$A60,Jira!$M:$M,"Closed"))</f>
        <v/>
      </c>
      <c r="J60" s="29" t="str">
        <f aca="false">IF($A60="","",COUNTIFS(Jira!$L:$L,$A60,Jira!$P:$P,"Critical")+COUNTIFS(Jira!$L:$L,$A60,Jira!$P:$P,"Warning"))</f>
        <v/>
      </c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4"/>
      <c r="H61" s="29" t="str">
        <f aca="false">IF($A61="","",COUNTIFS(Inventory!$D:$D,$A61,Inventory!$K:$K,"Open")+COUNTIFS(Inventory!$D:$D,$A61,Inventory!$K:$K,"Unconfirmed"))</f>
        <v/>
      </c>
      <c r="I61" s="29" t="str">
        <f aca="false">IF($A61="","",COUNTIFS(Jira!$L:$L,$A61)-COUNTIFS(Jira!$L:$L,$A61,Jira!$M:$M,"Closed"))</f>
        <v/>
      </c>
      <c r="J61" s="29" t="str">
        <f aca="false">IF($A61="","",COUNTIFS(Jira!$L:$L,$A61,Jira!$P:$P,"Critical")+COUNTIFS(Jira!$L:$L,$A61,Jira!$P:$P,"Warning"))</f>
        <v/>
      </c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4"/>
      <c r="H62" s="29" t="str">
        <f aca="false">IF($A62="","",COUNTIFS(Inventory!$D:$D,$A62,Inventory!$K:$K,"Open")+COUNTIFS(Inventory!$D:$D,$A62,Inventory!$K:$K,"Unconfirmed"))</f>
        <v/>
      </c>
      <c r="I62" s="29" t="str">
        <f aca="false">IF($A62="","",COUNTIFS(Jira!$L:$L,$A62)-COUNTIFS(Jira!$L:$L,$A62,Jira!$M:$M,"Closed"))</f>
        <v/>
      </c>
      <c r="J62" s="29" t="str">
        <f aca="false">IF($A62="","",COUNTIFS(Jira!$L:$L,$A62,Jira!$P:$P,"Critical")+COUNTIFS(Jira!$L:$L,$A62,Jira!$P:$P,"Warning"))</f>
        <v/>
      </c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4"/>
      <c r="H63" s="29" t="str">
        <f aca="false">IF($A63="","",COUNTIFS(Inventory!$D:$D,$A63,Inventory!$K:$K,"Open")+COUNTIFS(Inventory!$D:$D,$A63,Inventory!$K:$K,"Unconfirmed"))</f>
        <v/>
      </c>
      <c r="I63" s="29" t="str">
        <f aca="false">IF($A63="","",COUNTIFS(Jira!$L:$L,$A63)-COUNTIFS(Jira!$L:$L,$A63,Jira!$M:$M,"Closed"))</f>
        <v/>
      </c>
      <c r="J63" s="29" t="str">
        <f aca="false">IF($A63="","",COUNTIFS(Jira!$L:$L,$A63,Jira!$P:$P,"Critical")+COUNTIFS(Jira!$L:$L,$A63,Jira!$P:$P,"Warning"))</f>
        <v/>
      </c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4"/>
      <c r="H64" s="29" t="str">
        <f aca="false">IF($A64="","",COUNTIFS(Inventory!$D:$D,$A64,Inventory!$K:$K,"Open")+COUNTIFS(Inventory!$D:$D,$A64,Inventory!$K:$K,"Unconfirmed"))</f>
        <v/>
      </c>
      <c r="I64" s="29" t="str">
        <f aca="false">IF($A64="","",COUNTIFS(Jira!$L:$L,$A64)-COUNTIFS(Jira!$L:$L,$A64,Jira!$M:$M,"Closed"))</f>
        <v/>
      </c>
      <c r="J64" s="29" t="str">
        <f aca="false">IF($A64="","",COUNTIFS(Jira!$L:$L,$A64,Jira!$P:$P,"Critical")+COUNTIFS(Jira!$L:$L,$A64,Jira!$P:$P,"Warning"))</f>
        <v/>
      </c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4"/>
      <c r="H65" s="29" t="str">
        <f aca="false">IF($A65="","",COUNTIFS(Inventory!$D:$D,$A65,Inventory!$K:$K,"Open")+COUNTIFS(Inventory!$D:$D,$A65,Inventory!$K:$K,"Unconfirmed"))</f>
        <v/>
      </c>
      <c r="I65" s="29" t="str">
        <f aca="false">IF($A65="","",COUNTIFS(Jira!$L:$L,$A65)-COUNTIFS(Jira!$L:$L,$A65,Jira!$M:$M,"Closed"))</f>
        <v/>
      </c>
      <c r="J65" s="29" t="str">
        <f aca="false">IF($A65="","",COUNTIFS(Jira!$L:$L,$A65,Jira!$P:$P,"Critical")+COUNTIFS(Jira!$L:$L,$A65,Jira!$P:$P,"Warning"))</f>
        <v/>
      </c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4"/>
      <c r="H66" s="29" t="str">
        <f aca="false">IF($A66="","",COUNTIFS(Inventory!$D:$D,$A66,Inventory!$K:$K,"Open")+COUNTIFS(Inventory!$D:$D,$A66,Inventory!$K:$K,"Unconfirmed"))</f>
        <v/>
      </c>
      <c r="I66" s="29" t="str">
        <f aca="false">IF($A66="","",COUNTIFS(Jira!$L:$L,$A66)-COUNTIFS(Jira!$L:$L,$A66,Jira!$M:$M,"Closed"))</f>
        <v/>
      </c>
      <c r="J66" s="29" t="str">
        <f aca="false">IF($A66="","",COUNTIFS(Jira!$L:$L,$A66,Jira!$P:$P,"Critical")+COUNTIFS(Jira!$L:$L,$A66,Jira!$P:$P,"Warning"))</f>
        <v/>
      </c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4"/>
      <c r="H67" s="29" t="str">
        <f aca="false">IF($A67="","",COUNTIFS(Inventory!$D:$D,$A67,Inventory!$K:$K,"Open")+COUNTIFS(Inventory!$D:$D,$A67,Inventory!$K:$K,"Unconfirmed"))</f>
        <v/>
      </c>
      <c r="I67" s="29" t="str">
        <f aca="false">IF($A67="","",COUNTIFS(Jira!$L:$L,$A67)-COUNTIFS(Jira!$L:$L,$A67,Jira!$M:$M,"Closed"))</f>
        <v/>
      </c>
      <c r="J67" s="29" t="str">
        <f aca="false">IF($A67="","",COUNTIFS(Jira!$L:$L,$A67,Jira!$P:$P,"Critical")+COUNTIFS(Jira!$L:$L,$A67,Jira!$P:$P,"Warning"))</f>
        <v/>
      </c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4"/>
      <c r="H68" s="29" t="str">
        <f aca="false">IF($A68="","",COUNTIFS(Inventory!$D:$D,$A68,Inventory!$K:$K,"Open")+COUNTIFS(Inventory!$D:$D,$A68,Inventory!$K:$K,"Unconfirmed"))</f>
        <v/>
      </c>
      <c r="I68" s="29" t="str">
        <f aca="false">IF($A68="","",COUNTIFS(Jira!$L:$L,$A68)-COUNTIFS(Jira!$L:$L,$A68,Jira!$M:$M,"Closed"))</f>
        <v/>
      </c>
      <c r="J68" s="29" t="str">
        <f aca="false">IF($A68="","",COUNTIFS(Jira!$L:$L,$A68,Jira!$P:$P,"Critical")+COUNTIFS(Jira!$L:$L,$A68,Jira!$P:$P,"Warning"))</f>
        <v/>
      </c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4"/>
      <c r="H69" s="29" t="str">
        <f aca="false">IF($A69="","",COUNTIFS(Inventory!$D:$D,$A69,Inventory!$K:$K,"Open")+COUNTIFS(Inventory!$D:$D,$A69,Inventory!$K:$K,"Unconfirmed"))</f>
        <v/>
      </c>
      <c r="I69" s="29" t="str">
        <f aca="false">IF($A69="","",COUNTIFS(Jira!$L:$L,$A69)-COUNTIFS(Jira!$L:$L,$A69,Jira!$M:$M,"Closed"))</f>
        <v/>
      </c>
      <c r="J69" s="29" t="str">
        <f aca="false">IF($A69="","",COUNTIFS(Jira!$L:$L,$A69,Jira!$P:$P,"Critical")+COUNTIFS(Jira!$L:$L,$A69,Jira!$P:$P,"Warning"))</f>
        <v/>
      </c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4"/>
      <c r="H70" s="29" t="str">
        <f aca="false">IF($A70="","",COUNTIFS(Inventory!$D:$D,$A70,Inventory!$K:$K,"Open")+COUNTIFS(Inventory!$D:$D,$A70,Inventory!$K:$K,"Unconfirmed"))</f>
        <v/>
      </c>
      <c r="I70" s="29" t="str">
        <f aca="false">IF($A70="","",COUNTIFS(Jira!$L:$L,$A70)-COUNTIFS(Jira!$L:$L,$A70,Jira!$M:$M,"Closed"))</f>
        <v/>
      </c>
      <c r="J70" s="29" t="str">
        <f aca="false">IF($A70="","",COUNTIFS(Jira!$L:$L,$A70,Jira!$P:$P,"Critical")+COUNTIFS(Jira!$L:$L,$A70,Jira!$P:$P,"Warning"))</f>
        <v/>
      </c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4"/>
      <c r="H71" s="29" t="str">
        <f aca="false">IF($A71="","",COUNTIFS(Inventory!$D:$D,$A71,Inventory!$K:$K,"Open")+COUNTIFS(Inventory!$D:$D,$A71,Inventory!$K:$K,"Unconfirmed"))</f>
        <v/>
      </c>
      <c r="I71" s="29" t="str">
        <f aca="false">IF($A71="","",COUNTIFS(Jira!$L:$L,$A71)-COUNTIFS(Jira!$L:$L,$A71,Jira!$M:$M,"Closed"))</f>
        <v/>
      </c>
      <c r="J71" s="29" t="str">
        <f aca="false">IF($A71="","",COUNTIFS(Jira!$L:$L,$A71,Jira!$P:$P,"Critical")+COUNTIFS(Jira!$L:$L,$A71,Jira!$P:$P,"Warning"))</f>
        <v/>
      </c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4"/>
      <c r="H72" s="29" t="str">
        <f aca="false">IF($A72="","",COUNTIFS(Inventory!$D:$D,$A72,Inventory!$K:$K,"Open")+COUNTIFS(Inventory!$D:$D,$A72,Inventory!$K:$K,"Unconfirmed"))</f>
        <v/>
      </c>
      <c r="I72" s="29" t="str">
        <f aca="false">IF($A72="","",COUNTIFS(Jira!$L:$L,$A72)-COUNTIFS(Jira!$L:$L,$A72,Jira!$M:$M,"Closed"))</f>
        <v/>
      </c>
      <c r="J72" s="29" t="str">
        <f aca="false">IF($A72="","",COUNTIFS(Jira!$L:$L,$A72,Jira!$P:$P,"Critical")+COUNTIFS(Jira!$L:$L,$A72,Jira!$P:$P,"Warning"))</f>
        <v/>
      </c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4"/>
      <c r="H73" s="29" t="str">
        <f aca="false">IF($A73="","",COUNTIFS(Inventory!$D:$D,$A73,Inventory!$K:$K,"Open")+COUNTIFS(Inventory!$D:$D,$A73,Inventory!$K:$K,"Unconfirmed"))</f>
        <v/>
      </c>
      <c r="I73" s="29" t="str">
        <f aca="false">IF($A73="","",COUNTIFS(Jira!$L:$L,$A73)-COUNTIFS(Jira!$L:$L,$A73,Jira!$M:$M,"Closed"))</f>
        <v/>
      </c>
      <c r="J73" s="29" t="str">
        <f aca="false">IF($A73="","",COUNTIFS(Jira!$L:$L,$A73,Jira!$P:$P,"Critical")+COUNTIFS(Jira!$L:$L,$A73,Jira!$P:$P,"Warning"))</f>
        <v/>
      </c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4"/>
      <c r="H74" s="29" t="str">
        <f aca="false">IF($A74="","",COUNTIFS(Inventory!$D:$D,$A74,Inventory!$K:$K,"Open")+COUNTIFS(Inventory!$D:$D,$A74,Inventory!$K:$K,"Unconfirmed"))</f>
        <v/>
      </c>
      <c r="I74" s="29" t="str">
        <f aca="false">IF($A74="","",COUNTIFS(Jira!$L:$L,$A74)-COUNTIFS(Jira!$L:$L,$A74,Jira!$M:$M,"Closed"))</f>
        <v/>
      </c>
      <c r="J74" s="29" t="str">
        <f aca="false">IF($A74="","",COUNTIFS(Jira!$L:$L,$A74,Jira!$P:$P,"Critical")+COUNTIFS(Jira!$L:$L,$A74,Jira!$P:$P,"Warning"))</f>
        <v/>
      </c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4"/>
      <c r="H75" s="29" t="str">
        <f aca="false">IF($A75="","",COUNTIFS(Inventory!$D:$D,$A75,Inventory!$K:$K,"Open")+COUNTIFS(Inventory!$D:$D,$A75,Inventory!$K:$K,"Unconfirmed"))</f>
        <v/>
      </c>
      <c r="I75" s="29" t="str">
        <f aca="false">IF($A75="","",COUNTIFS(Jira!$L:$L,$A75)-COUNTIFS(Jira!$L:$L,$A75,Jira!$M:$M,"Closed"))</f>
        <v/>
      </c>
      <c r="J75" s="29" t="str">
        <f aca="false">IF($A75="","",COUNTIFS(Jira!$L:$L,$A75,Jira!$P:$P,"Critical")+COUNTIFS(Jira!$L:$L,$A75,Jira!$P:$P,"Warning"))</f>
        <v/>
      </c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4"/>
      <c r="H76" s="29" t="str">
        <f aca="false">IF($A76="","",COUNTIFS(Inventory!$D:$D,$A76,Inventory!$K:$K,"Open")+COUNTIFS(Inventory!$D:$D,$A76,Inventory!$K:$K,"Unconfirmed"))</f>
        <v/>
      </c>
      <c r="I76" s="29" t="str">
        <f aca="false">IF($A76="","",COUNTIFS(Jira!$L:$L,$A76)-COUNTIFS(Jira!$L:$L,$A76,Jira!$M:$M,"Closed"))</f>
        <v/>
      </c>
      <c r="J76" s="29" t="str">
        <f aca="false">IF($A76="","",COUNTIFS(Jira!$L:$L,$A76,Jira!$P:$P,"Critical")+COUNTIFS(Jira!$L:$L,$A76,Jira!$P:$P,"Warning"))</f>
        <v/>
      </c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4"/>
      <c r="H77" s="29" t="str">
        <f aca="false">IF($A77="","",COUNTIFS(Inventory!$D:$D,$A77,Inventory!$K:$K,"Open")+COUNTIFS(Inventory!$D:$D,$A77,Inventory!$K:$K,"Unconfirmed"))</f>
        <v/>
      </c>
      <c r="I77" s="29" t="str">
        <f aca="false">IF($A77="","",COUNTIFS(Jira!$L:$L,$A77)-COUNTIFS(Jira!$L:$L,$A77,Jira!$M:$M,"Closed"))</f>
        <v/>
      </c>
      <c r="J77" s="29" t="str">
        <f aca="false">IF($A77="","",COUNTIFS(Jira!$L:$L,$A77,Jira!$P:$P,"Critical")+COUNTIFS(Jira!$L:$L,$A77,Jira!$P:$P,"Warning"))</f>
        <v/>
      </c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4"/>
      <c r="H78" s="29" t="str">
        <f aca="false">IF($A78="","",COUNTIFS(Inventory!$D:$D,$A78,Inventory!$K:$K,"Open")+COUNTIFS(Inventory!$D:$D,$A78,Inventory!$K:$K,"Unconfirmed"))</f>
        <v/>
      </c>
      <c r="I78" s="29" t="str">
        <f aca="false">IF($A78="","",COUNTIFS(Jira!$L:$L,$A78)-COUNTIFS(Jira!$L:$L,$A78,Jira!$M:$M,"Closed"))</f>
        <v/>
      </c>
      <c r="J78" s="29" t="str">
        <f aca="false">IF($A78="","",COUNTIFS(Jira!$L:$L,$A78,Jira!$P:$P,"Critical")+COUNTIFS(Jira!$L:$L,$A78,Jira!$P:$P,"Warning"))</f>
        <v/>
      </c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4"/>
      <c r="H79" s="29" t="str">
        <f aca="false">IF($A79="","",COUNTIFS(Inventory!$D:$D,$A79,Inventory!$K:$K,"Open")+COUNTIFS(Inventory!$D:$D,$A79,Inventory!$K:$K,"Unconfirmed"))</f>
        <v/>
      </c>
      <c r="I79" s="29" t="str">
        <f aca="false">IF($A79="","",COUNTIFS(Jira!$L:$L,$A79)-COUNTIFS(Jira!$L:$L,$A79,Jira!$M:$M,"Closed"))</f>
        <v/>
      </c>
      <c r="J79" s="29" t="str">
        <f aca="false">IF($A79="","",COUNTIFS(Jira!$L:$L,$A79,Jira!$P:$P,"Critical")+COUNTIFS(Jira!$L:$L,$A79,Jira!$P:$P,"Warning"))</f>
        <v/>
      </c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4"/>
      <c r="H80" s="29" t="str">
        <f aca="false">IF($A80="","",COUNTIFS(Inventory!$D:$D,$A80,Inventory!$K:$K,"Open")+COUNTIFS(Inventory!$D:$D,$A80,Inventory!$K:$K,"Unconfirmed"))</f>
        <v/>
      </c>
      <c r="I80" s="29" t="str">
        <f aca="false">IF($A80="","",COUNTIFS(Jira!$L:$L,$A80)-COUNTIFS(Jira!$L:$L,$A80,Jira!$M:$M,"Closed"))</f>
        <v/>
      </c>
      <c r="J80" s="29" t="str">
        <f aca="false">IF($A80="","",COUNTIFS(Jira!$L:$L,$A80,Jira!$P:$P,"Critical")+COUNTIFS(Jira!$L:$L,$A80,Jira!$P:$P,"Warning"))</f>
        <v/>
      </c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4"/>
      <c r="H81" s="29" t="str">
        <f aca="false">IF($A81="","",COUNTIFS(Inventory!$D:$D,$A81,Inventory!$K:$K,"Open")+COUNTIFS(Inventory!$D:$D,$A81,Inventory!$K:$K,"Unconfirmed"))</f>
        <v/>
      </c>
      <c r="I81" s="29" t="str">
        <f aca="false">IF($A81="","",COUNTIFS(Jira!$L:$L,$A81)-COUNTIFS(Jira!$L:$L,$A81,Jira!$M:$M,"Closed"))</f>
        <v/>
      </c>
      <c r="J81" s="29" t="str">
        <f aca="false">IF($A81="","",COUNTIFS(Jira!$L:$L,$A81,Jira!$P:$P,"Critical")+COUNTIFS(Jira!$L:$L,$A81,Jira!$P:$P,"Warning"))</f>
        <v/>
      </c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4"/>
      <c r="H82" s="29" t="str">
        <f aca="false">IF($A82="","",COUNTIFS(Inventory!$D:$D,$A82,Inventory!$K:$K,"Open")+COUNTIFS(Inventory!$D:$D,$A82,Inventory!$K:$K,"Unconfirmed"))</f>
        <v/>
      </c>
      <c r="I82" s="29" t="str">
        <f aca="false">IF($A82="","",COUNTIFS(Jira!$L:$L,$A82)-COUNTIFS(Jira!$L:$L,$A82,Jira!$M:$M,"Closed"))</f>
        <v/>
      </c>
      <c r="J82" s="29" t="str">
        <f aca="false">IF($A82="","",COUNTIFS(Jira!$L:$L,$A82,Jira!$P:$P,"Critical")+COUNTIFS(Jira!$L:$L,$A82,Jira!$P:$P,"Warning"))</f>
        <v/>
      </c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4"/>
      <c r="H83" s="29" t="str">
        <f aca="false">IF($A83="","",COUNTIFS(Inventory!$D:$D,$A83,Inventory!$K:$K,"Open")+COUNTIFS(Inventory!$D:$D,$A83,Inventory!$K:$K,"Unconfirmed"))</f>
        <v/>
      </c>
      <c r="I83" s="29" t="str">
        <f aca="false">IF($A83="","",COUNTIFS(Jira!$L:$L,$A83)-COUNTIFS(Jira!$L:$L,$A83,Jira!$M:$M,"Closed"))</f>
        <v/>
      </c>
      <c r="J83" s="29" t="str">
        <f aca="false">IF($A83="","",COUNTIFS(Jira!$L:$L,$A83,Jira!$P:$P,"Critical")+COUNTIFS(Jira!$L:$L,$A83,Jira!$P:$P,"Warning"))</f>
        <v/>
      </c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4"/>
      <c r="H84" s="29" t="str">
        <f aca="false">IF($A84="","",COUNTIFS(Inventory!$D:$D,$A84,Inventory!$K:$K,"Open")+COUNTIFS(Inventory!$D:$D,$A84,Inventory!$K:$K,"Unconfirmed"))</f>
        <v/>
      </c>
      <c r="I84" s="29" t="str">
        <f aca="false">IF($A84="","",COUNTIFS(Jira!$L:$L,$A84)-COUNTIFS(Jira!$L:$L,$A84,Jira!$M:$M,"Closed"))</f>
        <v/>
      </c>
      <c r="J84" s="29" t="str">
        <f aca="false">IF($A84="","",COUNTIFS(Jira!$L:$L,$A84,Jira!$P:$P,"Critical")+COUNTIFS(Jira!$L:$L,$A84,Jira!$P:$P,"Warning"))</f>
        <v/>
      </c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4"/>
      <c r="H85" s="29" t="str">
        <f aca="false">IF($A85="","",COUNTIFS(Inventory!$D:$D,$A85,Inventory!$K:$K,"Open")+COUNTIFS(Inventory!$D:$D,$A85,Inventory!$K:$K,"Unconfirmed"))</f>
        <v/>
      </c>
      <c r="I85" s="29" t="str">
        <f aca="false">IF($A85="","",COUNTIFS(Jira!$L:$L,$A85)-COUNTIFS(Jira!$L:$L,$A85,Jira!$M:$M,"Closed"))</f>
        <v/>
      </c>
      <c r="J85" s="29" t="str">
        <f aca="false">IF($A85="","",COUNTIFS(Jira!$L:$L,$A85,Jira!$P:$P,"Critical")+COUNTIFS(Jira!$L:$L,$A85,Jira!$P:$P,"Warning"))</f>
        <v/>
      </c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4"/>
      <c r="H86" s="29" t="str">
        <f aca="false">IF($A86="","",COUNTIFS(Inventory!$D:$D,$A86,Inventory!$K:$K,"Open")+COUNTIFS(Inventory!$D:$D,$A86,Inventory!$K:$K,"Unconfirmed"))</f>
        <v/>
      </c>
      <c r="I86" s="29" t="str">
        <f aca="false">IF($A86="","",COUNTIFS(Jira!$L:$L,$A86)-COUNTIFS(Jira!$L:$L,$A86,Jira!$M:$M,"Closed"))</f>
        <v/>
      </c>
      <c r="J86" s="29" t="str">
        <f aca="false">IF($A86="","",COUNTIFS(Jira!$L:$L,$A86,Jira!$P:$P,"Critical")+COUNTIFS(Jira!$L:$L,$A86,Jira!$P:$P,"Warning"))</f>
        <v/>
      </c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4"/>
      <c r="H87" s="29" t="str">
        <f aca="false">IF($A87="","",COUNTIFS(Inventory!$D:$D,$A87,Inventory!$K:$K,"Open")+COUNTIFS(Inventory!$D:$D,$A87,Inventory!$K:$K,"Unconfirmed"))</f>
        <v/>
      </c>
      <c r="I87" s="29" t="str">
        <f aca="false">IF($A87="","",COUNTIFS(Jira!$L:$L,$A87)-COUNTIFS(Jira!$L:$L,$A87,Jira!$M:$M,"Closed"))</f>
        <v/>
      </c>
      <c r="J87" s="29" t="str">
        <f aca="false">IF($A87="","",COUNTIFS(Jira!$L:$L,$A87,Jira!$P:$P,"Critical")+COUNTIFS(Jira!$L:$L,$A87,Jira!$P:$P,"Warning"))</f>
        <v/>
      </c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4"/>
      <c r="H88" s="29" t="str">
        <f aca="false">IF($A88="","",COUNTIFS(Inventory!$D:$D,$A88,Inventory!$K:$K,"Open")+COUNTIFS(Inventory!$D:$D,$A88,Inventory!$K:$K,"Unconfirmed"))</f>
        <v/>
      </c>
      <c r="I88" s="29" t="str">
        <f aca="false">IF($A88="","",COUNTIFS(Jira!$L:$L,$A88)-COUNTIFS(Jira!$L:$L,$A88,Jira!$M:$M,"Closed"))</f>
        <v/>
      </c>
      <c r="J88" s="29" t="str">
        <f aca="false">IF($A88="","",COUNTIFS(Jira!$L:$L,$A88,Jira!$P:$P,"Critical")+COUNTIFS(Jira!$L:$L,$A88,Jira!$P:$P,"Warning"))</f>
        <v/>
      </c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4"/>
      <c r="H89" s="29" t="str">
        <f aca="false">IF($A89="","",COUNTIFS(Inventory!$D:$D,$A89,Inventory!$K:$K,"Open")+COUNTIFS(Inventory!$D:$D,$A89,Inventory!$K:$K,"Unconfirmed"))</f>
        <v/>
      </c>
      <c r="I89" s="29" t="str">
        <f aca="false">IF($A89="","",COUNTIFS(Jira!$L:$L,$A89)-COUNTIFS(Jira!$L:$L,$A89,Jira!$M:$M,"Closed"))</f>
        <v/>
      </c>
      <c r="J89" s="29" t="str">
        <f aca="false">IF($A89="","",COUNTIFS(Jira!$L:$L,$A89,Jira!$P:$P,"Critical")+COUNTIFS(Jira!$L:$L,$A89,Jira!$P:$P,"Warning"))</f>
        <v/>
      </c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4"/>
      <c r="H90" s="29" t="str">
        <f aca="false">IF($A90="","",COUNTIFS(Inventory!$D:$D,$A90,Inventory!$K:$K,"Open")+COUNTIFS(Inventory!$D:$D,$A90,Inventory!$K:$K,"Unconfirmed"))</f>
        <v/>
      </c>
      <c r="I90" s="29" t="str">
        <f aca="false">IF($A90="","",COUNTIFS(Jira!$L:$L,$A90)-COUNTIFS(Jira!$L:$L,$A90,Jira!$M:$M,"Closed"))</f>
        <v/>
      </c>
      <c r="J90" s="29" t="str">
        <f aca="false">IF($A90="","",COUNTIFS(Jira!$L:$L,$A90,Jira!$P:$P,"Critical")+COUNTIFS(Jira!$L:$L,$A90,Jira!$P:$P,"Warning"))</f>
        <v/>
      </c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4"/>
      <c r="H91" s="29" t="str">
        <f aca="false">IF($A91="","",COUNTIFS(Inventory!$D:$D,$A91,Inventory!$K:$K,"Open")+COUNTIFS(Inventory!$D:$D,$A91,Inventory!$K:$K,"Unconfirmed"))</f>
        <v/>
      </c>
      <c r="I91" s="29" t="str">
        <f aca="false">IF($A91="","",COUNTIFS(Jira!$L:$L,$A91)-COUNTIFS(Jira!$L:$L,$A91,Jira!$M:$M,"Closed"))</f>
        <v/>
      </c>
      <c r="J91" s="29" t="str">
        <f aca="false">IF($A91="","",COUNTIFS(Jira!$L:$L,$A91,Jira!$P:$P,"Critical")+COUNTIFS(Jira!$L:$L,$A91,Jira!$P:$P,"Warning"))</f>
        <v/>
      </c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4"/>
      <c r="H92" s="29" t="str">
        <f aca="false">IF($A92="","",COUNTIFS(Inventory!$D:$D,$A92,Inventory!$K:$K,"Open")+COUNTIFS(Inventory!$D:$D,$A92,Inventory!$K:$K,"Unconfirmed"))</f>
        <v/>
      </c>
      <c r="I92" s="29" t="str">
        <f aca="false">IF($A92="","",COUNTIFS(Jira!$L:$L,$A92)-COUNTIFS(Jira!$L:$L,$A92,Jira!$M:$M,"Closed"))</f>
        <v/>
      </c>
      <c r="J92" s="29" t="str">
        <f aca="false">IF($A92="","",COUNTIFS(Jira!$L:$L,$A92,Jira!$P:$P,"Critical")+COUNTIFS(Jira!$L:$L,$A92,Jira!$P:$P,"Warning"))</f>
        <v/>
      </c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4"/>
      <c r="H93" s="29" t="str">
        <f aca="false">IF($A93="","",COUNTIFS(Inventory!$D:$D,$A93,Inventory!$K:$K,"Open")+COUNTIFS(Inventory!$D:$D,$A93,Inventory!$K:$K,"Unconfirmed"))</f>
        <v/>
      </c>
      <c r="I93" s="29" t="str">
        <f aca="false">IF($A93="","",COUNTIFS(Jira!$L:$L,$A93)-COUNTIFS(Jira!$L:$L,$A93,Jira!$M:$M,"Closed"))</f>
        <v/>
      </c>
      <c r="J93" s="29" t="str">
        <f aca="false">IF($A93="","",COUNTIFS(Jira!$L:$L,$A93,Jira!$P:$P,"Critical")+COUNTIFS(Jira!$L:$L,$A93,Jira!$P:$P,"Warning"))</f>
        <v/>
      </c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4"/>
      <c r="H94" s="29" t="str">
        <f aca="false">IF($A94="","",COUNTIFS(Inventory!$D:$D,$A94,Inventory!$K:$K,"Open")+COUNTIFS(Inventory!$D:$D,$A94,Inventory!$K:$K,"Unconfirmed"))</f>
        <v/>
      </c>
      <c r="I94" s="29" t="str">
        <f aca="false">IF($A94="","",COUNTIFS(Jira!$L:$L,$A94)-COUNTIFS(Jira!$L:$L,$A94,Jira!$M:$M,"Closed"))</f>
        <v/>
      </c>
      <c r="J94" s="29" t="str">
        <f aca="false">IF($A94="","",COUNTIFS(Jira!$L:$L,$A94,Jira!$P:$P,"Critical")+COUNTIFS(Jira!$L:$L,$A94,Jira!$P:$P,"Warning"))</f>
        <v/>
      </c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4"/>
      <c r="H95" s="29" t="str">
        <f aca="false">IF($A95="","",COUNTIFS(Inventory!$D:$D,$A95,Inventory!$K:$K,"Open")+COUNTIFS(Inventory!$D:$D,$A95,Inventory!$K:$K,"Unconfirmed"))</f>
        <v/>
      </c>
      <c r="I95" s="29" t="str">
        <f aca="false">IF($A95="","",COUNTIFS(Jira!$L:$L,$A95)-COUNTIFS(Jira!$L:$L,$A95,Jira!$M:$M,"Closed"))</f>
        <v/>
      </c>
      <c r="J95" s="29" t="str">
        <f aca="false">IF($A95="","",COUNTIFS(Jira!$L:$L,$A95,Jira!$P:$P,"Critical")+COUNTIFS(Jira!$L:$L,$A95,Jira!$P:$P,"Warning"))</f>
        <v/>
      </c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4"/>
      <c r="H96" s="29" t="str">
        <f aca="false">IF($A96="","",COUNTIFS(Inventory!$D:$D,$A96,Inventory!$K:$K,"Open")+COUNTIFS(Inventory!$D:$D,$A96,Inventory!$K:$K,"Unconfirmed"))</f>
        <v/>
      </c>
      <c r="I96" s="29" t="str">
        <f aca="false">IF($A96="","",COUNTIFS(Jira!$L:$L,$A96)-COUNTIFS(Jira!$L:$L,$A96,Jira!$M:$M,"Closed"))</f>
        <v/>
      </c>
      <c r="J96" s="29" t="str">
        <f aca="false">IF($A96="","",COUNTIFS(Jira!$L:$L,$A96,Jira!$P:$P,"Critical")+COUNTIFS(Jira!$L:$L,$A96,Jira!$P:$P,"Warning"))</f>
        <v/>
      </c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4"/>
      <c r="H97" s="29" t="str">
        <f aca="false">IF($A97="","",COUNTIFS(Inventory!$D:$D,$A97,Inventory!$K:$K,"Open")+COUNTIFS(Inventory!$D:$D,$A97,Inventory!$K:$K,"Unconfirmed"))</f>
        <v/>
      </c>
      <c r="I97" s="29" t="str">
        <f aca="false">IF($A97="","",COUNTIFS(Jira!$L:$L,$A97)-COUNTIFS(Jira!$L:$L,$A97,Jira!$M:$M,"Closed"))</f>
        <v/>
      </c>
      <c r="J97" s="29" t="str">
        <f aca="false">IF($A97="","",COUNTIFS(Jira!$L:$L,$A97,Jira!$P:$P,"Critical")+COUNTIFS(Jira!$L:$L,$A97,Jira!$P:$P,"Warning"))</f>
        <v/>
      </c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4"/>
      <c r="H98" s="29" t="str">
        <f aca="false">IF($A98="","",COUNTIFS(Inventory!$D:$D,$A98,Inventory!$K:$K,"Open")+COUNTIFS(Inventory!$D:$D,$A98,Inventory!$K:$K,"Unconfirmed"))</f>
        <v/>
      </c>
      <c r="I98" s="29" t="str">
        <f aca="false">IF($A98="","",COUNTIFS(Jira!$L:$L,$A98)-COUNTIFS(Jira!$L:$L,$A98,Jira!$M:$M,"Closed"))</f>
        <v/>
      </c>
      <c r="J98" s="29" t="str">
        <f aca="false">IF($A98="","",COUNTIFS(Jira!$L:$L,$A98,Jira!$P:$P,"Critical")+COUNTIFS(Jira!$L:$L,$A98,Jira!$P:$P,"Warning"))</f>
        <v/>
      </c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4"/>
      <c r="H99" s="29" t="str">
        <f aca="false">IF($A99="","",COUNTIFS(Inventory!$D:$D,$A99,Inventory!$K:$K,"Open")+COUNTIFS(Inventory!$D:$D,$A99,Inventory!$K:$K,"Unconfirmed"))</f>
        <v/>
      </c>
      <c r="I99" s="29" t="str">
        <f aca="false">IF($A99="","",COUNTIFS(Jira!$L:$L,$A99)-COUNTIFS(Jira!$L:$L,$A99,Jira!$M:$M,"Closed"))</f>
        <v/>
      </c>
      <c r="J99" s="29" t="str">
        <f aca="false">IF($A99="","",COUNTIFS(Jira!$L:$L,$A99,Jira!$P:$P,"Critical")+COUNTIFS(Jira!$L:$L,$A99,Jira!$P:$P,"Warning"))</f>
        <v/>
      </c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4"/>
      <c r="H100" s="29" t="str">
        <f aca="false">IF($A100="","",COUNTIFS(Inventory!$D:$D,$A100,Inventory!$K:$K,"Open")+COUNTIFS(Inventory!$D:$D,$A100,Inventory!$K:$K,"Unconfirmed"))</f>
        <v/>
      </c>
      <c r="I100" s="29" t="str">
        <f aca="false">IF($A100="","",COUNTIFS(Jira!$L:$L,$A100)-COUNTIFS(Jira!$L:$L,$A100,Jira!$M:$M,"Closed"))</f>
        <v/>
      </c>
      <c r="J100" s="29" t="str">
        <f aca="false">IF($A100="","",COUNTIFS(Jira!$L:$L,$A100,Jira!$P:$P,"Critical")+COUNTIFS(Jira!$L:$L,$A100,Jira!$P:$P,"Warning"))</f>
        <v/>
      </c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4"/>
      <c r="H101" s="29" t="str">
        <f aca="false">IF($A101="","",COUNTIFS(Inventory!$D:$D,$A101,Inventory!$K:$K,"Open")+COUNTIFS(Inventory!$D:$D,$A101,Inventory!$K:$K,"Unconfirmed"))</f>
        <v/>
      </c>
      <c r="I101" s="29" t="str">
        <f aca="false">IF($A101="","",COUNTIFS(Jira!$L:$L,$A101)-COUNTIFS(Jira!$L:$L,$A101,Jira!$M:$M,"Closed"))</f>
        <v/>
      </c>
      <c r="J101" s="29" t="str">
        <f aca="false">IF($A101="","",COUNTIFS(Jira!$L:$L,$A101,Jira!$P:$P,"Critical")+COUNTIFS(Jira!$L:$L,$A101,Jira!$P:$P,"Warning"))</f>
        <v/>
      </c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4"/>
      <c r="H102" s="29" t="str">
        <f aca="false">IF($A102="","",COUNTIFS(Inventory!$D:$D,$A102,Inventory!$K:$K,"Open")+COUNTIFS(Inventory!$D:$D,$A102,Inventory!$K:$K,"Unconfirmed"))</f>
        <v/>
      </c>
      <c r="I102" s="29" t="str">
        <f aca="false">IF($A102="","",COUNTIFS(Jira!$L:$L,$A102)-COUNTIFS(Jira!$L:$L,$A102,Jira!$M:$M,"Closed"))</f>
        <v/>
      </c>
      <c r="J102" s="29" t="str">
        <f aca="false">IF($A102="","",COUNTIFS(Jira!$L:$L,$A102,Jira!$P:$P,"Critical")+COUNTIFS(Jira!$L:$L,$A102,Jira!$P:$P,"Warning"))</f>
        <v/>
      </c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4"/>
      <c r="H103" s="29" t="str">
        <f aca="false">IF($A103="","",COUNTIFS(Inventory!$D:$D,$A103,Inventory!$K:$K,"Open")+COUNTIFS(Inventory!$D:$D,$A103,Inventory!$K:$K,"Unconfirmed"))</f>
        <v/>
      </c>
      <c r="I103" s="29" t="str">
        <f aca="false">IF($A103="","",COUNTIFS(Jira!$L:$L,$A103)-COUNTIFS(Jira!$L:$L,$A103,Jira!$M:$M,"Closed"))</f>
        <v/>
      </c>
      <c r="J103" s="29" t="str">
        <f aca="false">IF($A103="","",COUNTIFS(Jira!$L:$L,$A103,Jira!$P:$P,"Critical")+COUNTIFS(Jira!$L:$L,$A103,Jira!$P:$P,"Warning"))</f>
        <v/>
      </c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4"/>
      <c r="H104" s="29" t="str">
        <f aca="false">IF($A104="","",COUNTIFS(Inventory!$D:$D,$A104,Inventory!$K:$K,"Open")+COUNTIFS(Inventory!$D:$D,$A104,Inventory!$K:$K,"Unconfirmed"))</f>
        <v/>
      </c>
      <c r="I104" s="29" t="str">
        <f aca="false">IF($A104="","",COUNTIFS(Jira!$L:$L,$A104)-COUNTIFS(Jira!$L:$L,$A104,Jira!$M:$M,"Closed"))</f>
        <v/>
      </c>
      <c r="J104" s="29" t="str">
        <f aca="false">IF($A104="","",COUNTIFS(Jira!$L:$L,$A104,Jira!$P:$P,"Critical")+COUNTIFS(Jira!$L:$L,$A104,Jira!$P:$P,"Warning"))</f>
        <v/>
      </c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4"/>
      <c r="H105" s="29" t="str">
        <f aca="false">IF($A105="","",COUNTIFS(Inventory!$D:$D,$A105,Inventory!$K:$K,"Open")+COUNTIFS(Inventory!$D:$D,$A105,Inventory!$K:$K,"Unconfirmed"))</f>
        <v/>
      </c>
      <c r="I105" s="29" t="str">
        <f aca="false">IF($A105="","",COUNTIFS(Jira!$L:$L,$A105)-COUNTIFS(Jira!$L:$L,$A105,Jira!$M:$M,"Closed"))</f>
        <v/>
      </c>
      <c r="J105" s="29" t="str">
        <f aca="false">IF($A105="","",COUNTIFS(Jira!$L:$L,$A105,Jira!$P:$P,"Critical")+COUNTIFS(Jira!$L:$L,$A105,Jira!$P:$P,"Warning"))</f>
        <v/>
      </c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4"/>
      <c r="H106" s="29" t="str">
        <f aca="false">IF($A106="","",COUNTIFS(Inventory!$D:$D,$A106,Inventory!$K:$K,"Open")+COUNTIFS(Inventory!$D:$D,$A106,Inventory!$K:$K,"Unconfirmed"))</f>
        <v/>
      </c>
      <c r="I106" s="29" t="str">
        <f aca="false">IF($A106="","",COUNTIFS(Jira!$L:$L,$A106)-COUNTIFS(Jira!$L:$L,$A106,Jira!$M:$M,"Closed"))</f>
        <v/>
      </c>
      <c r="J106" s="29" t="str">
        <f aca="false">IF($A106="","",COUNTIFS(Jira!$L:$L,$A106,Jira!$P:$P,"Critical")+COUNTIFS(Jira!$L:$L,$A106,Jira!$P:$P,"Warning"))</f>
        <v/>
      </c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4"/>
      <c r="H107" s="29" t="str">
        <f aca="false">IF($A107="","",COUNTIFS(Inventory!$D:$D,$A107,Inventory!$K:$K,"Open")+COUNTIFS(Inventory!$D:$D,$A107,Inventory!$K:$K,"Unconfirmed"))</f>
        <v/>
      </c>
      <c r="I107" s="29" t="str">
        <f aca="false">IF($A107="","",COUNTIFS(Jira!$L:$L,$A107)-COUNTIFS(Jira!$L:$L,$A107,Jira!$M:$M,"Closed"))</f>
        <v/>
      </c>
      <c r="J107" s="29" t="str">
        <f aca="false">IF($A107="","",COUNTIFS(Jira!$L:$L,$A107,Jira!$P:$P,"Critical")+COUNTIFS(Jira!$L:$L,$A107,Jira!$P:$P,"Warning"))</f>
        <v/>
      </c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4"/>
      <c r="H108" s="29" t="str">
        <f aca="false">IF($A108="","",COUNTIFS(Inventory!$D:$D,$A108,Inventory!$K:$K,"Open")+COUNTIFS(Inventory!$D:$D,$A108,Inventory!$K:$K,"Unconfirmed"))</f>
        <v/>
      </c>
      <c r="I108" s="29" t="str">
        <f aca="false">IF($A108="","",COUNTIFS(Jira!$L:$L,$A108)-COUNTIFS(Jira!$L:$L,$A108,Jira!$M:$M,"Closed"))</f>
        <v/>
      </c>
      <c r="J108" s="29" t="str">
        <f aca="false">IF($A108="","",COUNTIFS(Jira!$L:$L,$A108,Jira!$P:$P,"Critical")+COUNTIFS(Jira!$L:$L,$A108,Jira!$P:$P,"Warning"))</f>
        <v/>
      </c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4"/>
      <c r="H109" s="29" t="str">
        <f aca="false">IF($A109="","",COUNTIFS(Inventory!$D:$D,$A109,Inventory!$K:$K,"Open")+COUNTIFS(Inventory!$D:$D,$A109,Inventory!$K:$K,"Unconfirmed"))</f>
        <v/>
      </c>
      <c r="I109" s="29" t="str">
        <f aca="false">IF($A109="","",COUNTIFS(Jira!$L:$L,$A109)-COUNTIFS(Jira!$L:$L,$A109,Jira!$M:$M,"Closed"))</f>
        <v/>
      </c>
      <c r="J109" s="29" t="str">
        <f aca="false">IF($A109="","",COUNTIFS(Jira!$L:$L,$A109,Jira!$P:$P,"Critical")+COUNTIFS(Jira!$L:$L,$A109,Jira!$P:$P,"Warning"))</f>
        <v/>
      </c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4"/>
      <c r="H110" s="29" t="str">
        <f aca="false">IF($A110="","",COUNTIFS(Inventory!$D:$D,$A110,Inventory!$K:$K,"Open")+COUNTIFS(Inventory!$D:$D,$A110,Inventory!$K:$K,"Unconfirmed"))</f>
        <v/>
      </c>
      <c r="I110" s="29" t="str">
        <f aca="false">IF($A110="","",COUNTIFS(Jira!$L:$L,$A110)-COUNTIFS(Jira!$L:$L,$A110,Jira!$M:$M,"Closed"))</f>
        <v/>
      </c>
      <c r="J110" s="29" t="str">
        <f aca="false">IF($A110="","",COUNTIFS(Jira!$L:$L,$A110,Jira!$P:$P,"Critical")+COUNTIFS(Jira!$L:$L,$A110,Jira!$P:$P,"Warning"))</f>
        <v/>
      </c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4"/>
      <c r="H111" s="29" t="str">
        <f aca="false">IF($A111="","",COUNTIFS(Inventory!$D:$D,$A111,Inventory!$K:$K,"Open")+COUNTIFS(Inventory!$D:$D,$A111,Inventory!$K:$K,"Unconfirmed"))</f>
        <v/>
      </c>
      <c r="I111" s="29" t="str">
        <f aca="false">IF($A111="","",COUNTIFS(Jira!$L:$L,$A111)-COUNTIFS(Jira!$L:$L,$A111,Jira!$M:$M,"Closed"))</f>
        <v/>
      </c>
      <c r="J111" s="29" t="str">
        <f aca="false">IF($A111="","",COUNTIFS(Jira!$L:$L,$A111,Jira!$P:$P,"Critical")+COUNTIFS(Jira!$L:$L,$A111,Jira!$P:$P,"Warning"))</f>
        <v/>
      </c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4"/>
      <c r="H112" s="29" t="str">
        <f aca="false">IF($A112="","",COUNTIFS(Inventory!$D:$D,$A112,Inventory!$K:$K,"Open")+COUNTIFS(Inventory!$D:$D,$A112,Inventory!$K:$K,"Unconfirmed"))</f>
        <v/>
      </c>
      <c r="I112" s="29" t="str">
        <f aca="false">IF($A112="","",COUNTIFS(Jira!$L:$L,$A112)-COUNTIFS(Jira!$L:$L,$A112,Jira!$M:$M,"Closed"))</f>
        <v/>
      </c>
      <c r="J112" s="29" t="str">
        <f aca="false">IF($A112="","",COUNTIFS(Jira!$L:$L,$A112,Jira!$P:$P,"Critical")+COUNTIFS(Jira!$L:$L,$A112,Jira!$P:$P,"Warning"))</f>
        <v/>
      </c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4"/>
      <c r="H113" s="29" t="str">
        <f aca="false">IF($A113="","",COUNTIFS(Inventory!$D:$D,$A113,Inventory!$K:$K,"Open")+COUNTIFS(Inventory!$D:$D,$A113,Inventory!$K:$K,"Unconfirmed"))</f>
        <v/>
      </c>
      <c r="I113" s="29" t="str">
        <f aca="false">IF($A113="","",COUNTIFS(Jira!$L:$L,$A113)-COUNTIFS(Jira!$L:$L,$A113,Jira!$M:$M,"Closed"))</f>
        <v/>
      </c>
      <c r="J113" s="29" t="str">
        <f aca="false">IF($A113="","",COUNTIFS(Jira!$L:$L,$A113,Jira!$P:$P,"Critical")+COUNTIFS(Jira!$L:$L,$A113,Jira!$P:$P,"Warning"))</f>
        <v/>
      </c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4"/>
      <c r="H114" s="29" t="str">
        <f aca="false">IF($A114="","",COUNTIFS(Inventory!$D:$D,$A114,Inventory!$K:$K,"Open")+COUNTIFS(Inventory!$D:$D,$A114,Inventory!$K:$K,"Unconfirmed"))</f>
        <v/>
      </c>
      <c r="I114" s="29" t="str">
        <f aca="false">IF($A114="","",COUNTIFS(Jira!$L:$L,$A114)-COUNTIFS(Jira!$L:$L,$A114,Jira!$M:$M,"Closed"))</f>
        <v/>
      </c>
      <c r="J114" s="29" t="str">
        <f aca="false">IF($A114="","",COUNTIFS(Jira!$L:$L,$A114,Jira!$P:$P,"Critical")+COUNTIFS(Jira!$L:$L,$A114,Jira!$P:$P,"Warning"))</f>
        <v/>
      </c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4"/>
      <c r="H115" s="29" t="str">
        <f aca="false">IF($A115="","",COUNTIFS(Inventory!$D:$D,$A115,Inventory!$K:$K,"Open")+COUNTIFS(Inventory!$D:$D,$A115,Inventory!$K:$K,"Unconfirmed"))</f>
        <v/>
      </c>
      <c r="I115" s="29" t="str">
        <f aca="false">IF($A115="","",COUNTIFS(Jira!$L:$L,$A115)-COUNTIFS(Jira!$L:$L,$A115,Jira!$M:$M,"Closed"))</f>
        <v/>
      </c>
      <c r="J115" s="29" t="str">
        <f aca="false">IF($A115="","",COUNTIFS(Jira!$L:$L,$A115,Jira!$P:$P,"Critical")+COUNTIFS(Jira!$L:$L,$A115,Jira!$P:$P,"Warning"))</f>
        <v/>
      </c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4"/>
      <c r="H116" s="29" t="str">
        <f aca="false">IF($A116="","",COUNTIFS(Inventory!$D:$D,$A116,Inventory!$K:$K,"Open")+COUNTIFS(Inventory!$D:$D,$A116,Inventory!$K:$K,"Unconfirmed"))</f>
        <v/>
      </c>
      <c r="I116" s="29" t="str">
        <f aca="false">IF($A116="","",COUNTIFS(Jira!$L:$L,$A116)-COUNTIFS(Jira!$L:$L,$A116,Jira!$M:$M,"Closed"))</f>
        <v/>
      </c>
      <c r="J116" s="29" t="str">
        <f aca="false">IF($A116="","",COUNTIFS(Jira!$L:$L,$A116,Jira!$P:$P,"Critical")+COUNTIFS(Jira!$L:$L,$A116,Jira!$P:$P,"Warning"))</f>
        <v/>
      </c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4"/>
      <c r="H117" s="29" t="str">
        <f aca="false">IF($A117="","",COUNTIFS(Inventory!$D:$D,$A117,Inventory!$K:$K,"Open")+COUNTIFS(Inventory!$D:$D,$A117,Inventory!$K:$K,"Unconfirmed"))</f>
        <v/>
      </c>
      <c r="I117" s="29" t="str">
        <f aca="false">IF($A117="","",COUNTIFS(Jira!$L:$L,$A117)-COUNTIFS(Jira!$L:$L,$A117,Jira!$M:$M,"Closed"))</f>
        <v/>
      </c>
      <c r="J117" s="29" t="str">
        <f aca="false">IF($A117="","",COUNTIFS(Jira!$L:$L,$A117,Jira!$P:$P,"Critical")+COUNTIFS(Jira!$L:$L,$A117,Jira!$P:$P,"Warning"))</f>
        <v/>
      </c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4"/>
      <c r="H118" s="29" t="str">
        <f aca="false">IF($A118="","",COUNTIFS(Inventory!$D:$D,$A118,Inventory!$K:$K,"Open")+COUNTIFS(Inventory!$D:$D,$A118,Inventory!$K:$K,"Unconfirmed"))</f>
        <v/>
      </c>
      <c r="I118" s="29" t="str">
        <f aca="false">IF($A118="","",COUNTIFS(Jira!$L:$L,$A118)-COUNTIFS(Jira!$L:$L,$A118,Jira!$M:$M,"Closed"))</f>
        <v/>
      </c>
      <c r="J118" s="29" t="str">
        <f aca="false">IF($A118="","",COUNTIFS(Jira!$L:$L,$A118,Jira!$P:$P,"Critical")+COUNTIFS(Jira!$L:$L,$A118,Jira!$P:$P,"Warning"))</f>
        <v/>
      </c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4"/>
      <c r="H119" s="29" t="str">
        <f aca="false">IF($A119="","",COUNTIFS(Inventory!$D:$D,$A119,Inventory!$K:$K,"Open")+COUNTIFS(Inventory!$D:$D,$A119,Inventory!$K:$K,"Unconfirmed"))</f>
        <v/>
      </c>
      <c r="I119" s="29" t="str">
        <f aca="false">IF($A119="","",COUNTIFS(Jira!$L:$L,$A119)-COUNTIFS(Jira!$L:$L,$A119,Jira!$M:$M,"Closed"))</f>
        <v/>
      </c>
      <c r="J119" s="29" t="str">
        <f aca="false">IF($A119="","",COUNTIFS(Jira!$L:$L,$A119,Jira!$P:$P,"Critical")+COUNTIFS(Jira!$L:$L,$A119,Jira!$P:$P,"Warning"))</f>
        <v/>
      </c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4"/>
      <c r="H120" s="29" t="str">
        <f aca="false">IF($A120="","",COUNTIFS(Inventory!$D:$D,$A120,Inventory!$K:$K,"Open")+COUNTIFS(Inventory!$D:$D,$A120,Inventory!$K:$K,"Unconfirmed"))</f>
        <v/>
      </c>
      <c r="I120" s="29" t="str">
        <f aca="false">IF($A120="","",COUNTIFS(Jira!$L:$L,$A120)-COUNTIFS(Jira!$L:$L,$A120,Jira!$M:$M,"Closed"))</f>
        <v/>
      </c>
      <c r="J120" s="29" t="str">
        <f aca="false">IF($A120="","",COUNTIFS(Jira!$L:$L,$A120,Jira!$P:$P,"Critical")+COUNTIFS(Jira!$L:$L,$A120,Jira!$P:$P,"Warning"))</f>
        <v/>
      </c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4"/>
      <c r="H121" s="29" t="str">
        <f aca="false">IF($A121="","",COUNTIFS(Inventory!$D:$D,$A121,Inventory!$K:$K,"Open")+COUNTIFS(Inventory!$D:$D,$A121,Inventory!$K:$K,"Unconfirmed"))</f>
        <v/>
      </c>
      <c r="I121" s="29" t="str">
        <f aca="false">IF($A121="","",COUNTIFS(Jira!$L:$L,$A121)-COUNTIFS(Jira!$L:$L,$A121,Jira!$M:$M,"Closed"))</f>
        <v/>
      </c>
      <c r="J121" s="29" t="str">
        <f aca="false">IF($A121="","",COUNTIFS(Jira!$L:$L,$A121,Jira!$P:$P,"Critical")+COUNTIFS(Jira!$L:$L,$A121,Jira!$P:$P,"Warning"))</f>
        <v/>
      </c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4"/>
      <c r="H122" s="29" t="str">
        <f aca="false">IF($A122="","",COUNTIFS(Inventory!$D:$D,$A122,Inventory!$K:$K,"Open")+COUNTIFS(Inventory!$D:$D,$A122,Inventory!$K:$K,"Unconfirmed"))</f>
        <v/>
      </c>
      <c r="I122" s="29" t="str">
        <f aca="false">IF($A122="","",COUNTIFS(Jira!$L:$L,$A122)-COUNTIFS(Jira!$L:$L,$A122,Jira!$M:$M,"Closed"))</f>
        <v/>
      </c>
      <c r="J122" s="29" t="str">
        <f aca="false">IF($A122="","",COUNTIFS(Jira!$L:$L,$A122,Jira!$P:$P,"Critical")+COUNTIFS(Jira!$L:$L,$A122,Jira!$P:$P,"Warning"))</f>
        <v/>
      </c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4"/>
      <c r="H123" s="29" t="str">
        <f aca="false">IF($A123="","",COUNTIFS(Inventory!$D:$D,$A123,Inventory!$K:$K,"Open")+COUNTIFS(Inventory!$D:$D,$A123,Inventory!$K:$K,"Unconfirmed"))</f>
        <v/>
      </c>
      <c r="I123" s="29" t="str">
        <f aca="false">IF($A123="","",COUNTIFS(Jira!$L:$L,$A123)-COUNTIFS(Jira!$L:$L,$A123,Jira!$M:$M,"Closed"))</f>
        <v/>
      </c>
      <c r="J123" s="29" t="str">
        <f aca="false">IF($A123="","",COUNTIFS(Jira!$L:$L,$A123,Jira!$P:$P,"Critical")+COUNTIFS(Jira!$L:$L,$A123,Jira!$P:$P,"Warning"))</f>
        <v/>
      </c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4"/>
      <c r="H124" s="29" t="str">
        <f aca="false">IF($A124="","",COUNTIFS(Inventory!$D:$D,$A124,Inventory!$K:$K,"Open")+COUNTIFS(Inventory!$D:$D,$A124,Inventory!$K:$K,"Unconfirmed"))</f>
        <v/>
      </c>
      <c r="I124" s="29" t="str">
        <f aca="false">IF($A124="","",COUNTIFS(Jira!$L:$L,$A124)-COUNTIFS(Jira!$L:$L,$A124,Jira!$M:$M,"Closed"))</f>
        <v/>
      </c>
      <c r="J124" s="29" t="str">
        <f aca="false">IF($A124="","",COUNTIFS(Jira!$L:$L,$A124,Jira!$P:$P,"Critical")+COUNTIFS(Jira!$L:$L,$A124,Jira!$P:$P,"Warning"))</f>
        <v/>
      </c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4"/>
      <c r="H125" s="29" t="str">
        <f aca="false">IF($A125="","",COUNTIFS(Inventory!$D:$D,$A125,Inventory!$K:$K,"Open")+COUNTIFS(Inventory!$D:$D,$A125,Inventory!$K:$K,"Unconfirmed"))</f>
        <v/>
      </c>
      <c r="I125" s="29" t="str">
        <f aca="false">IF($A125="","",COUNTIFS(Jira!$L:$L,$A125)-COUNTIFS(Jira!$L:$L,$A125,Jira!$M:$M,"Closed"))</f>
        <v/>
      </c>
      <c r="J125" s="29" t="str">
        <f aca="false">IF($A125="","",COUNTIFS(Jira!$L:$L,$A125,Jira!$P:$P,"Critical")+COUNTIFS(Jira!$L:$L,$A125,Jira!$P:$P,"Warning"))</f>
        <v/>
      </c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4"/>
      <c r="H126" s="29" t="str">
        <f aca="false">IF($A126="","",COUNTIFS(Inventory!$D:$D,$A126,Inventory!$K:$K,"Open")+COUNTIFS(Inventory!$D:$D,$A126,Inventory!$K:$K,"Unconfirmed"))</f>
        <v/>
      </c>
      <c r="I126" s="29" t="str">
        <f aca="false">IF($A126="","",COUNTIFS(Jira!$L:$L,$A126)-COUNTIFS(Jira!$L:$L,$A126,Jira!$M:$M,"Closed"))</f>
        <v/>
      </c>
      <c r="J126" s="29" t="str">
        <f aca="false">IF($A126="","",COUNTIFS(Jira!$L:$L,$A126,Jira!$P:$P,"Critical")+COUNTIFS(Jira!$L:$L,$A126,Jira!$P:$P,"Warning"))</f>
        <v/>
      </c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4"/>
      <c r="H127" s="29" t="str">
        <f aca="false">IF($A127="","",COUNTIFS(Inventory!$D:$D,$A127,Inventory!$K:$K,"Open")+COUNTIFS(Inventory!$D:$D,$A127,Inventory!$K:$K,"Unconfirmed"))</f>
        <v/>
      </c>
      <c r="I127" s="29" t="str">
        <f aca="false">IF($A127="","",COUNTIFS(Jira!$L:$L,$A127)-COUNTIFS(Jira!$L:$L,$A127,Jira!$M:$M,"Closed"))</f>
        <v/>
      </c>
      <c r="J127" s="29" t="str">
        <f aca="false">IF($A127="","",COUNTIFS(Jira!$L:$L,$A127,Jira!$P:$P,"Critical")+COUNTIFS(Jira!$L:$L,$A127,Jira!$P:$P,"Warning"))</f>
        <v/>
      </c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4"/>
      <c r="H128" s="29" t="str">
        <f aca="false">IF($A128="","",COUNTIFS(Inventory!$D:$D,$A128,Inventory!$K:$K,"Open")+COUNTIFS(Inventory!$D:$D,$A128,Inventory!$K:$K,"Unconfirmed"))</f>
        <v/>
      </c>
      <c r="I128" s="29" t="str">
        <f aca="false">IF($A128="","",COUNTIFS(Jira!$L:$L,$A128)-COUNTIFS(Jira!$L:$L,$A128,Jira!$M:$M,"Closed"))</f>
        <v/>
      </c>
      <c r="J128" s="29" t="str">
        <f aca="false">IF($A128="","",COUNTIFS(Jira!$L:$L,$A128,Jira!$P:$P,"Critical")+COUNTIFS(Jira!$L:$L,$A128,Jira!$P:$P,"Warning"))</f>
        <v/>
      </c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4"/>
      <c r="H129" s="29" t="str">
        <f aca="false">IF($A129="","",COUNTIFS(Inventory!$D:$D,$A129,Inventory!$K:$K,"Open")+COUNTIFS(Inventory!$D:$D,$A129,Inventory!$K:$K,"Unconfirmed"))</f>
        <v/>
      </c>
      <c r="I129" s="29" t="str">
        <f aca="false">IF($A129="","",COUNTIFS(Jira!$L:$L,$A129)-COUNTIFS(Jira!$L:$L,$A129,Jira!$M:$M,"Closed"))</f>
        <v/>
      </c>
      <c r="J129" s="29" t="str">
        <f aca="false">IF($A129="","",COUNTIFS(Jira!$L:$L,$A129,Jira!$P:$P,"Critical")+COUNTIFS(Jira!$L:$L,$A129,Jira!$P:$P,"Warning"))</f>
        <v/>
      </c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4"/>
      <c r="H130" s="29" t="str">
        <f aca="false">IF($A130="","",COUNTIFS(Inventory!$D:$D,$A130,Inventory!$K:$K,"Open")+COUNTIFS(Inventory!$D:$D,$A130,Inventory!$K:$K,"Unconfirmed"))</f>
        <v/>
      </c>
      <c r="I130" s="29" t="str">
        <f aca="false">IF($A130="","",COUNTIFS(Jira!$L:$L,$A130)-COUNTIFS(Jira!$L:$L,$A130,Jira!$M:$M,"Closed"))</f>
        <v/>
      </c>
      <c r="J130" s="29" t="str">
        <f aca="false">IF($A130="","",COUNTIFS(Jira!$L:$L,$A130,Jira!$P:$P,"Critical")+COUNTIFS(Jira!$L:$L,$A130,Jira!$P:$P,"Warning"))</f>
        <v/>
      </c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4"/>
      <c r="H131" s="29" t="str">
        <f aca="false">IF($A131="","",COUNTIFS(Inventory!$D:$D,$A131,Inventory!$K:$K,"Open")+COUNTIFS(Inventory!$D:$D,$A131,Inventory!$K:$K,"Unconfirmed"))</f>
        <v/>
      </c>
      <c r="I131" s="29" t="str">
        <f aca="false">IF($A131="","",COUNTIFS(Jira!$L:$L,$A131)-COUNTIFS(Jira!$L:$L,$A131,Jira!$M:$M,"Closed"))</f>
        <v/>
      </c>
      <c r="J131" s="29" t="str">
        <f aca="false">IF($A131="","",COUNTIFS(Jira!$L:$L,$A131,Jira!$P:$P,"Critical")+COUNTIFS(Jira!$L:$L,$A131,Jira!$P:$P,"Warning"))</f>
        <v/>
      </c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4"/>
      <c r="H132" s="29" t="str">
        <f aca="false">IF($A132="","",COUNTIFS(Inventory!$D:$D,$A132,Inventory!$K:$K,"Open")+COUNTIFS(Inventory!$D:$D,$A132,Inventory!$K:$K,"Unconfirmed"))</f>
        <v/>
      </c>
      <c r="I132" s="29" t="str">
        <f aca="false">IF($A132="","",COUNTIFS(Jira!$L:$L,$A132)-COUNTIFS(Jira!$L:$L,$A132,Jira!$M:$M,"Closed"))</f>
        <v/>
      </c>
      <c r="J132" s="29" t="str">
        <f aca="false">IF($A132="","",COUNTIFS(Jira!$L:$L,$A132,Jira!$P:$P,"Critical")+COUNTIFS(Jira!$L:$L,$A132,Jira!$P:$P,"Warning"))</f>
        <v/>
      </c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4"/>
      <c r="H133" s="29" t="str">
        <f aca="false">IF($A133="","",COUNTIFS(Inventory!$D:$D,$A133,Inventory!$K:$K,"Open")+COUNTIFS(Inventory!$D:$D,$A133,Inventory!$K:$K,"Unconfirmed"))</f>
        <v/>
      </c>
      <c r="I133" s="29" t="str">
        <f aca="false">IF($A133="","",COUNTIFS(Jira!$L:$L,$A133)-COUNTIFS(Jira!$L:$L,$A133,Jira!$M:$M,"Closed"))</f>
        <v/>
      </c>
      <c r="J133" s="29" t="str">
        <f aca="false">IF($A133="","",COUNTIFS(Jira!$L:$L,$A133,Jira!$P:$P,"Critical")+COUNTIFS(Jira!$L:$L,$A133,Jira!$P:$P,"Warning"))</f>
        <v/>
      </c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4"/>
      <c r="H134" s="29" t="str">
        <f aca="false">IF($A134="","",COUNTIFS(Inventory!$D:$D,$A134,Inventory!$K:$K,"Open")+COUNTIFS(Inventory!$D:$D,$A134,Inventory!$K:$K,"Unconfirmed"))</f>
        <v/>
      </c>
      <c r="I134" s="29" t="str">
        <f aca="false">IF($A134="","",COUNTIFS(Jira!$L:$L,$A134)-COUNTIFS(Jira!$L:$L,$A134,Jira!$M:$M,"Closed"))</f>
        <v/>
      </c>
      <c r="J134" s="29" t="str">
        <f aca="false">IF($A134="","",COUNTIFS(Jira!$L:$L,$A134,Jira!$P:$P,"Critical")+COUNTIFS(Jira!$L:$L,$A134,Jira!$P:$P,"Warning"))</f>
        <v/>
      </c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4"/>
      <c r="H135" s="29" t="str">
        <f aca="false">IF($A135="","",COUNTIFS(Inventory!$D:$D,$A135,Inventory!$K:$K,"Open")+COUNTIFS(Inventory!$D:$D,$A135,Inventory!$K:$K,"Unconfirmed"))</f>
        <v/>
      </c>
      <c r="I135" s="29" t="str">
        <f aca="false">IF($A135="","",COUNTIFS(Jira!$L:$L,$A135)-COUNTIFS(Jira!$L:$L,$A135,Jira!$M:$M,"Closed"))</f>
        <v/>
      </c>
      <c r="J135" s="29" t="str">
        <f aca="false">IF($A135="","",COUNTIFS(Jira!$L:$L,$A135,Jira!$P:$P,"Critical")+COUNTIFS(Jira!$L:$L,$A135,Jira!$P:$P,"Warning"))</f>
        <v/>
      </c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4"/>
      <c r="H136" s="29" t="str">
        <f aca="false">IF($A136="","",COUNTIFS(Inventory!$D:$D,$A136,Inventory!$K:$K,"Open")+COUNTIFS(Inventory!$D:$D,$A136,Inventory!$K:$K,"Unconfirmed"))</f>
        <v/>
      </c>
      <c r="I136" s="29" t="str">
        <f aca="false">IF($A136="","",COUNTIFS(Jira!$L:$L,$A136)-COUNTIFS(Jira!$L:$L,$A136,Jira!$M:$M,"Closed"))</f>
        <v/>
      </c>
      <c r="J136" s="29" t="str">
        <f aca="false">IF($A136="","",COUNTIFS(Jira!$L:$L,$A136,Jira!$P:$P,"Critical")+COUNTIFS(Jira!$L:$L,$A136,Jira!$P:$P,"Warning"))</f>
        <v/>
      </c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4"/>
      <c r="H137" s="29" t="str">
        <f aca="false">IF($A137="","",COUNTIFS(Inventory!$D:$D,$A137,Inventory!$K:$K,"Open")+COUNTIFS(Inventory!$D:$D,$A137,Inventory!$K:$K,"Unconfirmed"))</f>
        <v/>
      </c>
      <c r="I137" s="29" t="str">
        <f aca="false">IF($A137="","",COUNTIFS(Jira!$L:$L,$A137)-COUNTIFS(Jira!$L:$L,$A137,Jira!$M:$M,"Closed"))</f>
        <v/>
      </c>
      <c r="J137" s="29" t="str">
        <f aca="false">IF($A137="","",COUNTIFS(Jira!$L:$L,$A137,Jira!$P:$P,"Critical")+COUNTIFS(Jira!$L:$L,$A137,Jira!$P:$P,"Warning"))</f>
        <v/>
      </c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4"/>
      <c r="H138" s="29" t="str">
        <f aca="false">IF($A138="","",COUNTIFS(Inventory!$D:$D,$A138,Inventory!$K:$K,"Open")+COUNTIFS(Inventory!$D:$D,$A138,Inventory!$K:$K,"Unconfirmed"))</f>
        <v/>
      </c>
      <c r="I138" s="29" t="str">
        <f aca="false">IF($A138="","",COUNTIFS(Jira!$L:$L,$A138)-COUNTIFS(Jira!$L:$L,$A138,Jira!$M:$M,"Closed"))</f>
        <v/>
      </c>
      <c r="J138" s="29" t="str">
        <f aca="false">IF($A138="","",COUNTIFS(Jira!$L:$L,$A138,Jira!$P:$P,"Critical")+COUNTIFS(Jira!$L:$L,$A138,Jira!$P:$P,"Warning"))</f>
        <v/>
      </c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4"/>
      <c r="H139" s="29" t="str">
        <f aca="false">IF($A139="","",COUNTIFS(Inventory!$D:$D,$A139,Inventory!$K:$K,"Open")+COUNTIFS(Inventory!$D:$D,$A139,Inventory!$K:$K,"Unconfirmed"))</f>
        <v/>
      </c>
      <c r="I139" s="29" t="str">
        <f aca="false">IF($A139="","",COUNTIFS(Jira!$L:$L,$A139)-COUNTIFS(Jira!$L:$L,$A139,Jira!$M:$M,"Closed"))</f>
        <v/>
      </c>
      <c r="J139" s="29" t="str">
        <f aca="false">IF($A139="","",COUNTIFS(Jira!$L:$L,$A139,Jira!$P:$P,"Critical")+COUNTIFS(Jira!$L:$L,$A139,Jira!$P:$P,"Warning"))</f>
        <v/>
      </c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4"/>
      <c r="H140" s="29" t="str">
        <f aca="false">IF($A140="","",COUNTIFS(Inventory!$D:$D,$A140,Inventory!$K:$K,"Open")+COUNTIFS(Inventory!$D:$D,$A140,Inventory!$K:$K,"Unconfirmed"))</f>
        <v/>
      </c>
      <c r="I140" s="29" t="str">
        <f aca="false">IF($A140="","",COUNTIFS(Jira!$L:$L,$A140)-COUNTIFS(Jira!$L:$L,$A140,Jira!$M:$M,"Closed"))</f>
        <v/>
      </c>
      <c r="J140" s="29" t="str">
        <f aca="false">IF($A140="","",COUNTIFS(Jira!$L:$L,$A140,Jira!$P:$P,"Critical")+COUNTIFS(Jira!$L:$L,$A140,Jira!$P:$P,"Warning"))</f>
        <v/>
      </c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4"/>
      <c r="H141" s="29" t="str">
        <f aca="false">IF($A141="","",COUNTIFS(Inventory!$D:$D,$A141,Inventory!$K:$K,"Open")+COUNTIFS(Inventory!$D:$D,$A141,Inventory!$K:$K,"Unconfirmed"))</f>
        <v/>
      </c>
      <c r="I141" s="29" t="str">
        <f aca="false">IF($A141="","",COUNTIFS(Jira!$L:$L,$A141)-COUNTIFS(Jira!$L:$L,$A141,Jira!$M:$M,"Closed"))</f>
        <v/>
      </c>
      <c r="J141" s="29" t="str">
        <f aca="false">IF($A141="","",COUNTIFS(Jira!$L:$L,$A141,Jira!$P:$P,"Critical")+COUNTIFS(Jira!$L:$L,$A141,Jira!$P:$P,"Warning"))</f>
        <v/>
      </c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4"/>
      <c r="H142" s="29" t="str">
        <f aca="false">IF($A142="","",COUNTIFS(Inventory!$D:$D,$A142,Inventory!$K:$K,"Open")+COUNTIFS(Inventory!$D:$D,$A142,Inventory!$K:$K,"Unconfirmed"))</f>
        <v/>
      </c>
      <c r="I142" s="29" t="str">
        <f aca="false">IF($A142="","",COUNTIFS(Jira!$L:$L,$A142)-COUNTIFS(Jira!$L:$L,$A142,Jira!$M:$M,"Closed"))</f>
        <v/>
      </c>
      <c r="J142" s="29" t="str">
        <f aca="false">IF($A142="","",COUNTIFS(Jira!$L:$L,$A142,Jira!$P:$P,"Critical")+COUNTIFS(Jira!$L:$L,$A142,Jira!$P:$P,"Warning"))</f>
        <v/>
      </c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4"/>
      <c r="H143" s="29" t="str">
        <f aca="false">IF($A143="","",COUNTIFS(Inventory!$D:$D,$A143,Inventory!$K:$K,"Open")+COUNTIFS(Inventory!$D:$D,$A143,Inventory!$K:$K,"Unconfirmed"))</f>
        <v/>
      </c>
      <c r="I143" s="29" t="str">
        <f aca="false">IF($A143="","",COUNTIFS(Jira!$L:$L,$A143)-COUNTIFS(Jira!$L:$L,$A143,Jira!$M:$M,"Closed"))</f>
        <v/>
      </c>
      <c r="J143" s="29" t="str">
        <f aca="false">IF($A143="","",COUNTIFS(Jira!$L:$L,$A143,Jira!$P:$P,"Critical")+COUNTIFS(Jira!$L:$L,$A143,Jira!$P:$P,"Warning"))</f>
        <v/>
      </c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4"/>
      <c r="H144" s="29" t="str">
        <f aca="false">IF($A144="","",COUNTIFS(Inventory!$D:$D,$A144,Inventory!$K:$K,"Open")+COUNTIFS(Inventory!$D:$D,$A144,Inventory!$K:$K,"Unconfirmed"))</f>
        <v/>
      </c>
      <c r="I144" s="29" t="str">
        <f aca="false">IF($A144="","",COUNTIFS(Jira!$L:$L,$A144)-COUNTIFS(Jira!$L:$L,$A144,Jira!$M:$M,"Closed"))</f>
        <v/>
      </c>
      <c r="J144" s="29" t="str">
        <f aca="false">IF($A144="","",COUNTIFS(Jira!$L:$L,$A144,Jira!$P:$P,"Critical")+COUNTIFS(Jira!$L:$L,$A144,Jira!$P:$P,"Warning"))</f>
        <v/>
      </c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4"/>
      <c r="H145" s="29" t="str">
        <f aca="false">IF($A145="","",COUNTIFS(Inventory!$D:$D,$A145,Inventory!$K:$K,"Open")+COUNTIFS(Inventory!$D:$D,$A145,Inventory!$K:$K,"Unconfirmed"))</f>
        <v/>
      </c>
      <c r="I145" s="29" t="str">
        <f aca="false">IF($A145="","",COUNTIFS(Jira!$L:$L,$A145)-COUNTIFS(Jira!$L:$L,$A145,Jira!$M:$M,"Closed"))</f>
        <v/>
      </c>
      <c r="J145" s="29" t="str">
        <f aca="false">IF($A145="","",COUNTIFS(Jira!$L:$L,$A145,Jira!$P:$P,"Critical")+COUNTIFS(Jira!$L:$L,$A145,Jira!$P:$P,"Warning"))</f>
        <v/>
      </c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4"/>
      <c r="H146" s="29" t="str">
        <f aca="false">IF($A146="","",COUNTIFS(Inventory!$D:$D,$A146,Inventory!$K:$K,"Open")+COUNTIFS(Inventory!$D:$D,$A146,Inventory!$K:$K,"Unconfirmed"))</f>
        <v/>
      </c>
      <c r="I146" s="29" t="str">
        <f aca="false">IF($A146="","",COUNTIFS(Jira!$L:$L,$A146)-COUNTIFS(Jira!$L:$L,$A146,Jira!$M:$M,"Closed"))</f>
        <v/>
      </c>
      <c r="J146" s="29" t="str">
        <f aca="false">IF($A146="","",COUNTIFS(Jira!$L:$L,$A146,Jira!$P:$P,"Critical")+COUNTIFS(Jira!$L:$L,$A146,Jira!$P:$P,"Warning"))</f>
        <v/>
      </c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4"/>
      <c r="H147" s="29" t="str">
        <f aca="false">IF($A147="","",COUNTIFS(Inventory!$D:$D,$A147,Inventory!$K:$K,"Open")+COUNTIFS(Inventory!$D:$D,$A147,Inventory!$K:$K,"Unconfirmed"))</f>
        <v/>
      </c>
      <c r="I147" s="29" t="str">
        <f aca="false">IF($A147="","",COUNTIFS(Jira!$L:$L,$A147)-COUNTIFS(Jira!$L:$L,$A147,Jira!$M:$M,"Closed"))</f>
        <v/>
      </c>
      <c r="J147" s="29" t="str">
        <f aca="false">IF($A147="","",COUNTIFS(Jira!$L:$L,$A147,Jira!$P:$P,"Critical")+COUNTIFS(Jira!$L:$L,$A147,Jira!$P:$P,"Warning"))</f>
        <v/>
      </c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4"/>
      <c r="H148" s="29" t="str">
        <f aca="false">IF($A148="","",COUNTIFS(Inventory!$D:$D,$A148,Inventory!$K:$K,"Open")+COUNTIFS(Inventory!$D:$D,$A148,Inventory!$K:$K,"Unconfirmed"))</f>
        <v/>
      </c>
      <c r="I148" s="29" t="str">
        <f aca="false">IF($A148="","",COUNTIFS(Jira!$L:$L,$A148)-COUNTIFS(Jira!$L:$L,$A148,Jira!$M:$M,"Closed"))</f>
        <v/>
      </c>
      <c r="J148" s="29" t="str">
        <f aca="false">IF($A148="","",COUNTIFS(Jira!$L:$L,$A148,Jira!$P:$P,"Critical")+COUNTIFS(Jira!$L:$L,$A148,Jira!$P:$P,"Warning"))</f>
        <v/>
      </c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4"/>
      <c r="H149" s="29" t="str">
        <f aca="false">IF($A149="","",COUNTIFS(Inventory!$D:$D,$A149,Inventory!$K:$K,"Open")+COUNTIFS(Inventory!$D:$D,$A149,Inventory!$K:$K,"Unconfirmed"))</f>
        <v/>
      </c>
      <c r="I149" s="29" t="str">
        <f aca="false">IF($A149="","",COUNTIFS(Jira!$L:$L,$A149)-COUNTIFS(Jira!$L:$L,$A149,Jira!$M:$M,"Closed"))</f>
        <v/>
      </c>
      <c r="J149" s="29" t="str">
        <f aca="false">IF($A149="","",COUNTIFS(Jira!$L:$L,$A149,Jira!$P:$P,"Critical")+COUNTIFS(Jira!$L:$L,$A149,Jira!$P:$P,"Warning"))</f>
        <v/>
      </c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4"/>
      <c r="H150" s="29" t="str">
        <f aca="false">IF($A150="","",COUNTIFS(Inventory!$D:$D,$A150,Inventory!$K:$K,"Open")+COUNTIFS(Inventory!$D:$D,$A150,Inventory!$K:$K,"Unconfirmed"))</f>
        <v/>
      </c>
      <c r="I150" s="29" t="str">
        <f aca="false">IF($A150="","",COUNTIFS(Jira!$L:$L,$A150)-COUNTIFS(Jira!$L:$L,$A150,Jira!$M:$M,"Closed"))</f>
        <v/>
      </c>
      <c r="J150" s="29" t="str">
        <f aca="false">IF($A150="","",COUNTIFS(Jira!$L:$L,$A150,Jira!$P:$P,"Critical")+COUNTIFS(Jira!$L:$L,$A150,Jira!$P:$P,"Warning"))</f>
        <v/>
      </c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4"/>
      <c r="H151" s="29" t="str">
        <f aca="false">IF($A151="","",COUNTIFS(Inventory!$D:$D,$A151,Inventory!$K:$K,"Open")+COUNTIFS(Inventory!$D:$D,$A151,Inventory!$K:$K,"Unconfirmed"))</f>
        <v/>
      </c>
      <c r="I151" s="29" t="str">
        <f aca="false">IF($A151="","",COUNTIFS(Jira!$L:$L,$A151)-COUNTIFS(Jira!$L:$L,$A151,Jira!$M:$M,"Closed"))</f>
        <v/>
      </c>
      <c r="J151" s="29" t="str">
        <f aca="false">IF($A151="","",COUNTIFS(Jira!$L:$L,$A151,Jira!$P:$P,"Critical")+COUNTIFS(Jira!$L:$L,$A151,Jira!$P:$P,"Warning"))</f>
        <v/>
      </c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4"/>
      <c r="H152" s="29" t="str">
        <f aca="false">IF($A152="","",COUNTIFS(Inventory!$D:$D,$A152,Inventory!$K:$K,"Open")+COUNTIFS(Inventory!$D:$D,$A152,Inventory!$K:$K,"Unconfirmed"))</f>
        <v/>
      </c>
      <c r="I152" s="29" t="str">
        <f aca="false">IF($A152="","",COUNTIFS(Jira!$L:$L,$A152)-COUNTIFS(Jira!$L:$L,$A152,Jira!$M:$M,"Closed"))</f>
        <v/>
      </c>
      <c r="J152" s="29" t="str">
        <f aca="false">IF($A152="","",COUNTIFS(Jira!$L:$L,$A152,Jira!$P:$P,"Critical")+COUNTIFS(Jira!$L:$L,$A152,Jira!$P:$P,"Warning"))</f>
        <v/>
      </c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4"/>
      <c r="H153" s="29" t="str">
        <f aca="false">IF($A153="","",COUNTIFS(Inventory!$D:$D,$A153,Inventory!$K:$K,"Open")+COUNTIFS(Inventory!$D:$D,$A153,Inventory!$K:$K,"Unconfirmed"))</f>
        <v/>
      </c>
      <c r="I153" s="29" t="str">
        <f aca="false">IF($A153="","",COUNTIFS(Jira!$L:$L,$A153)-COUNTIFS(Jira!$L:$L,$A153,Jira!$M:$M,"Closed"))</f>
        <v/>
      </c>
      <c r="J153" s="29" t="str">
        <f aca="false">IF($A153="","",COUNTIFS(Jira!$L:$L,$A153,Jira!$P:$P,"Critical")+COUNTIFS(Jira!$L:$L,$A153,Jira!$P:$P,"Warning"))</f>
        <v/>
      </c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4"/>
      <c r="H154" s="29" t="str">
        <f aca="false">IF($A154="","",COUNTIFS(Inventory!$D:$D,$A154,Inventory!$K:$K,"Open")+COUNTIFS(Inventory!$D:$D,$A154,Inventory!$K:$K,"Unconfirmed"))</f>
        <v/>
      </c>
      <c r="I154" s="29" t="str">
        <f aca="false">IF($A154="","",COUNTIFS(Jira!$L:$L,$A154)-COUNTIFS(Jira!$L:$L,$A154,Jira!$M:$M,"Closed"))</f>
        <v/>
      </c>
      <c r="J154" s="29" t="str">
        <f aca="false">IF($A154="","",COUNTIFS(Jira!$L:$L,$A154,Jira!$P:$P,"Critical")+COUNTIFS(Jira!$L:$L,$A154,Jira!$P:$P,"Warning"))</f>
        <v/>
      </c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4"/>
      <c r="H155" s="29" t="str">
        <f aca="false">IF($A155="","",COUNTIFS(Inventory!$D:$D,$A155,Inventory!$K:$K,"Open")+COUNTIFS(Inventory!$D:$D,$A155,Inventory!$K:$K,"Unconfirmed"))</f>
        <v/>
      </c>
      <c r="I155" s="29" t="str">
        <f aca="false">IF($A155="","",COUNTIFS(Jira!$L:$L,$A155)-COUNTIFS(Jira!$L:$L,$A155,Jira!$M:$M,"Closed"))</f>
        <v/>
      </c>
      <c r="J155" s="29" t="str">
        <f aca="false">IF($A155="","",COUNTIFS(Jira!$L:$L,$A155,Jira!$P:$P,"Critical")+COUNTIFS(Jira!$L:$L,$A155,Jira!$P:$P,"Warning"))</f>
        <v/>
      </c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4"/>
      <c r="H156" s="29" t="str">
        <f aca="false">IF($A156="","",COUNTIFS(Inventory!$D:$D,$A156,Inventory!$K:$K,"Open")+COUNTIFS(Inventory!$D:$D,$A156,Inventory!$K:$K,"Unconfirmed"))</f>
        <v/>
      </c>
      <c r="I156" s="29" t="str">
        <f aca="false">IF($A156="","",COUNTIFS(Jira!$L:$L,$A156)-COUNTIFS(Jira!$L:$L,$A156,Jira!$M:$M,"Closed"))</f>
        <v/>
      </c>
      <c r="J156" s="29" t="str">
        <f aca="false">IF($A156="","",COUNTIFS(Jira!$L:$L,$A156,Jira!$P:$P,"Critical")+COUNTIFS(Jira!$L:$L,$A156,Jira!$P:$P,"Warning"))</f>
        <v/>
      </c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4"/>
      <c r="H157" s="29" t="str">
        <f aca="false">IF($A157="","",COUNTIFS(Inventory!$D:$D,$A157,Inventory!$K:$K,"Open")+COUNTIFS(Inventory!$D:$D,$A157,Inventory!$K:$K,"Unconfirmed"))</f>
        <v/>
      </c>
      <c r="I157" s="29" t="str">
        <f aca="false">IF($A157="","",COUNTIFS(Jira!$L:$L,$A157)-COUNTIFS(Jira!$L:$L,$A157,Jira!$M:$M,"Closed"))</f>
        <v/>
      </c>
      <c r="J157" s="29" t="str">
        <f aca="false">IF($A157="","",COUNTIFS(Jira!$L:$L,$A157,Jira!$P:$P,"Critical")+COUNTIFS(Jira!$L:$L,$A157,Jira!$P:$P,"Warning"))</f>
        <v/>
      </c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4"/>
      <c r="H158" s="29" t="str">
        <f aca="false">IF($A158="","",COUNTIFS(Inventory!$D:$D,$A158,Inventory!$K:$K,"Open")+COUNTIFS(Inventory!$D:$D,$A158,Inventory!$K:$K,"Unconfirmed"))</f>
        <v/>
      </c>
      <c r="I158" s="29" t="str">
        <f aca="false">IF($A158="","",COUNTIFS(Jira!$L:$L,$A158)-COUNTIFS(Jira!$L:$L,$A158,Jira!$M:$M,"Closed"))</f>
        <v/>
      </c>
      <c r="J158" s="29" t="str">
        <f aca="false">IF($A158="","",COUNTIFS(Jira!$L:$L,$A158,Jira!$P:$P,"Critical")+COUNTIFS(Jira!$L:$L,$A158,Jira!$P:$P,"Warning"))</f>
        <v/>
      </c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4"/>
      <c r="H159" s="29" t="str">
        <f aca="false">IF($A159="","",COUNTIFS(Inventory!$D:$D,$A159,Inventory!$K:$K,"Open")+COUNTIFS(Inventory!$D:$D,$A159,Inventory!$K:$K,"Unconfirmed"))</f>
        <v/>
      </c>
      <c r="I159" s="29" t="str">
        <f aca="false">IF($A159="","",COUNTIFS(Jira!$L:$L,$A159)-COUNTIFS(Jira!$L:$L,$A159,Jira!$M:$M,"Closed"))</f>
        <v/>
      </c>
      <c r="J159" s="29" t="str">
        <f aca="false">IF($A159="","",COUNTIFS(Jira!$L:$L,$A159,Jira!$P:$P,"Critical")+COUNTIFS(Jira!$L:$L,$A159,Jira!$P:$P,"Warning"))</f>
        <v/>
      </c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4"/>
      <c r="H160" s="29" t="str">
        <f aca="false">IF($A160="","",COUNTIFS(Inventory!$D:$D,$A160,Inventory!$K:$K,"Open")+COUNTIFS(Inventory!$D:$D,$A160,Inventory!$K:$K,"Unconfirmed"))</f>
        <v/>
      </c>
      <c r="I160" s="29" t="str">
        <f aca="false">IF($A160="","",COUNTIFS(Jira!$L:$L,$A160)-COUNTIFS(Jira!$L:$L,$A160,Jira!$M:$M,"Closed"))</f>
        <v/>
      </c>
      <c r="J160" s="29" t="str">
        <f aca="false">IF($A160="","",COUNTIFS(Jira!$L:$L,$A160,Jira!$P:$P,"Critical")+COUNTIFS(Jira!$L:$L,$A160,Jira!$P:$P,"Warning"))</f>
        <v/>
      </c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4"/>
      <c r="H161" s="29" t="str">
        <f aca="false">IF($A161="","",COUNTIFS(Inventory!$D:$D,$A161,Inventory!$K:$K,"Open")+COUNTIFS(Inventory!$D:$D,$A161,Inventory!$K:$K,"Unconfirmed"))</f>
        <v/>
      </c>
      <c r="I161" s="29" t="str">
        <f aca="false">IF($A161="","",COUNTIFS(Jira!$L:$L,$A161)-COUNTIFS(Jira!$L:$L,$A161,Jira!$M:$M,"Closed"))</f>
        <v/>
      </c>
      <c r="J161" s="29" t="str">
        <f aca="false">IF($A161="","",COUNTIFS(Jira!$L:$L,$A161,Jira!$P:$P,"Critical")+COUNTIFS(Jira!$L:$L,$A161,Jira!$P:$P,"Warning"))</f>
        <v/>
      </c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4"/>
      <c r="H162" s="29" t="str">
        <f aca="false">IF($A162="","",COUNTIFS(Inventory!$D:$D,$A162,Inventory!$K:$K,"Open")+COUNTIFS(Inventory!$D:$D,$A162,Inventory!$K:$K,"Unconfirmed"))</f>
        <v/>
      </c>
      <c r="I162" s="29" t="str">
        <f aca="false">IF($A162="","",COUNTIFS(Jira!$L:$L,$A162)-COUNTIFS(Jira!$L:$L,$A162,Jira!$M:$M,"Closed"))</f>
        <v/>
      </c>
      <c r="J162" s="29" t="str">
        <f aca="false">IF($A162="","",COUNTIFS(Jira!$L:$L,$A162,Jira!$P:$P,"Critical")+COUNTIFS(Jira!$L:$L,$A162,Jira!$P:$P,"Warning"))</f>
        <v/>
      </c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4"/>
      <c r="H163" s="29" t="str">
        <f aca="false">IF($A163="","",COUNTIFS(Inventory!$D:$D,$A163,Inventory!$K:$K,"Open")+COUNTIFS(Inventory!$D:$D,$A163,Inventory!$K:$K,"Unconfirmed"))</f>
        <v/>
      </c>
      <c r="I163" s="29" t="str">
        <f aca="false">IF($A163="","",COUNTIFS(Jira!$L:$L,$A163)-COUNTIFS(Jira!$L:$L,$A163,Jira!$M:$M,"Closed"))</f>
        <v/>
      </c>
      <c r="J163" s="29" t="str">
        <f aca="false">IF($A163="","",COUNTIFS(Jira!$L:$L,$A163,Jira!$P:$P,"Critical")+COUNTIFS(Jira!$L:$L,$A163,Jira!$P:$P,"Warning"))</f>
        <v/>
      </c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4"/>
      <c r="H164" s="29" t="str">
        <f aca="false">IF($A164="","",COUNTIFS(Inventory!$D:$D,$A164,Inventory!$K:$K,"Open")+COUNTIFS(Inventory!$D:$D,$A164,Inventory!$K:$K,"Unconfirmed"))</f>
        <v/>
      </c>
      <c r="I164" s="29" t="str">
        <f aca="false">IF($A164="","",COUNTIFS(Jira!$L:$L,$A164)-COUNTIFS(Jira!$L:$L,$A164,Jira!$M:$M,"Closed"))</f>
        <v/>
      </c>
      <c r="J164" s="29" t="str">
        <f aca="false">IF($A164="","",COUNTIFS(Jira!$L:$L,$A164,Jira!$P:$P,"Critical")+COUNTIFS(Jira!$L:$L,$A164,Jira!$P:$P,"Warning"))</f>
        <v/>
      </c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4"/>
      <c r="H165" s="29" t="str">
        <f aca="false">IF($A165="","",COUNTIFS(Inventory!$D:$D,$A165,Inventory!$K:$K,"Open")+COUNTIFS(Inventory!$D:$D,$A165,Inventory!$K:$K,"Unconfirmed"))</f>
        <v/>
      </c>
      <c r="I165" s="29" t="str">
        <f aca="false">IF($A165="","",COUNTIFS(Jira!$L:$L,$A165)-COUNTIFS(Jira!$L:$L,$A165,Jira!$M:$M,"Closed"))</f>
        <v/>
      </c>
      <c r="J165" s="29" t="str">
        <f aca="false">IF($A165="","",COUNTIFS(Jira!$L:$L,$A165,Jira!$P:$P,"Critical")+COUNTIFS(Jira!$L:$L,$A165,Jira!$P:$P,"Warning"))</f>
        <v/>
      </c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4"/>
      <c r="H166" s="29" t="str">
        <f aca="false">IF($A166="","",COUNTIFS(Inventory!$D:$D,$A166,Inventory!$K:$K,"Open")+COUNTIFS(Inventory!$D:$D,$A166,Inventory!$K:$K,"Unconfirmed"))</f>
        <v/>
      </c>
      <c r="I166" s="29" t="str">
        <f aca="false">IF($A166="","",COUNTIFS(Jira!$L:$L,$A166)-COUNTIFS(Jira!$L:$L,$A166,Jira!$M:$M,"Closed"))</f>
        <v/>
      </c>
      <c r="J166" s="29" t="str">
        <f aca="false">IF($A166="","",COUNTIFS(Jira!$L:$L,$A166,Jira!$P:$P,"Critical")+COUNTIFS(Jira!$L:$L,$A166,Jira!$P:$P,"Warning"))</f>
        <v/>
      </c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4"/>
      <c r="H167" s="29" t="str">
        <f aca="false">IF($A167="","",COUNTIFS(Inventory!$D:$D,$A167,Inventory!$K:$K,"Open")+COUNTIFS(Inventory!$D:$D,$A167,Inventory!$K:$K,"Unconfirmed"))</f>
        <v/>
      </c>
      <c r="I167" s="29" t="str">
        <f aca="false">IF($A167="","",COUNTIFS(Jira!$L:$L,$A167)-COUNTIFS(Jira!$L:$L,$A167,Jira!$M:$M,"Closed"))</f>
        <v/>
      </c>
      <c r="J167" s="29" t="str">
        <f aca="false">IF($A167="","",COUNTIFS(Jira!$L:$L,$A167,Jira!$P:$P,"Critical")+COUNTIFS(Jira!$L:$L,$A167,Jira!$P:$P,"Warning"))</f>
        <v/>
      </c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4"/>
      <c r="H168" s="29" t="str">
        <f aca="false">IF($A168="","",COUNTIFS(Inventory!$D:$D,$A168,Inventory!$K:$K,"Open")+COUNTIFS(Inventory!$D:$D,$A168,Inventory!$K:$K,"Unconfirmed"))</f>
        <v/>
      </c>
      <c r="I168" s="29" t="str">
        <f aca="false">IF($A168="","",COUNTIFS(Jira!$L:$L,$A168)-COUNTIFS(Jira!$L:$L,$A168,Jira!$M:$M,"Closed"))</f>
        <v/>
      </c>
      <c r="J168" s="29" t="str">
        <f aca="false">IF($A168="","",COUNTIFS(Jira!$L:$L,$A168,Jira!$P:$P,"Critical")+COUNTIFS(Jira!$L:$L,$A168,Jira!$P:$P,"Warning"))</f>
        <v/>
      </c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4"/>
      <c r="H169" s="29" t="str">
        <f aca="false">IF($A169="","",COUNTIFS(Inventory!$D:$D,$A169,Inventory!$K:$K,"Open")+COUNTIFS(Inventory!$D:$D,$A169,Inventory!$K:$K,"Unconfirmed"))</f>
        <v/>
      </c>
      <c r="I169" s="29" t="str">
        <f aca="false">IF($A169="","",COUNTIFS(Jira!$L:$L,$A169)-COUNTIFS(Jira!$L:$L,$A169,Jira!$M:$M,"Closed"))</f>
        <v/>
      </c>
      <c r="J169" s="29" t="str">
        <f aca="false">IF($A169="","",COUNTIFS(Jira!$L:$L,$A169,Jira!$P:$P,"Critical")+COUNTIFS(Jira!$L:$L,$A169,Jira!$P:$P,"Warning"))</f>
        <v/>
      </c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4"/>
      <c r="H170" s="29" t="str">
        <f aca="false">IF($A170="","",COUNTIFS(Inventory!$D:$D,$A170,Inventory!$K:$K,"Open")+COUNTIFS(Inventory!$D:$D,$A170,Inventory!$K:$K,"Unconfirmed"))</f>
        <v/>
      </c>
      <c r="I170" s="29" t="str">
        <f aca="false">IF($A170="","",COUNTIFS(Jira!$L:$L,$A170)-COUNTIFS(Jira!$L:$L,$A170,Jira!$M:$M,"Closed"))</f>
        <v/>
      </c>
      <c r="J170" s="29" t="str">
        <f aca="false">IF($A170="","",COUNTIFS(Jira!$L:$L,$A170,Jira!$P:$P,"Critical")+COUNTIFS(Jira!$L:$L,$A170,Jira!$P:$P,"Warning"))</f>
        <v/>
      </c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4"/>
      <c r="H171" s="29" t="str">
        <f aca="false">IF($A171="","",COUNTIFS(Inventory!$D:$D,$A171,Inventory!$K:$K,"Open")+COUNTIFS(Inventory!$D:$D,$A171,Inventory!$K:$K,"Unconfirmed"))</f>
        <v/>
      </c>
      <c r="I171" s="29" t="str">
        <f aca="false">IF($A171="","",COUNTIFS(Jira!$L:$L,$A171)-COUNTIFS(Jira!$L:$L,$A171,Jira!$M:$M,"Closed"))</f>
        <v/>
      </c>
      <c r="J171" s="29" t="str">
        <f aca="false">IF($A171="","",COUNTIFS(Jira!$L:$L,$A171,Jira!$P:$P,"Critical")+COUNTIFS(Jira!$L:$L,$A171,Jira!$P:$P,"Warning"))</f>
        <v/>
      </c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4"/>
      <c r="H172" s="29" t="str">
        <f aca="false">IF($A172="","",COUNTIFS(Inventory!$D:$D,$A172,Inventory!$K:$K,"Open")+COUNTIFS(Inventory!$D:$D,$A172,Inventory!$K:$K,"Unconfirmed"))</f>
        <v/>
      </c>
      <c r="I172" s="29" t="str">
        <f aca="false">IF($A172="","",COUNTIFS(Jira!$L:$L,$A172)-COUNTIFS(Jira!$L:$L,$A172,Jira!$M:$M,"Closed"))</f>
        <v/>
      </c>
      <c r="J172" s="29" t="str">
        <f aca="false">IF($A172="","",COUNTIFS(Jira!$L:$L,$A172,Jira!$P:$P,"Critical")+COUNTIFS(Jira!$L:$L,$A172,Jira!$P:$P,"Warning"))</f>
        <v/>
      </c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4"/>
      <c r="H173" s="29" t="str">
        <f aca="false">IF($A173="","",COUNTIFS(Inventory!$D:$D,$A173,Inventory!$K:$K,"Open")+COUNTIFS(Inventory!$D:$D,$A173,Inventory!$K:$K,"Unconfirmed"))</f>
        <v/>
      </c>
      <c r="I173" s="29" t="str">
        <f aca="false">IF($A173="","",COUNTIFS(Jira!$L:$L,$A173)-COUNTIFS(Jira!$L:$L,$A173,Jira!$M:$M,"Closed"))</f>
        <v/>
      </c>
      <c r="J173" s="29" t="str">
        <f aca="false">IF($A173="","",COUNTIFS(Jira!$L:$L,$A173,Jira!$P:$P,"Critical")+COUNTIFS(Jira!$L:$L,$A173,Jira!$P:$P,"Warning"))</f>
        <v/>
      </c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4"/>
      <c r="H174" s="29" t="str">
        <f aca="false">IF($A174="","",COUNTIFS(Inventory!$D:$D,$A174,Inventory!$K:$K,"Open")+COUNTIFS(Inventory!$D:$D,$A174,Inventory!$K:$K,"Unconfirmed"))</f>
        <v/>
      </c>
      <c r="I174" s="29" t="str">
        <f aca="false">IF($A174="","",COUNTIFS(Jira!$L:$L,$A174)-COUNTIFS(Jira!$L:$L,$A174,Jira!$M:$M,"Closed"))</f>
        <v/>
      </c>
      <c r="J174" s="29" t="str">
        <f aca="false">IF($A174="","",COUNTIFS(Jira!$L:$L,$A174,Jira!$P:$P,"Critical")+COUNTIFS(Jira!$L:$L,$A174,Jira!$P:$P,"Warning"))</f>
        <v/>
      </c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4"/>
      <c r="H175" s="29" t="str">
        <f aca="false">IF($A175="","",COUNTIFS(Inventory!$D:$D,$A175,Inventory!$K:$K,"Open")+COUNTIFS(Inventory!$D:$D,$A175,Inventory!$K:$K,"Unconfirmed"))</f>
        <v/>
      </c>
      <c r="I175" s="29" t="str">
        <f aca="false">IF($A175="","",COUNTIFS(Jira!$L:$L,$A175)-COUNTIFS(Jira!$L:$L,$A175,Jira!$M:$M,"Closed"))</f>
        <v/>
      </c>
      <c r="J175" s="29" t="str">
        <f aca="false">IF($A175="","",COUNTIFS(Jira!$L:$L,$A175,Jira!$P:$P,"Critical")+COUNTIFS(Jira!$L:$L,$A175,Jira!$P:$P,"Warning"))</f>
        <v/>
      </c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4"/>
      <c r="H176" s="29" t="str">
        <f aca="false">IF($A176="","",COUNTIFS(Inventory!$D:$D,$A176,Inventory!$K:$K,"Open")+COUNTIFS(Inventory!$D:$D,$A176,Inventory!$K:$K,"Unconfirmed"))</f>
        <v/>
      </c>
      <c r="I176" s="29" t="str">
        <f aca="false">IF($A176="","",COUNTIFS(Jira!$L:$L,$A176)-COUNTIFS(Jira!$L:$L,$A176,Jira!$M:$M,"Closed"))</f>
        <v/>
      </c>
      <c r="J176" s="29" t="str">
        <f aca="false">IF($A176="","",COUNTIFS(Jira!$L:$L,$A176,Jira!$P:$P,"Critical")+COUNTIFS(Jira!$L:$L,$A176,Jira!$P:$P,"Warning"))</f>
        <v/>
      </c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4"/>
      <c r="H177" s="29" t="str">
        <f aca="false">IF($A177="","",COUNTIFS(Inventory!$D:$D,$A177,Inventory!$K:$K,"Open")+COUNTIFS(Inventory!$D:$D,$A177,Inventory!$K:$K,"Unconfirmed"))</f>
        <v/>
      </c>
      <c r="I177" s="29" t="str">
        <f aca="false">IF($A177="","",COUNTIFS(Jira!$L:$L,$A177)-COUNTIFS(Jira!$L:$L,$A177,Jira!$M:$M,"Closed"))</f>
        <v/>
      </c>
      <c r="J177" s="29" t="str">
        <f aca="false">IF($A177="","",COUNTIFS(Jira!$L:$L,$A177,Jira!$P:$P,"Critical")+COUNTIFS(Jira!$L:$L,$A177,Jira!$P:$P,"Warning"))</f>
        <v/>
      </c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4"/>
      <c r="H178" s="29" t="str">
        <f aca="false">IF($A178="","",COUNTIFS(Inventory!$D:$D,$A178,Inventory!$K:$K,"Open")+COUNTIFS(Inventory!$D:$D,$A178,Inventory!$K:$K,"Unconfirmed"))</f>
        <v/>
      </c>
      <c r="I178" s="29" t="str">
        <f aca="false">IF($A178="","",COUNTIFS(Jira!$L:$L,$A178)-COUNTIFS(Jira!$L:$L,$A178,Jira!$M:$M,"Closed"))</f>
        <v/>
      </c>
      <c r="J178" s="29" t="str">
        <f aca="false">IF($A178="","",COUNTIFS(Jira!$L:$L,$A178,Jira!$P:$P,"Critical")+COUNTIFS(Jira!$L:$L,$A178,Jira!$P:$P,"Warning"))</f>
        <v/>
      </c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4"/>
      <c r="H179" s="29" t="str">
        <f aca="false">IF($A179="","",COUNTIFS(Inventory!$D:$D,$A179,Inventory!$K:$K,"Open")+COUNTIFS(Inventory!$D:$D,$A179,Inventory!$K:$K,"Unconfirmed"))</f>
        <v/>
      </c>
      <c r="I179" s="29" t="str">
        <f aca="false">IF($A179="","",COUNTIFS(Jira!$L:$L,$A179)-COUNTIFS(Jira!$L:$L,$A179,Jira!$M:$M,"Closed"))</f>
        <v/>
      </c>
      <c r="J179" s="29" t="str">
        <f aca="false">IF($A179="","",COUNTIFS(Jira!$L:$L,$A179,Jira!$P:$P,"Critical")+COUNTIFS(Jira!$L:$L,$A179,Jira!$P:$P,"Warning"))</f>
        <v/>
      </c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4"/>
      <c r="H180" s="29" t="str">
        <f aca="false">IF($A180="","",COUNTIFS(Inventory!$D:$D,$A180,Inventory!$K:$K,"Open")+COUNTIFS(Inventory!$D:$D,$A180,Inventory!$K:$K,"Unconfirmed"))</f>
        <v/>
      </c>
      <c r="I180" s="29" t="str">
        <f aca="false">IF($A180="","",COUNTIFS(Jira!$L:$L,$A180)-COUNTIFS(Jira!$L:$L,$A180,Jira!$M:$M,"Closed"))</f>
        <v/>
      </c>
      <c r="J180" s="29" t="str">
        <f aca="false">IF($A180="","",COUNTIFS(Jira!$L:$L,$A180,Jira!$P:$P,"Critical")+COUNTIFS(Jira!$L:$L,$A180,Jira!$P:$P,"Warning"))</f>
        <v/>
      </c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4"/>
      <c r="H181" s="29" t="str">
        <f aca="false">IF($A181="","",COUNTIFS(Inventory!$D:$D,$A181,Inventory!$K:$K,"Open")+COUNTIFS(Inventory!$D:$D,$A181,Inventory!$K:$K,"Unconfirmed"))</f>
        <v/>
      </c>
      <c r="I181" s="29" t="str">
        <f aca="false">IF($A181="","",COUNTIFS(Jira!$L:$L,$A181)-COUNTIFS(Jira!$L:$L,$A181,Jira!$M:$M,"Closed"))</f>
        <v/>
      </c>
      <c r="J181" s="29" t="str">
        <f aca="false">IF($A181="","",COUNTIFS(Jira!$L:$L,$A181,Jira!$P:$P,"Critical")+COUNTIFS(Jira!$L:$L,$A181,Jira!$P:$P,"Warning"))</f>
        <v/>
      </c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4"/>
      <c r="H182" s="29" t="str">
        <f aca="false">IF($A182="","",COUNTIFS(Inventory!$D:$D,$A182,Inventory!$K:$K,"Open")+COUNTIFS(Inventory!$D:$D,$A182,Inventory!$K:$K,"Unconfirmed"))</f>
        <v/>
      </c>
      <c r="I182" s="29" t="str">
        <f aca="false">IF($A182="","",COUNTIFS(Jira!$L:$L,$A182)-COUNTIFS(Jira!$L:$L,$A182,Jira!$M:$M,"Closed"))</f>
        <v/>
      </c>
      <c r="J182" s="29" t="str">
        <f aca="false">IF($A182="","",COUNTIFS(Jira!$L:$L,$A182,Jira!$P:$P,"Critical")+COUNTIFS(Jira!$L:$L,$A182,Jira!$P:$P,"Warning"))</f>
        <v/>
      </c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4"/>
      <c r="H183" s="29" t="str">
        <f aca="false">IF($A183="","",COUNTIFS(Inventory!$D:$D,$A183,Inventory!$K:$K,"Open")+COUNTIFS(Inventory!$D:$D,$A183,Inventory!$K:$K,"Unconfirmed"))</f>
        <v/>
      </c>
      <c r="I183" s="29" t="str">
        <f aca="false">IF($A183="","",COUNTIFS(Jira!$L:$L,$A183)-COUNTIFS(Jira!$L:$L,$A183,Jira!$M:$M,"Closed"))</f>
        <v/>
      </c>
      <c r="J183" s="29" t="str">
        <f aca="false">IF($A183="","",COUNTIFS(Jira!$L:$L,$A183,Jira!$P:$P,"Critical")+COUNTIFS(Jira!$L:$L,$A183,Jira!$P:$P,"Warning"))</f>
        <v/>
      </c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4"/>
      <c r="H184" s="29" t="str">
        <f aca="false">IF($A184="","",COUNTIFS(Inventory!$D:$D,$A184,Inventory!$K:$K,"Open")+COUNTIFS(Inventory!$D:$D,$A184,Inventory!$K:$K,"Unconfirmed"))</f>
        <v/>
      </c>
      <c r="I184" s="29" t="str">
        <f aca="false">IF($A184="","",COUNTIFS(Jira!$L:$L,$A184)-COUNTIFS(Jira!$L:$L,$A184,Jira!$M:$M,"Closed"))</f>
        <v/>
      </c>
      <c r="J184" s="29" t="str">
        <f aca="false">IF($A184="","",COUNTIFS(Jira!$L:$L,$A184,Jira!$P:$P,"Critical")+COUNTIFS(Jira!$L:$L,$A184,Jira!$P:$P,"Warning"))</f>
        <v/>
      </c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4"/>
      <c r="H185" s="29" t="str">
        <f aca="false">IF($A185="","",COUNTIFS(Inventory!$D:$D,$A185,Inventory!$K:$K,"Open")+COUNTIFS(Inventory!$D:$D,$A185,Inventory!$K:$K,"Unconfirmed"))</f>
        <v/>
      </c>
      <c r="I185" s="29" t="str">
        <f aca="false">IF($A185="","",COUNTIFS(Jira!$L:$L,$A185)-COUNTIFS(Jira!$L:$L,$A185,Jira!$M:$M,"Closed"))</f>
        <v/>
      </c>
      <c r="J185" s="29" t="str">
        <f aca="false">IF($A185="","",COUNTIFS(Jira!$L:$L,$A185,Jira!$P:$P,"Critical")+COUNTIFS(Jira!$L:$L,$A185,Jira!$P:$P,"Warning"))</f>
        <v/>
      </c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4"/>
      <c r="H186" s="29" t="str">
        <f aca="false">IF($A186="","",COUNTIFS(Inventory!$D:$D,$A186,Inventory!$K:$K,"Open")+COUNTIFS(Inventory!$D:$D,$A186,Inventory!$K:$K,"Unconfirmed"))</f>
        <v/>
      </c>
      <c r="I186" s="29" t="str">
        <f aca="false">IF($A186="","",COUNTIFS(Jira!$L:$L,$A186)-COUNTIFS(Jira!$L:$L,$A186,Jira!$M:$M,"Closed"))</f>
        <v/>
      </c>
      <c r="J186" s="29" t="str">
        <f aca="false">IF($A186="","",COUNTIFS(Jira!$L:$L,$A186,Jira!$P:$P,"Critical")+COUNTIFS(Jira!$L:$L,$A186,Jira!$P:$P,"Warning"))</f>
        <v/>
      </c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4"/>
      <c r="H187" s="29" t="str">
        <f aca="false">IF($A187="","",COUNTIFS(Inventory!$D:$D,$A187,Inventory!$K:$K,"Open")+COUNTIFS(Inventory!$D:$D,$A187,Inventory!$K:$K,"Unconfirmed"))</f>
        <v/>
      </c>
      <c r="I187" s="29" t="str">
        <f aca="false">IF($A187="","",COUNTIFS(Jira!$L:$L,$A187)-COUNTIFS(Jira!$L:$L,$A187,Jira!$M:$M,"Closed"))</f>
        <v/>
      </c>
      <c r="J187" s="29" t="str">
        <f aca="false">IF($A187="","",COUNTIFS(Jira!$L:$L,$A187,Jira!$P:$P,"Critical")+COUNTIFS(Jira!$L:$L,$A187,Jira!$P:$P,"Warning"))</f>
        <v/>
      </c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4"/>
      <c r="H188" s="29" t="str">
        <f aca="false">IF($A188="","",COUNTIFS(Inventory!$D:$D,$A188,Inventory!$K:$K,"Open")+COUNTIFS(Inventory!$D:$D,$A188,Inventory!$K:$K,"Unconfirmed"))</f>
        <v/>
      </c>
      <c r="I188" s="29" t="str">
        <f aca="false">IF($A188="","",COUNTIFS(Jira!$L:$L,$A188)-COUNTIFS(Jira!$L:$L,$A188,Jira!$M:$M,"Closed"))</f>
        <v/>
      </c>
      <c r="J188" s="29" t="str">
        <f aca="false">IF($A188="","",COUNTIFS(Jira!$L:$L,$A188,Jira!$P:$P,"Critical")+COUNTIFS(Jira!$L:$L,$A188,Jira!$P:$P,"Warning"))</f>
        <v/>
      </c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4"/>
      <c r="H189" s="29" t="str">
        <f aca="false">IF($A189="","",COUNTIFS(Inventory!$D:$D,$A189,Inventory!$K:$K,"Open")+COUNTIFS(Inventory!$D:$D,$A189,Inventory!$K:$K,"Unconfirmed"))</f>
        <v/>
      </c>
      <c r="I189" s="29" t="str">
        <f aca="false">IF($A189="","",COUNTIFS(Jira!$L:$L,$A189)-COUNTIFS(Jira!$L:$L,$A189,Jira!$M:$M,"Closed"))</f>
        <v/>
      </c>
      <c r="J189" s="29" t="str">
        <f aca="false">IF($A189="","",COUNTIFS(Jira!$L:$L,$A189,Jira!$P:$P,"Critical")+COUNTIFS(Jira!$L:$L,$A189,Jira!$P:$P,"Warning"))</f>
        <v/>
      </c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4"/>
      <c r="H190" s="29" t="str">
        <f aca="false">IF($A190="","",COUNTIFS(Inventory!$D:$D,$A190,Inventory!$K:$K,"Open")+COUNTIFS(Inventory!$D:$D,$A190,Inventory!$K:$K,"Unconfirmed"))</f>
        <v/>
      </c>
      <c r="I190" s="29" t="str">
        <f aca="false">IF($A190="","",COUNTIFS(Jira!$L:$L,$A190)-COUNTIFS(Jira!$L:$L,$A190,Jira!$M:$M,"Closed"))</f>
        <v/>
      </c>
      <c r="J190" s="29" t="str">
        <f aca="false">IF($A190="","",COUNTIFS(Jira!$L:$L,$A190,Jira!$P:$P,"Critical")+COUNTIFS(Jira!$L:$L,$A190,Jira!$P:$P,"Warning"))</f>
        <v/>
      </c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4"/>
      <c r="H191" s="29" t="str">
        <f aca="false">IF($A191="","",COUNTIFS(Inventory!$D:$D,$A191,Inventory!$K:$K,"Open")+COUNTIFS(Inventory!$D:$D,$A191,Inventory!$K:$K,"Unconfirmed"))</f>
        <v/>
      </c>
      <c r="I191" s="29" t="str">
        <f aca="false">IF($A191="","",COUNTIFS(Jira!$L:$L,$A191)-COUNTIFS(Jira!$L:$L,$A191,Jira!$M:$M,"Closed"))</f>
        <v/>
      </c>
      <c r="J191" s="29" t="str">
        <f aca="false">IF($A191="","",COUNTIFS(Jira!$L:$L,$A191,Jira!$P:$P,"Critical")+COUNTIFS(Jira!$L:$L,$A191,Jira!$P:$P,"Warning"))</f>
        <v/>
      </c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4"/>
      <c r="H192" s="29" t="str">
        <f aca="false">IF($A192="","",COUNTIFS(Inventory!$D:$D,$A192,Inventory!$K:$K,"Open")+COUNTIFS(Inventory!$D:$D,$A192,Inventory!$K:$K,"Unconfirmed"))</f>
        <v/>
      </c>
      <c r="I192" s="29" t="str">
        <f aca="false">IF($A192="","",COUNTIFS(Jira!$L:$L,$A192)-COUNTIFS(Jira!$L:$L,$A192,Jira!$M:$M,"Closed"))</f>
        <v/>
      </c>
      <c r="J192" s="29" t="str">
        <f aca="false">IF($A192="","",COUNTIFS(Jira!$L:$L,$A192,Jira!$P:$P,"Critical")+COUNTIFS(Jira!$L:$L,$A192,Jira!$P:$P,"Warning"))</f>
        <v/>
      </c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4"/>
      <c r="H193" s="29" t="str">
        <f aca="false">IF($A193="","",COUNTIFS(Inventory!$D:$D,$A193,Inventory!$K:$K,"Open")+COUNTIFS(Inventory!$D:$D,$A193,Inventory!$K:$K,"Unconfirmed"))</f>
        <v/>
      </c>
      <c r="I193" s="29" t="str">
        <f aca="false">IF($A193="","",COUNTIFS(Jira!$L:$L,$A193)-COUNTIFS(Jira!$L:$L,$A193,Jira!$M:$M,"Closed"))</f>
        <v/>
      </c>
      <c r="J193" s="29" t="str">
        <f aca="false">IF($A193="","",COUNTIFS(Jira!$L:$L,$A193,Jira!$P:$P,"Critical")+COUNTIFS(Jira!$L:$L,$A193,Jira!$P:$P,"Warning"))</f>
        <v/>
      </c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4"/>
      <c r="H194" s="29" t="str">
        <f aca="false">IF($A194="","",COUNTIFS(Inventory!$D:$D,$A194,Inventory!$K:$K,"Open")+COUNTIFS(Inventory!$D:$D,$A194,Inventory!$K:$K,"Unconfirmed"))</f>
        <v/>
      </c>
      <c r="I194" s="29" t="str">
        <f aca="false">IF($A194="","",COUNTIFS(Jira!$L:$L,$A194)-COUNTIFS(Jira!$L:$L,$A194,Jira!$M:$M,"Closed"))</f>
        <v/>
      </c>
      <c r="J194" s="29" t="str">
        <f aca="false">IF($A194="","",COUNTIFS(Jira!$L:$L,$A194,Jira!$P:$P,"Critical")+COUNTIFS(Jira!$L:$L,$A194,Jira!$P:$P,"Warning"))</f>
        <v/>
      </c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4"/>
      <c r="H195" s="29" t="str">
        <f aca="false">IF($A195="","",COUNTIFS(Inventory!$D:$D,$A195,Inventory!$K:$K,"Open")+COUNTIFS(Inventory!$D:$D,$A195,Inventory!$K:$K,"Unconfirmed"))</f>
        <v/>
      </c>
      <c r="I195" s="29" t="str">
        <f aca="false">IF($A195="","",COUNTIFS(Jira!$L:$L,$A195)-COUNTIFS(Jira!$L:$L,$A195,Jira!$M:$M,"Closed"))</f>
        <v/>
      </c>
      <c r="J195" s="29" t="str">
        <f aca="false">IF($A195="","",COUNTIFS(Jira!$L:$L,$A195,Jira!$P:$P,"Critical")+COUNTIFS(Jira!$L:$L,$A195,Jira!$P:$P,"Warning"))</f>
        <v/>
      </c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4"/>
      <c r="H196" s="29" t="str">
        <f aca="false">IF($A196="","",COUNTIFS(Inventory!$D:$D,$A196,Inventory!$K:$K,"Open")+COUNTIFS(Inventory!$D:$D,$A196,Inventory!$K:$K,"Unconfirmed"))</f>
        <v/>
      </c>
      <c r="I196" s="29" t="str">
        <f aca="false">IF($A196="","",COUNTIFS(Jira!$L:$L,$A196)-COUNTIFS(Jira!$L:$L,$A196,Jira!$M:$M,"Closed"))</f>
        <v/>
      </c>
      <c r="J196" s="29" t="str">
        <f aca="false">IF($A196="","",COUNTIFS(Jira!$L:$L,$A196,Jira!$P:$P,"Critical")+COUNTIFS(Jira!$L:$L,$A196,Jira!$P:$P,"Warning"))</f>
        <v/>
      </c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4"/>
      <c r="H197" s="29" t="str">
        <f aca="false">IF($A197="","",COUNTIFS(Inventory!$D:$D,$A197,Inventory!$K:$K,"Open")+COUNTIFS(Inventory!$D:$D,$A197,Inventory!$K:$K,"Unconfirmed"))</f>
        <v/>
      </c>
      <c r="I197" s="29" t="str">
        <f aca="false">IF($A197="","",COUNTIFS(Jira!$L:$L,$A197)-COUNTIFS(Jira!$L:$L,$A197,Jira!$M:$M,"Closed"))</f>
        <v/>
      </c>
      <c r="J197" s="29" t="str">
        <f aca="false">IF($A197="","",COUNTIFS(Jira!$L:$L,$A197,Jira!$P:$P,"Critical")+COUNTIFS(Jira!$L:$L,$A197,Jira!$P:$P,"Warning"))</f>
        <v/>
      </c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4"/>
      <c r="H198" s="29" t="str">
        <f aca="false">IF($A198="","",COUNTIFS(Inventory!$D:$D,$A198,Inventory!$K:$K,"Open")+COUNTIFS(Inventory!$D:$D,$A198,Inventory!$K:$K,"Unconfirmed"))</f>
        <v/>
      </c>
      <c r="I198" s="29" t="str">
        <f aca="false">IF($A198="","",COUNTIFS(Jira!$L:$L,$A198)-COUNTIFS(Jira!$L:$L,$A198,Jira!$M:$M,"Closed"))</f>
        <v/>
      </c>
      <c r="J198" s="29" t="str">
        <f aca="false">IF($A198="","",COUNTIFS(Jira!$L:$L,$A198,Jira!$P:$P,"Critical")+COUNTIFS(Jira!$L:$L,$A198,Jira!$P:$P,"Warning"))</f>
        <v/>
      </c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4"/>
      <c r="H199" s="29" t="str">
        <f aca="false">IF($A199="","",COUNTIFS(Inventory!$D:$D,$A199,Inventory!$K:$K,"Open")+COUNTIFS(Inventory!$D:$D,$A199,Inventory!$K:$K,"Unconfirmed"))</f>
        <v/>
      </c>
      <c r="I199" s="29" t="str">
        <f aca="false">IF($A199="","",COUNTIFS(Jira!$L:$L,$A199)-COUNTIFS(Jira!$L:$L,$A199,Jira!$M:$M,"Closed"))</f>
        <v/>
      </c>
      <c r="J199" s="29" t="str">
        <f aca="false">IF($A199="","",COUNTIFS(Jira!$L:$L,$A199,Jira!$P:$P,"Critical")+COUNTIFS(Jira!$L:$L,$A199,Jira!$P:$P,"Warning"))</f>
        <v/>
      </c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4"/>
      <c r="H200" s="29" t="str">
        <f aca="false">IF($A200="","",COUNTIFS(Inventory!$D:$D,$A200,Inventory!$K:$K,"Open")+COUNTIFS(Inventory!$D:$D,$A200,Inventory!$K:$K,"Unconfirmed"))</f>
        <v/>
      </c>
      <c r="I200" s="29" t="str">
        <f aca="false">IF($A200="","",COUNTIFS(Jira!$L:$L,$A200)-COUNTIFS(Jira!$L:$L,$A200,Jira!$M:$M,"Closed"))</f>
        <v/>
      </c>
      <c r="J200" s="29" t="str">
        <f aca="false">IF($A200="","",COUNTIFS(Jira!$L:$L,$A200,Jira!$P:$P,"Critical")+COUNTIFS(Jira!$L:$L,$A200,Jira!$P:$P,"Warning"))</f>
        <v/>
      </c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4"/>
      <c r="H201" s="29" t="str">
        <f aca="false">IF($A201="","",COUNTIFS(Inventory!$D:$D,$A201,Inventory!$K:$K,"Open")+COUNTIFS(Inventory!$D:$D,$A201,Inventory!$K:$K,"Unconfirmed"))</f>
        <v/>
      </c>
      <c r="I201" s="29" t="str">
        <f aca="false">IF($A201="","",COUNTIFS(Jira!$L:$L,$A201)-COUNTIFS(Jira!$L:$L,$A201,Jira!$M:$M,"Closed"))</f>
        <v/>
      </c>
      <c r="J201" s="29" t="str">
        <f aca="false">IF($A201="","",COUNTIFS(Jira!$L:$L,$A201,Jira!$P:$P,"Critical")+COUNTIFS(Jira!$L:$L,$A201,Jira!$P:$P,"Warning"))</f>
        <v/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25" t="s">
        <v>81</v>
      </c>
      <c r="B1" s="25" t="s">
        <v>89</v>
      </c>
      <c r="C1" s="25" t="s">
        <v>90</v>
      </c>
      <c r="D1" s="25" t="s">
        <v>91</v>
      </c>
      <c r="E1" s="25" t="s">
        <v>92</v>
      </c>
      <c r="F1" s="25" t="s">
        <v>64</v>
      </c>
      <c r="G1" s="25" t="s">
        <v>93</v>
      </c>
    </row>
    <row r="2" customFormat="false" ht="15" hidden="false" customHeight="false" outlineLevel="0" collapsed="false">
      <c r="A2" s="24"/>
      <c r="B2" s="24"/>
      <c r="C2" s="24"/>
      <c r="D2" s="24"/>
      <c r="E2" s="24"/>
      <c r="F2" s="24"/>
      <c r="G2" s="27"/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7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7"/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7"/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7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7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7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7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7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7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7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7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7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7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7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7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7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7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7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7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7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7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7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7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7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7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7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7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7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7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7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7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7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7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7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7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7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7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7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7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7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7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7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7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7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7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7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7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7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7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7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7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7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7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7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7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7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7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7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7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7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7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7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7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7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7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7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7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7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7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7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7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7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7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7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7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7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7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7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7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7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7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7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7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7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7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7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7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7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7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7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7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7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7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7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7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7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7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7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7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7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7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7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7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7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7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7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7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7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7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7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7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7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7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7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7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7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7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7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7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7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7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7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7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7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7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7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7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7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7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7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7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7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7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7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7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7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7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7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7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7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7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7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7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7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7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7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7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7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7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7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7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7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7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7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7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7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7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7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7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7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7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7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7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7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7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7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7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7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7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7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7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7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7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7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7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7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7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7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7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7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7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7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7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7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7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7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7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7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7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7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7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7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7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7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7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7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7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7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7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7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7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7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7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7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7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7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7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7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7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7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7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7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7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7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7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7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7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7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7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7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7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7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7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7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7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7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7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7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7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7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7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7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7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7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7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7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7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7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7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7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7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7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7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7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7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7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7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7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7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7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7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7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7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7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7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7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7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7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7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7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7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7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7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7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7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7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7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7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7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7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7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7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7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7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7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7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7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7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7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7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7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7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7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7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7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7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7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7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7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7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7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7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7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7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7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7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7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7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7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7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7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7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7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7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7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7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7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7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7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7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7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7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7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7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7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7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7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7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7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7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7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7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7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7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7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7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7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7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7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7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7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7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7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7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7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7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7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7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7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7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7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7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7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7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7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7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7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7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7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7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7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7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7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7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7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7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7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7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7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7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7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7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7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7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7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7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7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7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7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7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7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7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7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7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7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7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7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7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7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7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7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7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7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7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7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7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7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7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7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7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7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7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7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7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7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7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7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7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7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7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7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7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7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7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7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7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7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7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7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7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7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7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7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7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7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7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7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7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7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7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7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7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7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7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7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7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7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7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7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7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7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7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7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7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7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7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7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7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7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7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7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7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7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7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7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7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7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7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7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7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7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7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7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7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7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7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7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7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7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7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7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7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7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7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7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7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7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7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7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7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7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7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7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7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7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7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7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7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7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7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7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7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7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7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7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7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7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7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7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7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7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7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7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7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7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7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7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7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7"/>
    </row>
  </sheetData>
  <autoFilter ref="A1:G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25" t="s">
        <v>94</v>
      </c>
      <c r="B1" s="25" t="s">
        <v>95</v>
      </c>
      <c r="C1" s="25" t="s">
        <v>96</v>
      </c>
    </row>
    <row r="2" customFormat="false" ht="23.85" hidden="false" customHeight="false" outlineLevel="0" collapsed="false">
      <c r="A2" s="31" t="s">
        <v>97</v>
      </c>
      <c r="B2" s="32" t="s">
        <v>98</v>
      </c>
      <c r="C2" s="32" t="s">
        <v>99</v>
      </c>
    </row>
    <row r="3" customFormat="false" ht="15" hidden="false" customHeight="false" outlineLevel="0" collapsed="false">
      <c r="A3" s="31" t="s">
        <v>100</v>
      </c>
      <c r="B3" s="32" t="s">
        <v>101</v>
      </c>
      <c r="C3" s="32" t="s">
        <v>99</v>
      </c>
    </row>
    <row r="4" customFormat="false" ht="15" hidden="false" customHeight="false" outlineLevel="0" collapsed="false">
      <c r="A4" s="31" t="s">
        <v>102</v>
      </c>
      <c r="B4" s="32" t="s">
        <v>103</v>
      </c>
      <c r="C4" s="32" t="s">
        <v>104</v>
      </c>
    </row>
    <row r="5" customFormat="false" ht="15" hidden="false" customHeight="false" outlineLevel="0" collapsed="false">
      <c r="A5" s="31" t="s">
        <v>105</v>
      </c>
      <c r="B5" s="32" t="s">
        <v>106</v>
      </c>
      <c r="C5" s="32" t="s">
        <v>104</v>
      </c>
    </row>
    <row r="6" customFormat="false" ht="15" hidden="false" customHeight="false" outlineLevel="0" collapsed="false">
      <c r="A6" s="31" t="s">
        <v>107</v>
      </c>
      <c r="B6" s="32" t="s">
        <v>108</v>
      </c>
      <c r="C6" s="32" t="s">
        <v>104</v>
      </c>
    </row>
    <row r="7" customFormat="false" ht="15" hidden="false" customHeight="false" outlineLevel="0" collapsed="false">
      <c r="A7" s="31" t="s">
        <v>109</v>
      </c>
      <c r="B7" s="32" t="s">
        <v>110</v>
      </c>
      <c r="C7" s="32" t="s">
        <v>104</v>
      </c>
    </row>
    <row r="8" customFormat="false" ht="15" hidden="false" customHeight="false" outlineLevel="0" collapsed="false">
      <c r="A8" s="31" t="s">
        <v>111</v>
      </c>
      <c r="B8" s="32" t="s">
        <v>112</v>
      </c>
      <c r="C8" s="32" t="s">
        <v>104</v>
      </c>
    </row>
    <row r="9" customFormat="false" ht="15" hidden="false" customHeight="false" outlineLevel="0" collapsed="false">
      <c r="A9" s="31" t="s">
        <v>113</v>
      </c>
      <c r="B9" s="32" t="s">
        <v>114</v>
      </c>
      <c r="C9" s="32" t="s">
        <v>115</v>
      </c>
    </row>
    <row r="10" customFormat="false" ht="15" hidden="false" customHeight="false" outlineLevel="0" collapsed="false">
      <c r="A10" s="31" t="s">
        <v>116</v>
      </c>
      <c r="B10" s="32" t="s">
        <v>117</v>
      </c>
      <c r="C10" s="32" t="s">
        <v>115</v>
      </c>
    </row>
    <row r="11" customFormat="false" ht="15" hidden="false" customHeight="false" outlineLevel="0" collapsed="false">
      <c r="A11" s="31" t="s">
        <v>118</v>
      </c>
      <c r="B11" s="32" t="s">
        <v>119</v>
      </c>
      <c r="C11" s="32" t="s">
        <v>115</v>
      </c>
    </row>
    <row r="12" customFormat="false" ht="15" hidden="false" customHeight="false" outlineLevel="0" collapsed="false">
      <c r="A12" s="31" t="s">
        <v>120</v>
      </c>
      <c r="B12" s="32" t="s">
        <v>121</v>
      </c>
      <c r="C12" s="32" t="s">
        <v>122</v>
      </c>
    </row>
    <row r="13" customFormat="false" ht="15" hidden="false" customHeight="false" outlineLevel="0" collapsed="false">
      <c r="A13" s="31" t="s">
        <v>123</v>
      </c>
      <c r="B13" s="32" t="s">
        <v>124</v>
      </c>
      <c r="C13" s="32" t="s">
        <v>122</v>
      </c>
    </row>
    <row r="14" customFormat="false" ht="15" hidden="false" customHeight="false" outlineLevel="0" collapsed="false">
      <c r="A14" s="31" t="s">
        <v>125</v>
      </c>
      <c r="B14" s="32" t="s">
        <v>126</v>
      </c>
      <c r="C14" s="32" t="s">
        <v>51</v>
      </c>
    </row>
    <row r="15" customFormat="false" ht="15" hidden="false" customHeight="false" outlineLevel="0" collapsed="false">
      <c r="A15" s="31" t="s">
        <v>127</v>
      </c>
      <c r="B15" s="32" t="s">
        <v>128</v>
      </c>
      <c r="C15" s="32" t="s">
        <v>51</v>
      </c>
    </row>
    <row r="16" customFormat="false" ht="15" hidden="false" customHeight="false" outlineLevel="0" collapsed="false">
      <c r="A16" s="31" t="s">
        <v>129</v>
      </c>
      <c r="B16" s="32" t="s">
        <v>130</v>
      </c>
      <c r="C16" s="32" t="s">
        <v>131</v>
      </c>
    </row>
    <row r="17" customFormat="false" ht="15" hidden="false" customHeight="false" outlineLevel="0" collapsed="false">
      <c r="A17" s="31" t="s">
        <v>132</v>
      </c>
      <c r="B17" s="32" t="s">
        <v>133</v>
      </c>
      <c r="C17" s="3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33" t="s">
        <v>134</v>
      </c>
    </row>
    <row r="2" customFormat="false" ht="15" hidden="false" customHeight="false" outlineLevel="0" collapsed="false">
      <c r="A2" s="34" t="s">
        <v>135</v>
      </c>
    </row>
    <row r="3" customFormat="false" ht="15" hidden="false" customHeight="false" outlineLevel="0" collapsed="false">
      <c r="A3" s="35" t="s">
        <v>136</v>
      </c>
    </row>
    <row r="4" customFormat="false" ht="15" hidden="false" customHeight="false" outlineLevel="0" collapsed="false">
      <c r="A4" s="24" t="s">
        <v>137</v>
      </c>
      <c r="B4" s="36"/>
      <c r="C4" s="37" t="s">
        <v>138</v>
      </c>
    </row>
    <row r="5" customFormat="false" ht="15" hidden="false" customHeight="false" outlineLevel="0" collapsed="false">
      <c r="A5" s="24" t="s">
        <v>139</v>
      </c>
      <c r="B5" s="36" t="s">
        <v>140</v>
      </c>
      <c r="C5" s="37" t="s">
        <v>141</v>
      </c>
    </row>
    <row r="6" customFormat="false" ht="15" hidden="false" customHeight="false" outlineLevel="0" collapsed="false">
      <c r="A6" s="24" t="s">
        <v>142</v>
      </c>
      <c r="B6" s="36" t="s">
        <v>143</v>
      </c>
      <c r="C6" s="37" t="s">
        <v>144</v>
      </c>
    </row>
    <row r="7" customFormat="false" ht="15" hidden="false" customHeight="false" outlineLevel="0" collapsed="false">
      <c r="A7" s="24" t="s">
        <v>145</v>
      </c>
      <c r="B7" s="36" t="s">
        <v>146</v>
      </c>
      <c r="C7" s="37" t="s">
        <v>147</v>
      </c>
    </row>
    <row r="8" customFormat="false" ht="15" hidden="false" customHeight="false" outlineLevel="0" collapsed="false">
      <c r="A8" s="24" t="s">
        <v>148</v>
      </c>
      <c r="B8" s="38"/>
      <c r="C8" s="37" t="s">
        <v>149</v>
      </c>
    </row>
    <row r="9" customFormat="false" ht="15" hidden="false" customHeight="false" outlineLevel="0" collapsed="false">
      <c r="A9" s="24" t="s">
        <v>150</v>
      </c>
      <c r="B9" s="30" t="n">
        <f aca="true">IF(SampleAsOf="",TODAY(),SampleAsOf)</f>
        <v>46300</v>
      </c>
      <c r="C9" s="37" t="s">
        <v>151</v>
      </c>
    </row>
    <row r="10" customFormat="false" ht="15" hidden="false" customHeight="false" outlineLevel="0" collapsed="false">
      <c r="A10" s="35" t="s">
        <v>152</v>
      </c>
    </row>
    <row r="11" customFormat="false" ht="15" hidden="false" customHeight="false" outlineLevel="0" collapsed="false">
      <c r="A11" s="24" t="s">
        <v>153</v>
      </c>
      <c r="B11" s="36" t="n">
        <v>3</v>
      </c>
      <c r="C11" s="37"/>
    </row>
    <row r="12" customFormat="false" ht="15" hidden="false" customHeight="false" outlineLevel="0" collapsed="false">
      <c r="A12" s="24" t="s">
        <v>154</v>
      </c>
      <c r="B12" s="36" t="n">
        <v>7</v>
      </c>
      <c r="C12" s="37"/>
    </row>
    <row r="13" customFormat="false" ht="15" hidden="false" customHeight="false" outlineLevel="0" collapsed="false">
      <c r="A13" s="24" t="s">
        <v>155</v>
      </c>
      <c r="B13" s="36" t="n">
        <v>5</v>
      </c>
      <c r="C13" s="37"/>
    </row>
    <row r="14" customFormat="false" ht="15" hidden="false" customHeight="false" outlineLevel="0" collapsed="false">
      <c r="A14" s="24" t="s">
        <v>156</v>
      </c>
      <c r="B14" s="29" t="n">
        <v>1</v>
      </c>
      <c r="C14" s="37"/>
    </row>
    <row r="15" customFormat="false" ht="15" hidden="false" customHeight="false" outlineLevel="0" collapsed="false">
      <c r="A15" s="24" t="s">
        <v>157</v>
      </c>
      <c r="B15" s="29" t="str">
        <f aca="true">IF(SnapshotAt="","",ROUND(IF(SampleAsOf="",NOW(),SampleAsOf+TIME(9,0,0))-SnapshotAt,1))</f>
        <v/>
      </c>
    </row>
    <row r="16" customFormat="false" ht="15" hidden="false" customHeight="false" outlineLevel="0" collapsed="false">
      <c r="A16" s="35" t="s">
        <v>158</v>
      </c>
    </row>
    <row r="17" customFormat="false" ht="15" hidden="false" customHeight="false" outlineLevel="0" collapsed="false">
      <c r="A17" s="24" t="s">
        <v>159</v>
      </c>
      <c r="B17" s="39"/>
      <c r="C17" s="37" t="s">
        <v>160</v>
      </c>
    </row>
    <row r="18" customFormat="false" ht="15" hidden="false" customHeight="false" outlineLevel="0" collapsed="false">
      <c r="A18" s="24" t="s">
        <v>161</v>
      </c>
      <c r="B18" s="29"/>
      <c r="C18" s="37" t="s">
        <v>162</v>
      </c>
    </row>
    <row r="19" customFormat="false" ht="15" hidden="false" customHeight="false" outlineLevel="0" collapsed="false">
      <c r="A19" s="24" t="s">
        <v>163</v>
      </c>
      <c r="B19" s="29"/>
      <c r="C19" s="37" t="s">
        <v>164</v>
      </c>
    </row>
    <row r="21" customFormat="false" ht="15" hidden="false" customHeight="false" outlineLevel="0" collapsed="false">
      <c r="A21" s="35" t="s">
        <v>165</v>
      </c>
      <c r="E21" s="35" t="s">
        <v>166</v>
      </c>
    </row>
    <row r="22" customFormat="false" ht="15" hidden="false" customHeight="false" outlineLevel="0" collapsed="false">
      <c r="A22" s="40" t="s">
        <v>20</v>
      </c>
      <c r="B22" s="40" t="s">
        <v>167</v>
      </c>
      <c r="C22" s="40" t="s">
        <v>168</v>
      </c>
      <c r="E22" s="40" t="s">
        <v>169</v>
      </c>
      <c r="F22" s="40" t="s">
        <v>20</v>
      </c>
    </row>
    <row r="23" customFormat="false" ht="15" hidden="false" customHeight="false" outlineLevel="0" collapsed="false">
      <c r="A23" s="24" t="s">
        <v>30</v>
      </c>
      <c r="B23" s="41" t="n">
        <v>7</v>
      </c>
      <c r="C23" s="24" t="s">
        <v>170</v>
      </c>
      <c r="E23" s="41" t="s">
        <v>171</v>
      </c>
      <c r="F23" s="41" t="s">
        <v>30</v>
      </c>
    </row>
    <row r="24" customFormat="false" ht="15" hidden="false" customHeight="false" outlineLevel="0" collapsed="false">
      <c r="A24" s="24" t="s">
        <v>31</v>
      </c>
      <c r="B24" s="41" t="n">
        <v>7</v>
      </c>
      <c r="C24" s="24" t="s">
        <v>172</v>
      </c>
      <c r="E24" s="41" t="s">
        <v>173</v>
      </c>
      <c r="F24" s="41" t="s">
        <v>30</v>
      </c>
    </row>
    <row r="25" customFormat="false" ht="15" hidden="false" customHeight="false" outlineLevel="0" collapsed="false">
      <c r="A25" s="24" t="s">
        <v>32</v>
      </c>
      <c r="B25" s="41" t="n">
        <v>10</v>
      </c>
      <c r="C25" s="24" t="s">
        <v>172</v>
      </c>
      <c r="E25" s="41" t="s">
        <v>27</v>
      </c>
      <c r="F25" s="41" t="s">
        <v>30</v>
      </c>
    </row>
    <row r="26" customFormat="false" ht="15" hidden="false" customHeight="false" outlineLevel="0" collapsed="false">
      <c r="A26" s="24" t="s">
        <v>33</v>
      </c>
      <c r="B26" s="41" t="n">
        <v>14</v>
      </c>
      <c r="C26" s="24" t="s">
        <v>174</v>
      </c>
      <c r="E26" s="41" t="s">
        <v>30</v>
      </c>
      <c r="F26" s="41" t="s">
        <v>30</v>
      </c>
    </row>
    <row r="27" customFormat="false" ht="15" hidden="false" customHeight="false" outlineLevel="0" collapsed="false">
      <c r="A27" s="24" t="s">
        <v>34</v>
      </c>
      <c r="B27" s="41" t="n">
        <v>14</v>
      </c>
      <c r="C27" s="24" t="s">
        <v>175</v>
      </c>
      <c r="E27" s="41" t="s">
        <v>31</v>
      </c>
      <c r="F27" s="41" t="s">
        <v>31</v>
      </c>
    </row>
    <row r="28" customFormat="false" ht="15" hidden="false" customHeight="false" outlineLevel="0" collapsed="false">
      <c r="A28" s="24" t="s">
        <v>35</v>
      </c>
      <c r="B28" s="41" t="n">
        <v>14</v>
      </c>
      <c r="C28" s="24" t="s">
        <v>176</v>
      </c>
      <c r="E28" s="41" t="s">
        <v>32</v>
      </c>
      <c r="F28" s="41" t="s">
        <v>32</v>
      </c>
    </row>
    <row r="29" customFormat="false" ht="15" hidden="false" customHeight="false" outlineLevel="0" collapsed="false">
      <c r="A29" s="24" t="s">
        <v>36</v>
      </c>
      <c r="B29" s="41" t="n">
        <v>14</v>
      </c>
      <c r="C29" s="24" t="s">
        <v>177</v>
      </c>
      <c r="E29" s="41" t="s">
        <v>33</v>
      </c>
      <c r="F29" s="41" t="s">
        <v>33</v>
      </c>
    </row>
    <row r="30" customFormat="false" ht="15" hidden="false" customHeight="false" outlineLevel="0" collapsed="false">
      <c r="A30" s="24" t="s">
        <v>37</v>
      </c>
      <c r="B30" s="41" t="n">
        <v>45</v>
      </c>
      <c r="C30" s="24" t="s">
        <v>178</v>
      </c>
      <c r="E30" s="41" t="s">
        <v>179</v>
      </c>
      <c r="F30" s="41" t="s">
        <v>34</v>
      </c>
    </row>
    <row r="31" customFormat="false" ht="15" hidden="false" customHeight="false" outlineLevel="0" collapsed="false">
      <c r="E31" s="41" t="s">
        <v>180</v>
      </c>
      <c r="F31" s="41" t="s">
        <v>34</v>
      </c>
    </row>
    <row r="32" customFormat="false" ht="15" hidden="false" customHeight="false" outlineLevel="0" collapsed="false">
      <c r="E32" s="41" t="s">
        <v>34</v>
      </c>
      <c r="F32" s="41" t="s">
        <v>34</v>
      </c>
    </row>
    <row r="33" customFormat="false" ht="15" hidden="false" customHeight="false" outlineLevel="0" collapsed="false">
      <c r="E33" s="41" t="s">
        <v>181</v>
      </c>
      <c r="F33" s="41" t="s">
        <v>35</v>
      </c>
    </row>
    <row r="34" customFormat="false" ht="15" hidden="false" customHeight="false" outlineLevel="0" collapsed="false">
      <c r="E34" s="41" t="s">
        <v>182</v>
      </c>
      <c r="F34" s="41" t="s">
        <v>35</v>
      </c>
    </row>
    <row r="35" customFormat="false" ht="15" hidden="false" customHeight="false" outlineLevel="0" collapsed="false">
      <c r="E35" s="41" t="s">
        <v>183</v>
      </c>
      <c r="F35" s="41" t="s">
        <v>35</v>
      </c>
    </row>
    <row r="36" customFormat="false" ht="15" hidden="false" customHeight="false" outlineLevel="0" collapsed="false">
      <c r="E36" s="41" t="s">
        <v>184</v>
      </c>
      <c r="F36" s="41" t="s">
        <v>36</v>
      </c>
    </row>
    <row r="37" customFormat="false" ht="15" hidden="false" customHeight="false" outlineLevel="0" collapsed="false">
      <c r="E37" s="41" t="s">
        <v>185</v>
      </c>
      <c r="F37" s="41" t="s">
        <v>36</v>
      </c>
    </row>
    <row r="38" customFormat="false" ht="15" hidden="false" customHeight="false" outlineLevel="0" collapsed="false">
      <c r="E38" s="41" t="s">
        <v>186</v>
      </c>
      <c r="F38" s="41" t="s">
        <v>37</v>
      </c>
    </row>
    <row r="39" customFormat="false" ht="15" hidden="false" customHeight="false" outlineLevel="0" collapsed="false">
      <c r="E39" s="41" t="s">
        <v>187</v>
      </c>
      <c r="F39" s="41" t="s">
        <v>37</v>
      </c>
    </row>
    <row r="40" customFormat="false" ht="15" hidden="false" customHeight="false" outlineLevel="0" collapsed="false">
      <c r="E40" s="41" t="s">
        <v>47</v>
      </c>
      <c r="F40" s="41" t="s">
        <v>188</v>
      </c>
    </row>
    <row r="41" customFormat="false" ht="15" hidden="false" customHeight="false" outlineLevel="0" collapsed="false">
      <c r="E41" s="41" t="s">
        <v>188</v>
      </c>
      <c r="F41" s="41" t="s">
        <v>188</v>
      </c>
    </row>
    <row r="42" customFormat="false" ht="15" hidden="false" customHeight="false" outlineLevel="0" collapsed="false">
      <c r="E42" s="41" t="s">
        <v>189</v>
      </c>
      <c r="F42" s="41" t="s">
        <v>188</v>
      </c>
    </row>
    <row r="43" customFormat="false" ht="15" hidden="false" customHeight="false" outlineLevel="0" collapsed="false">
      <c r="E43" s="41" t="s">
        <v>190</v>
      </c>
      <c r="F43" s="41" t="s">
        <v>188</v>
      </c>
    </row>
    <row r="44" customFormat="false" ht="15" hidden="false" customHeight="false" outlineLevel="0" collapsed="false">
      <c r="E44" s="41" t="s">
        <v>191</v>
      </c>
      <c r="F44" s="41" t="s">
        <v>188</v>
      </c>
    </row>
    <row r="63" customFormat="false" ht="15" hidden="false" customHeight="false" outlineLevel="0" collapsed="false">
      <c r="E63" s="11" t="s">
        <v>192</v>
      </c>
    </row>
  </sheetData>
  <dataValidations count="1">
    <dataValidation allowBlank="true" errorStyle="stop" operator="between" showDropDown="false" showErrorMessage="false" showInputMessage="false" sqref="F23:F62" type="list">
      <formula1>"Intake,Triage,Discovery,Design,Approval,Delivery,Scale,Value,Closed"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1A0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33" t="s">
        <v>0</v>
      </c>
    </row>
    <row r="2" customFormat="false" ht="23.85" hidden="false" customHeight="false" outlineLevel="0" collapsed="false">
      <c r="A2" s="42" t="s">
        <v>193</v>
      </c>
      <c r="B2" s="32" t="s">
        <v>194</v>
      </c>
    </row>
    <row r="3" customFormat="false" ht="23.85" hidden="false" customHeight="false" outlineLevel="0" collapsed="false">
      <c r="A3" s="42" t="s">
        <v>195</v>
      </c>
      <c r="B3" s="32" t="s">
        <v>196</v>
      </c>
    </row>
    <row r="4" customFormat="false" ht="23.85" hidden="false" customHeight="false" outlineLevel="0" collapsed="false">
      <c r="A4" s="42" t="s">
        <v>197</v>
      </c>
      <c r="B4" s="32" t="s">
        <v>198</v>
      </c>
    </row>
    <row r="5" customFormat="false" ht="15" hidden="false" customHeight="false" outlineLevel="0" collapsed="false">
      <c r="A5" s="42" t="s">
        <v>199</v>
      </c>
      <c r="B5" s="32" t="s">
        <v>200</v>
      </c>
    </row>
    <row r="6" customFormat="false" ht="15" hidden="false" customHeight="false" outlineLevel="0" collapsed="false">
      <c r="A6" s="10" t="s">
        <v>201</v>
      </c>
    </row>
    <row r="7" customFormat="false" ht="15" hidden="false" customHeight="false" outlineLevel="0" collapsed="false">
      <c r="A7" s="42" t="s">
        <v>202</v>
      </c>
      <c r="B7" s="32" t="s">
        <v>203</v>
      </c>
    </row>
    <row r="8" customFormat="false" ht="15" hidden="false" customHeight="false" outlineLevel="0" collapsed="false">
      <c r="A8" s="42" t="s">
        <v>104</v>
      </c>
      <c r="B8" s="32" t="s">
        <v>204</v>
      </c>
    </row>
    <row r="9" customFormat="false" ht="23.85" hidden="false" customHeight="false" outlineLevel="0" collapsed="false">
      <c r="A9" s="42" t="s">
        <v>51</v>
      </c>
      <c r="B9" s="32" t="s">
        <v>205</v>
      </c>
    </row>
    <row r="10" customFormat="false" ht="15" hidden="false" customHeight="false" outlineLevel="0" collapsed="false">
      <c r="A10" s="42" t="s">
        <v>47</v>
      </c>
      <c r="B10" s="32" t="s">
        <v>206</v>
      </c>
    </row>
    <row r="11" customFormat="false" ht="15" hidden="false" customHeight="false" outlineLevel="0" collapsed="false">
      <c r="A11" s="42" t="s">
        <v>207</v>
      </c>
      <c r="B11" s="32" t="s">
        <v>208</v>
      </c>
    </row>
    <row r="12" customFormat="false" ht="15" hidden="false" customHeight="false" outlineLevel="0" collapsed="false">
      <c r="A12" s="42" t="s">
        <v>209</v>
      </c>
      <c r="B12" s="32" t="s">
        <v>210</v>
      </c>
    </row>
    <row r="13" customFormat="false" ht="15" hidden="false" customHeight="false" outlineLevel="0" collapsed="false">
      <c r="A13" s="42" t="s">
        <v>211</v>
      </c>
      <c r="B13" s="32" t="s">
        <v>212</v>
      </c>
    </row>
    <row r="14" customFormat="false" ht="15" hidden="false" customHeight="false" outlineLevel="0" collapsed="false">
      <c r="A14" s="42" t="s">
        <v>213</v>
      </c>
      <c r="B14" s="32" t="s">
        <v>214</v>
      </c>
    </row>
    <row r="15" customFormat="false" ht="15" hidden="false" customHeight="false" outlineLevel="0" collapsed="false">
      <c r="A15" s="42" t="s">
        <v>215</v>
      </c>
      <c r="B15" s="32" t="s">
        <v>216</v>
      </c>
    </row>
    <row r="16" customFormat="false" ht="15" hidden="false" customHeight="false" outlineLevel="0" collapsed="false">
      <c r="A16" s="42" t="s">
        <v>217</v>
      </c>
      <c r="B16" s="32" t="s">
        <v>218</v>
      </c>
    </row>
    <row r="17" customFormat="false" ht="15" hidden="false" customHeight="false" outlineLevel="0" collapsed="false">
      <c r="A17" s="42" t="s">
        <v>134</v>
      </c>
      <c r="B17" s="3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2026-10-05T18:41:53Z</dcterms:created>
  <dc:creator>openpyxl</dc:creator>
  <dc:description/>
  <dc:language>en-US</dc:language>
  <cp:lastModifiedBy/>
  <dcterms:modified xsi:type="dcterms:W3CDTF">2026-10-05T18:43:21Z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